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charts/chart1.xml" ContentType="application/vnd.openxmlformats-officedocument.drawingml.chart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charts/chart2.xml" ContentType="application/vnd.openxmlformats-officedocument.drawingml.chart+xml"/>
  <Override PartName="/xl/drawings/drawing44.xml" ContentType="application/vnd.openxmlformats-officedocument.drawing+xml"/>
  <Override PartName="/xl/charts/chart3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7970" windowHeight="10530" firstSheet="1" activeTab="1"/>
  </bookViews>
  <sheets>
    <sheet name="Data" sheetId="61" r:id="rId1"/>
    <sheet name="Results" sheetId="60" r:id="rId2"/>
    <sheet name="SimpleLP" sheetId="1" r:id="rId3"/>
    <sheet name="OverlappingVars" sheetId="22" r:id="rId4"/>
    <sheet name="BlankRHS" sheetId="24" r:id="rId5"/>
    <sheet name="BlankLHS" sheetId="32" r:id="rId6"/>
    <sheet name="TextRHS" sheetId="25" r:id="rId7"/>
    <sheet name="ErrorRHS" sheetId="26" r:id="rId8"/>
    <sheet name="ErrorLHS" sheetId="27" r:id="rId9"/>
    <sheet name="ErrorObj" sheetId="28" r:id="rId10"/>
    <sheet name="TextObj" sheetId="29" r:id="rId11"/>
    <sheet name="MergedVarsSubset" sheetId="30" r:id="rId12"/>
    <sheet name="MergedVarsOK" sheetId="31" r:id="rId13"/>
    <sheet name="MergedVarsBad" sheetId="36" r:id="rId14"/>
    <sheet name="MergedRHS_OK" sheetId="33" r:id="rId15"/>
    <sheet name="MergedLHS_OK" sheetId="34" r:id="rId16"/>
    <sheet name="MergedLHSMultiple_OK" sheetId="35" r:id="rId17"/>
    <sheet name="BinIntOverlap" sheetId="6" r:id="rId18"/>
    <sheet name="ConFormula" sheetId="8" r:id="rId19"/>
    <sheet name="ConFormulaInf" sheetId="9" r:id="rId20"/>
    <sheet name="BadName!" sheetId="10" r:id="rId21"/>
    <sheet name="EscapeSheetName(1)+2-1" sheetId="94" r:id="rId22"/>
    <sheet name="DeletedConRef" sheetId="12" r:id="rId23"/>
    <sheet name="DeletedObjRef" sheetId="55" r:id="rId24"/>
    <sheet name="InfConstConstraint" sheetId="14" r:id="rId25"/>
    <sheet name="FeasConstConstraint" sheetId="41" r:id="rId26"/>
    <sheet name="ProtectedSheet" sheetId="18" r:id="rId27"/>
    <sheet name="IndirectLBs" sheetId="23" r:id="rId28"/>
    <sheet name="DirectLBs" sheetId="42" r:id="rId29"/>
    <sheet name="SingleRangeLB" sheetId="43" r:id="rId30"/>
    <sheet name="BinLB" sheetId="44" r:id="rId31"/>
    <sheet name="BinIntLB" sheetId="45" r:id="rId32"/>
    <sheet name="Relaxation" sheetId="98" r:id="rId33"/>
    <sheet name="LargeRangeLB" sheetId="46" r:id="rId34"/>
    <sheet name="OverlapRangeLB" sheetId="47" r:id="rId35"/>
    <sheet name="OverlapRangeLBwithFormula" sheetId="48" r:id="rId36"/>
    <sheet name="ConstFormulaRangeLB" sheetId="49" r:id="rId37"/>
    <sheet name="VariableFormulaRangeLB" sheetId="50" r:id="rId38"/>
    <sheet name="ConstraintLB" sheetId="51" r:id="rId39"/>
    <sheet name="ConstantLB" sheetId="52" r:id="rId40"/>
    <sheet name="FormulaLB" sheetId="53" r:id="rId41"/>
    <sheet name="VarConstraintLB" sheetId="54" r:id="rId42"/>
    <sheet name="FractionalCoeffs" sheetId="90" r:id="rId43"/>
    <sheet name="ComplexLayout" sheetId="7" r:id="rId44"/>
    <sheet name="InfModel" sheetId="11" r:id="rId45"/>
    <sheet name="IterativeCalc" sheetId="57" r:id="rId46"/>
    <sheet name="NoObj" sheetId="59" r:id="rId47"/>
    <sheet name="SeekObj" sheetId="92" r:id="rId48"/>
    <sheet name="NamedRanges" sheetId="66" r:id="rId49"/>
    <sheet name="QuickSolve" sheetId="4" r:id="rId50"/>
    <sheet name="SolverParameters" sheetId="2" r:id="rId51"/>
    <sheet name="Sensitivity" sheetId="65" r:id="rId52"/>
    <sheet name="SensitivityNames" sheetId="77" r:id="rId53"/>
    <sheet name="NonLinSimple" sheetId="20" r:id="rId54"/>
    <sheet name="NonLinLarge" sheetId="38" r:id="rId55"/>
    <sheet name="NonLinObj" sheetId="19" r:id="rId56"/>
    <sheet name="NonLinPruning" sheetId="69" r:id="rId57"/>
    <sheet name="NonLinMinMax" sheetId="70" r:id="rId58"/>
    <sheet name="NonLinConstraints" sheetId="71" r:id="rId59"/>
    <sheet name="NonLinBinary" sheetId="95" r:id="rId60"/>
    <sheet name="NonLin" sheetId="3" r:id="rId61"/>
    <sheet name="NonLin2" sheetId="68" r:id="rId62"/>
    <sheet name="NonLin3" sheetId="75" r:id="rId63"/>
    <sheet name="NonLin4" sheetId="85" r:id="rId64"/>
    <sheet name="NonLin5" sheetId="87" r:id="rId65"/>
    <sheet name="NonLin6" sheetId="88" r:id="rId66"/>
    <sheet name="Highlighting" sheetId="5" r:id="rId67"/>
    <sheet name="AutoModel" sheetId="40" r:id="rId68"/>
  </sheets>
  <functionGroups builtInGroupCount="18"/>
  <externalReferences>
    <externalReference r:id="rId69"/>
  </externalReferences>
  <definedNames>
    <definedName name="anscount" hidden="1">1</definedName>
    <definedName name="asdsad" localSheetId="32">#REF!</definedName>
    <definedName name="asdsad">#REF!</definedName>
    <definedName name="b">[1]InventoryStep!$B$4</definedName>
    <definedName name="CBCDualsNewSheet" hidden="1">FALSE</definedName>
    <definedName name="dffd" localSheetId="21">#REF!</definedName>
    <definedName name="dffd" localSheetId="32">#REF!</definedName>
    <definedName name="dffd" localSheetId="47">#REF!</definedName>
    <definedName name="dffd">#REF!</definedName>
    <definedName name="DualsNewSheet" hidden="1">FALSE</definedName>
    <definedName name="feasibilitySolve" localSheetId="21" hidden="1">CBC (default)</definedName>
    <definedName name="feasibilitySolve" localSheetId="59" hidden="1">CBC (default)</definedName>
    <definedName name="feasibilitySolve" localSheetId="32" hidden="1">CBC (default)</definedName>
    <definedName name="feasibilitySolve" localSheetId="47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6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21">#REF!</definedName>
    <definedName name="Hey" localSheetId="59">#REF!</definedName>
    <definedName name="Hey" localSheetId="32">#REF!</definedName>
    <definedName name="Hey" localSheetId="47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32">#REF!</definedName>
    <definedName name="junk">#REF!</definedName>
    <definedName name="K">[1]InventoryStep!$B$5</definedName>
    <definedName name="lll">Sensitivity!$I$9</definedName>
    <definedName name="MaximumCost" localSheetId="21">#REF!</definedName>
    <definedName name="MaximumCost" localSheetId="32">#REF!</definedName>
    <definedName name="MaximumCost" localSheetId="47">#REF!</definedName>
    <definedName name="MaximumCost">#REF!</definedName>
    <definedName name="me">2</definedName>
    <definedName name="MinValue" localSheetId="62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CBCParameters">SolverParameters!$C$5:$D$7</definedName>
    <definedName name="OpenSolver_ChosenSolver" localSheetId="20" hidden="1">CBC</definedName>
    <definedName name="OpenSolver_ChosenSolver" localSheetId="31" hidden="1">CBC</definedName>
    <definedName name="OpenSolver_ChosenSolver" localSheetId="17" hidden="1">CBC</definedName>
    <definedName name="OpenSolver_ChosenSolver" localSheetId="30" hidden="1">CBC</definedName>
    <definedName name="OpenSolver_ChosenSolver" localSheetId="5" hidden="1">CBC</definedName>
    <definedName name="OpenSolver_ChosenSolver" localSheetId="4" hidden="1">CBC</definedName>
    <definedName name="OpenSolver_ChosenSolver" localSheetId="43" hidden="1">CBC</definedName>
    <definedName name="OpenSolver_ChosenSolver" localSheetId="18" hidden="1">CBC</definedName>
    <definedName name="OpenSolver_ChosenSolver" localSheetId="19" hidden="1">CBC</definedName>
    <definedName name="OpenSolver_ChosenSolver" localSheetId="39" hidden="1">CBC</definedName>
    <definedName name="OpenSolver_ChosenSolver" localSheetId="36" hidden="1">CBC</definedName>
    <definedName name="OpenSolver_ChosenSolver" localSheetId="38" hidden="1">CBC</definedName>
    <definedName name="OpenSolver_ChosenSolver" localSheetId="22" hidden="1">CBC</definedName>
    <definedName name="OpenSolver_ChosenSolver" localSheetId="23" hidden="1">CBC</definedName>
    <definedName name="OpenSolver_ChosenSolver" localSheetId="28" hidden="1">CBC</definedName>
    <definedName name="OpenSolver_ChosenSolver" localSheetId="8" hidden="1">CBC</definedName>
    <definedName name="OpenSolver_ChosenSolver" localSheetId="9" hidden="1">CBC</definedName>
    <definedName name="OpenSolver_ChosenSolver" localSheetId="7" hidden="1">CBC</definedName>
    <definedName name="OpenSolver_ChosenSolver" localSheetId="21" hidden="1">CBC</definedName>
    <definedName name="OpenSolver_ChosenSolver" localSheetId="25" hidden="1">CBC</definedName>
    <definedName name="OpenSolver_ChosenSolver" localSheetId="40" hidden="1">CBC</definedName>
    <definedName name="OpenSolver_ChosenSolver" localSheetId="42" hidden="1">CBC</definedName>
    <definedName name="OpenSolver_ChosenSolver" localSheetId="27" hidden="1">CBC</definedName>
    <definedName name="OpenSolver_ChosenSolver" localSheetId="24" hidden="1">CBC</definedName>
    <definedName name="OpenSolver_ChosenSolver" localSheetId="44" hidden="1">CBC</definedName>
    <definedName name="OpenSolver_ChosenSolver" localSheetId="45" hidden="1">CBC</definedName>
    <definedName name="OpenSolver_ChosenSolver" localSheetId="33" hidden="1">CBC</definedName>
    <definedName name="OpenSolver_ChosenSolver" localSheetId="15" hidden="1">CBC</definedName>
    <definedName name="OpenSolver_ChosenSolver" localSheetId="16" hidden="1">CBC</definedName>
    <definedName name="OpenSolver_ChosenSolver" localSheetId="14" hidden="1">CBC</definedName>
    <definedName name="OpenSolver_ChosenSolver" localSheetId="13" hidden="1">CBC</definedName>
    <definedName name="OpenSolver_ChosenSolver" localSheetId="12" hidden="1">CBC</definedName>
    <definedName name="OpenSolver_ChosenSolver" localSheetId="11" hidden="1">CBC</definedName>
    <definedName name="OpenSolver_ChosenSolver" localSheetId="48" hidden="1">CBC</definedName>
    <definedName name="OpenSolver_ChosenSolver" localSheetId="60" hidden="1">CBC</definedName>
    <definedName name="OpenSolver_ChosenSolver" localSheetId="61" hidden="1">CBC</definedName>
    <definedName name="OpenSolver_ChosenSolver" localSheetId="62" hidden="1">CBC</definedName>
    <definedName name="OpenSolver_ChosenSolver" localSheetId="63" hidden="1">CBC</definedName>
    <definedName name="OpenSolver_ChosenSolver" localSheetId="64" hidden="1">CBC</definedName>
    <definedName name="OpenSolver_ChosenSolver" localSheetId="65" hidden="1">CBC</definedName>
    <definedName name="OpenSolver_ChosenSolver" localSheetId="59" hidden="1">CBC</definedName>
    <definedName name="OpenSolver_ChosenSolver" localSheetId="58" hidden="1">CBC</definedName>
    <definedName name="OpenSolver_ChosenSolver" localSheetId="54" hidden="1">CBC</definedName>
    <definedName name="OpenSolver_ChosenSolver" localSheetId="57" hidden="1">CBC</definedName>
    <definedName name="OpenSolver_ChosenSolver" localSheetId="55" hidden="1">CBC</definedName>
    <definedName name="OpenSolver_ChosenSolver" localSheetId="56" hidden="1">CBC</definedName>
    <definedName name="OpenSolver_ChosenSolver" localSheetId="53" hidden="1">CBC</definedName>
    <definedName name="OpenSolver_ChosenSolver" localSheetId="46" hidden="1">CBC</definedName>
    <definedName name="OpenSolver_ChosenSolver" localSheetId="3" hidden="1">CBC</definedName>
    <definedName name="OpenSolver_ChosenSolver" localSheetId="34" hidden="1">CBC</definedName>
    <definedName name="OpenSolver_ChosenSolver" localSheetId="35" hidden="1">CBC</definedName>
    <definedName name="OpenSolver_ChosenSolver" localSheetId="26" hidden="1">CBC</definedName>
    <definedName name="OpenSolver_ChosenSolver" localSheetId="49" hidden="1">CBC</definedName>
    <definedName name="OpenSolver_ChosenSolver" localSheetId="32" hidden="1">CBC</definedName>
    <definedName name="OpenSolver_ChosenSolver" localSheetId="1" hidden="1">Bonmin</definedName>
    <definedName name="OpenSolver_ChosenSolver" localSheetId="47" hidden="1">CBC</definedName>
    <definedName name="OpenSolver_ChosenSolver" localSheetId="51" hidden="1">CBC</definedName>
    <definedName name="OpenSolver_ChosenSolver" localSheetId="52" hidden="1">CBC</definedName>
    <definedName name="OpenSolver_ChosenSolver" localSheetId="2" hidden="1">CBC</definedName>
    <definedName name="OpenSolver_ChosenSolver" localSheetId="29" hidden="1">CBC</definedName>
    <definedName name="OpenSolver_ChosenSolver" localSheetId="50" hidden="1">CBC</definedName>
    <definedName name="OpenSolver_ChosenSolver" localSheetId="10" hidden="1">CBC</definedName>
    <definedName name="OpenSolver_ChosenSolver" localSheetId="6" hidden="1">CBC</definedName>
    <definedName name="OpenSolver_ChosenSolver" localSheetId="41" hidden="1">CBC</definedName>
    <definedName name="OpenSolver_ChosenSolver" localSheetId="37" hidden="1">CBC</definedName>
    <definedName name="OpenSolver_ConstraintList" localSheetId="32">#REF!</definedName>
    <definedName name="OpenSolver_ConstraintList">#REF!</definedName>
    <definedName name="OpenSolver_DualsNewSheet" localSheetId="20" hidden="1">FALSE</definedName>
    <definedName name="OpenSolver_DualsNewSheet" localSheetId="31" hidden="1">FALSE</definedName>
    <definedName name="OpenSolver_DualsNewSheet" localSheetId="17" hidden="1">FALSE</definedName>
    <definedName name="OpenSolver_DualsNewSheet" localSheetId="30" hidden="1">FALSE</definedName>
    <definedName name="OpenSolver_DualsNewSheet" localSheetId="5" hidden="1">FALSE</definedName>
    <definedName name="OpenSolver_DualsNewSheet" localSheetId="4" hidden="1">FALSE</definedName>
    <definedName name="OpenSolver_DualsNewSheet" localSheetId="43" hidden="1">FALSE</definedName>
    <definedName name="OpenSolver_DualsNewSheet" localSheetId="18" hidden="1">FALSE</definedName>
    <definedName name="OpenSolver_DualsNewSheet" localSheetId="19" hidden="1">FALSE</definedName>
    <definedName name="OpenSolver_DualsNewSheet" localSheetId="39" hidden="1">FALSE</definedName>
    <definedName name="OpenSolver_DualsNewSheet" localSheetId="36" hidden="1">FALSE</definedName>
    <definedName name="OpenSolver_DualsNewSheet" localSheetId="38" hidden="1">FALSE</definedName>
    <definedName name="OpenSolver_DualsNewSheet" localSheetId="28" hidden="1">FALSE</definedName>
    <definedName name="OpenSolver_DualsNewSheet" localSheetId="21" hidden="1">FALSE</definedName>
    <definedName name="OpenSolver_DualsNewSheet" localSheetId="25" hidden="1">FALSE</definedName>
    <definedName name="OpenSolver_DualsNewSheet" localSheetId="40" hidden="1">FALSE</definedName>
    <definedName name="OpenSolver_DualsNewSheet" localSheetId="42" hidden="1">FALSE</definedName>
    <definedName name="OpenSolver_DualsNewSheet" localSheetId="27" hidden="1">FALSE</definedName>
    <definedName name="OpenSolver_DualsNewSheet" localSheetId="24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33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4" hidden="1">FALSE</definedName>
    <definedName name="OpenSolver_DualsNewSheet" localSheetId="12" hidden="1">FALSE</definedName>
    <definedName name="OpenSolver_DualsNewSheet" localSheetId="48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FALSE</definedName>
    <definedName name="OpenSolver_DualsNewSheet" localSheetId="65" hidden="1">FALSE</definedName>
    <definedName name="OpenSolver_DualsNewSheet" localSheetId="59" hidden="1">FALSE</definedName>
    <definedName name="OpenSolver_DualsNewSheet" localSheetId="58" hidden="1">FALSE</definedName>
    <definedName name="OpenSolver_DualsNewSheet" localSheetId="54" hidden="1">FALSE</definedName>
    <definedName name="OpenSolver_DualsNewSheet" localSheetId="57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3" hidden="1">FALSE</definedName>
    <definedName name="OpenSolver_DualsNewSheet" localSheetId="46" hidden="1">FALSE</definedName>
    <definedName name="OpenSolver_DualsNewSheet" localSheetId="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49" hidden="1">FALSE</definedName>
    <definedName name="OpenSolver_DualsNewSheet" localSheetId="32" hidden="1">FALSE</definedName>
    <definedName name="OpenSolver_DualsNewSheet" localSheetId="1" hidden="1">FALSE</definedName>
    <definedName name="OpenSolver_DualsNewSheet" localSheetId="47" hidden="1">TRUE</definedName>
    <definedName name="OpenSolver_DualsNewSheet" localSheetId="51" hidden="1">TRUE</definedName>
    <definedName name="OpenSolver_DualsNewSheet" localSheetId="52" hidden="1">TRUE</definedName>
    <definedName name="OpenSolver_DualsNewSheet" localSheetId="2" hidden="1">FALSE</definedName>
    <definedName name="OpenSolver_DualsNewSheet" localSheetId="29" hidden="1">FALSE</definedName>
    <definedName name="OpenSolver_DualsNewSheet" localSheetId="50" hidden="1">FALSE</definedName>
    <definedName name="OpenSolver_DualsNewSheet" localSheetId="41" hidden="1">FALSE</definedName>
    <definedName name="OpenSolver_DualsNewSheet" localSheetId="37" hidden="1">FALSE</definedName>
    <definedName name="OpenSolver_LinearityCheck" localSheetId="31" hidden="1">1</definedName>
    <definedName name="OpenSolver_LinearityCheck" localSheetId="17" hidden="1">1</definedName>
    <definedName name="OpenSolver_LinearityCheck" localSheetId="30" hidden="1">1</definedName>
    <definedName name="OpenSolver_LinearityCheck" localSheetId="5" hidden="1">1</definedName>
    <definedName name="OpenSolver_LinearityCheck" localSheetId="4" hidden="1">1</definedName>
    <definedName name="OpenSolver_LinearityCheck" localSheetId="43" hidden="1">1</definedName>
    <definedName name="OpenSolver_LinearityCheck" localSheetId="18" hidden="1">1</definedName>
    <definedName name="OpenSolver_LinearityCheck" localSheetId="19" hidden="1">1</definedName>
    <definedName name="OpenSolver_LinearityCheck" localSheetId="39" hidden="1">1</definedName>
    <definedName name="OpenSolver_LinearityCheck" localSheetId="36" hidden="1">1</definedName>
    <definedName name="OpenSolver_LinearityCheck" localSheetId="38" hidden="1">1</definedName>
    <definedName name="OpenSolver_LinearityCheck" localSheetId="28" hidden="1">1</definedName>
    <definedName name="OpenSolver_LinearityCheck" localSheetId="21" hidden="1">1</definedName>
    <definedName name="OpenSolver_LinearityCheck" localSheetId="25" hidden="1">1</definedName>
    <definedName name="OpenSolver_LinearityCheck" localSheetId="40" hidden="1">1</definedName>
    <definedName name="OpenSolver_LinearityCheck" localSheetId="42" hidden="1">1</definedName>
    <definedName name="OpenSolver_LinearityCheck" localSheetId="27" hidden="1">1</definedName>
    <definedName name="OpenSolver_LinearityCheck" localSheetId="24" hidden="1">1</definedName>
    <definedName name="OpenSolver_LinearityCheck" localSheetId="44" hidden="1">1</definedName>
    <definedName name="OpenSolver_LinearityCheck" localSheetId="45" hidden="1">1</definedName>
    <definedName name="OpenSolver_LinearityCheck" localSheetId="33" hidden="1">1</definedName>
    <definedName name="OpenSolver_LinearityCheck" localSheetId="15" hidden="1">1</definedName>
    <definedName name="OpenSolver_LinearityCheck" localSheetId="16" hidden="1">1</definedName>
    <definedName name="OpenSolver_LinearityCheck" localSheetId="14" hidden="1">1</definedName>
    <definedName name="OpenSolver_LinearityCheck" localSheetId="12" hidden="1">1</definedName>
    <definedName name="OpenSolver_LinearityCheck" localSheetId="48" hidden="1">1</definedName>
    <definedName name="OpenSolver_LinearityCheck" localSheetId="60" hidden="1">1</definedName>
    <definedName name="OpenSolver_LinearityCheck" localSheetId="61" hidden="1">1</definedName>
    <definedName name="OpenSolver_LinearityCheck" localSheetId="62" hidden="1">1</definedName>
    <definedName name="OpenSolver_LinearityCheck" localSheetId="64" hidden="1">1</definedName>
    <definedName name="OpenSolver_LinearityCheck" localSheetId="65" hidden="1">1</definedName>
    <definedName name="OpenSolver_LinearityCheck" localSheetId="59" hidden="1">1</definedName>
    <definedName name="OpenSolver_LinearityCheck" localSheetId="58" hidden="1">1</definedName>
    <definedName name="OpenSolver_LinearityCheck" localSheetId="54" hidden="1">1</definedName>
    <definedName name="OpenSolver_LinearityCheck" localSheetId="57" hidden="1">1</definedName>
    <definedName name="OpenSolver_LinearityCheck" localSheetId="55" hidden="1">1</definedName>
    <definedName name="OpenSolver_LinearityCheck" localSheetId="56" hidden="1">1</definedName>
    <definedName name="OpenSolver_LinearityCheck" localSheetId="53" hidden="1">1</definedName>
    <definedName name="OpenSolver_LinearityCheck" localSheetId="46" hidden="1">1</definedName>
    <definedName name="OpenSolver_LinearityCheck" localSheetId="3" hidden="1">1</definedName>
    <definedName name="OpenSolver_LinearityCheck" localSheetId="34" hidden="1">1</definedName>
    <definedName name="OpenSolver_LinearityCheck" localSheetId="35" hidden="1">1</definedName>
    <definedName name="OpenSolver_LinearityCheck" localSheetId="49" hidden="1">1</definedName>
    <definedName name="OpenSolver_LinearityCheck" localSheetId="32" hidden="1">1</definedName>
    <definedName name="OpenSolver_LinearityCheck" localSheetId="47" hidden="1">1</definedName>
    <definedName name="OpenSolver_LinearityCheck" localSheetId="51" hidden="1">1</definedName>
    <definedName name="OpenSolver_LinearityCheck" localSheetId="52" hidden="1">1</definedName>
    <definedName name="OpenSolver_LinearityCheck" localSheetId="2" hidden="1">1</definedName>
    <definedName name="OpenSolver_LinearityCheck" localSheetId="29" hidden="1">1</definedName>
    <definedName name="OpenSolver_LinearityCheck" localSheetId="50" hidden="1">1</definedName>
    <definedName name="OpenSolver_LinearityCheck" localSheetId="41" hidden="1">1</definedName>
    <definedName name="OpenSolver_LinearityCheck" localSheetId="37" hidden="1">1</definedName>
    <definedName name="OpenSolver_ModelParameters" localSheetId="20">'BadName!'!$O$8:$P$8</definedName>
    <definedName name="OpenSolver_ModelParameters" localSheetId="31">BinIntLB!$O$10:$P$10</definedName>
    <definedName name="OpenSolver_ModelParameters" localSheetId="17">BinIntOverlap!$P$7:$Q$7</definedName>
    <definedName name="OpenSolver_ModelParameters" localSheetId="30">BinLB!$O$10:$P$10</definedName>
    <definedName name="OpenSolver_ModelParameters" localSheetId="5">BlankLHS!$O$7:$P$7</definedName>
    <definedName name="OpenSolver_ModelParameters" localSheetId="4">BlankRHS!$O$7:$P$7</definedName>
    <definedName name="OpenSolver_ModelParameters" localSheetId="43">ComplexLayout!$O$7:$P$7</definedName>
    <definedName name="OpenSolver_ModelParameters" localSheetId="18">ConFormula!$O$8:$P$8</definedName>
    <definedName name="OpenSolver_ModelParameters" localSheetId="19">ConFormulaInf!$O$8:$P$8</definedName>
    <definedName name="OpenSolver_ModelParameters" localSheetId="39">ConstantLB!$O$10:$P$10</definedName>
    <definedName name="OpenSolver_ModelParameters" localSheetId="36">ConstFormulaRangeLB!$O$9:$P$9</definedName>
    <definedName name="OpenSolver_ModelParameters" localSheetId="38">ConstraintLB!$O$10:$P$10</definedName>
    <definedName name="OpenSolver_ModelParameters" localSheetId="22">DeletedConRef!$O$8:$P$8</definedName>
    <definedName name="OpenSolver_ModelParameters" localSheetId="23">DeletedObjRef!$O$8:$P$8</definedName>
    <definedName name="OpenSolver_ModelParameters" localSheetId="8">ErrorLHS!$O$7:$P$7</definedName>
    <definedName name="OpenSolver_ModelParameters" localSheetId="9">ErrorObj!$O$7:$P$7</definedName>
    <definedName name="OpenSolver_ModelParameters" localSheetId="7">ErrorRHS!$O$7:$P$7</definedName>
    <definedName name="OpenSolver_ModelParameters" localSheetId="21">'EscapeSheetName(1)+2-1'!$O$7:$P$7</definedName>
    <definedName name="OpenSolver_ModelParameters" localSheetId="25">FeasConstConstraint!$Q$7:$R$7</definedName>
    <definedName name="OpenSolver_ModelParameters" localSheetId="40">FormulaLB!$O$10:$P$10</definedName>
    <definedName name="OpenSolver_ModelParameters" localSheetId="66">Highlighting!$P$6:$Q$6</definedName>
    <definedName name="OpenSolver_ModelParameters" localSheetId="27">IndirectLBs!$O$9:$P$9</definedName>
    <definedName name="OpenSolver_ModelParameters" localSheetId="24">InfConstConstraint!$Q$7:$R$7</definedName>
    <definedName name="OpenSolver_ModelParameters" localSheetId="44">InfModel!$O$8:$P$8</definedName>
    <definedName name="OpenSolver_ModelParameters" localSheetId="45">IterativeCalc!$O$8:$P$8</definedName>
    <definedName name="OpenSolver_ModelParameters" localSheetId="33">LargeRangeLB!$O$11:$P$11</definedName>
    <definedName name="OpenSolver_ModelParameters" localSheetId="15">MergedLHS_OK!$O$8:$P$8</definedName>
    <definedName name="OpenSolver_ModelParameters" localSheetId="16">MergedLHSMultiple_OK!$O$8:$P$8</definedName>
    <definedName name="OpenSolver_ModelParameters" localSheetId="14">MergedRHS_OK!$O$8:$P$8</definedName>
    <definedName name="OpenSolver_ModelParameters" localSheetId="13">MergedVarsBad!$O$8:$P$8</definedName>
    <definedName name="OpenSolver_ModelParameters" localSheetId="12">MergedVarsOK!$O$8:$P$8</definedName>
    <definedName name="OpenSolver_ModelParameters" localSheetId="11">MergedVarsSubset!$O$8:$P$8</definedName>
    <definedName name="OpenSolver_ModelParameters" localSheetId="59">#REF!</definedName>
    <definedName name="OpenSolver_ModelParameters" localSheetId="46">NoObj!$M$8:$M$8</definedName>
    <definedName name="OpenSolver_ModelParameters" localSheetId="3">OverlappingVars!$O$7:$P$7</definedName>
    <definedName name="OpenSolver_ModelParameters" localSheetId="34">OverlapRangeLB!$O$11:$P$11</definedName>
    <definedName name="OpenSolver_ModelParameters" localSheetId="35">OverlapRangeLBwithFormula!$O$11:$P$11</definedName>
    <definedName name="OpenSolver_ModelParameters" localSheetId="26">ProtectedSheet!$O$7:$P$7</definedName>
    <definedName name="OpenSolver_ModelParameters" localSheetId="49">QuickSolve!$O$7:$P$7</definedName>
    <definedName name="OpenSolver_ModelParameters" localSheetId="32">Relaxation!$O$10:$P$10</definedName>
    <definedName name="OpenSolver_ModelParameters" localSheetId="29">SingleRangeLB!$O$9:$P$9</definedName>
    <definedName name="OpenSolver_ModelParameters" localSheetId="10">TextObj!$O$7:$P$7</definedName>
    <definedName name="OpenSolver_ModelParameters" localSheetId="6">TextRHS!$O$7:$P$7</definedName>
    <definedName name="OpenSolver_ModelParameters" localSheetId="41">VarConstraintLB!$O$10:$P$10</definedName>
    <definedName name="OpenSolver_ModelParameters" localSheetId="37">VariableFormulaRangeLB!$O$10:$P$10</definedName>
    <definedName name="OpenSolver_ModelParameters">SimpleLP!$O$7:$P$7</definedName>
    <definedName name="OpenSolver_UpdateSensitivity" localSheetId="20" hidden="1">TRUE</definedName>
    <definedName name="OpenSolver_UpdateSensitivity" localSheetId="1" hidden="1">TRUE</definedName>
    <definedName name="OpenSolver_UpdateSensitivity" localSheetId="47" hidden="1">TRUE</definedName>
    <definedName name="OpenSolver_UpdateSensitivity" localSheetId="51" hidden="1">TRUE</definedName>
    <definedName name="OpenSolver_UpdateSensitivity" localSheetId="52" hidden="1">TRUE</definedName>
    <definedName name="OpenSolverModelParameters" localSheetId="49">QuickSolve!$O$7:$P$7</definedName>
    <definedName name="OpenSolverResult">Data!$A$1:$A$7</definedName>
    <definedName name="OpenSolverResultCodes">Data!$A$1:$B$7</definedName>
    <definedName name="p" localSheetId="21">#REF!</definedName>
    <definedName name="p" localSheetId="32">#REF!</definedName>
    <definedName name="p" localSheetId="47">#REF!</definedName>
    <definedName name="p">#REF!</definedName>
    <definedName name="q" localSheetId="21">#REF!</definedName>
    <definedName name="q" localSheetId="32">#REF!</definedName>
    <definedName name="q" localSheetId="47">#REF!</definedName>
    <definedName name="q">#REF!</definedName>
    <definedName name="s" localSheetId="21">#REF!</definedName>
    <definedName name="s" localSheetId="32">#REF!</definedName>
    <definedName name="s" localSheetId="47">#REF!</definedName>
    <definedName name="s">#REF!</definedName>
    <definedName name="Scale" localSheetId="20">'BadName!'!$O$8</definedName>
    <definedName name="Scale" localSheetId="31">BinIntLB!$O$10</definedName>
    <definedName name="Scale" localSheetId="17">BinIntOverlap!$P$7</definedName>
    <definedName name="Scale" localSheetId="30">BinLB!$O$10</definedName>
    <definedName name="Scale" localSheetId="5">BlankLHS!$O$7</definedName>
    <definedName name="Scale" localSheetId="4">BlankRHS!$O$7</definedName>
    <definedName name="Scale" localSheetId="43">ComplexLayout!$O$7</definedName>
    <definedName name="Scale" localSheetId="18">ConFormula!$O$8</definedName>
    <definedName name="Scale" localSheetId="19">ConFormulaInf!$O$8</definedName>
    <definedName name="Scale" localSheetId="39">ConstantLB!$O$10</definedName>
    <definedName name="Scale" localSheetId="36">ConstFormulaRangeLB!$O$9</definedName>
    <definedName name="Scale" localSheetId="38">ConstraintLB!$O$10</definedName>
    <definedName name="Scale" localSheetId="22">DeletedConRef!$O$8</definedName>
    <definedName name="Scale" localSheetId="23">DeletedObjRef!$O$8</definedName>
    <definedName name="Scale" localSheetId="8">ErrorLHS!$O$7</definedName>
    <definedName name="Scale" localSheetId="9">ErrorObj!$O$7</definedName>
    <definedName name="Scale" localSheetId="7">ErrorRHS!$O$7</definedName>
    <definedName name="Scale" localSheetId="21">'EscapeSheetName(1)+2-1'!$O$7</definedName>
    <definedName name="Scale" localSheetId="25">FeasConstConstraint!$Q$7</definedName>
    <definedName name="Scale" localSheetId="40">FormulaLB!$O$10</definedName>
    <definedName name="Scale" localSheetId="66">Highlighting!$P$6</definedName>
    <definedName name="Scale" localSheetId="27">IndirectLBs!$O$9</definedName>
    <definedName name="Scale" localSheetId="24">InfConstConstraint!$Q$7</definedName>
    <definedName name="Scale" localSheetId="44">InfModel!$O$8</definedName>
    <definedName name="Scale" localSheetId="45">IterativeCalc!$O$8</definedName>
    <definedName name="Scale" localSheetId="33">LargeRangeLB!$O$11</definedName>
    <definedName name="Scale" localSheetId="15">MergedLHS_OK!$O$8</definedName>
    <definedName name="Scale" localSheetId="16">MergedLHSMultiple_OK!$O$8</definedName>
    <definedName name="Scale" localSheetId="14">MergedRHS_OK!$O$8</definedName>
    <definedName name="Scale" localSheetId="13">MergedVarsBad!$O$8</definedName>
    <definedName name="Scale" localSheetId="12">MergedVarsOK!$O$8</definedName>
    <definedName name="Scale" localSheetId="11">MergedVarsSubset!$O$8</definedName>
    <definedName name="Scale" localSheetId="59">#REF!</definedName>
    <definedName name="Scale" localSheetId="46">NoObj!#REF!</definedName>
    <definedName name="Scale" localSheetId="3">OverlappingVars!$O$7</definedName>
    <definedName name="Scale" localSheetId="34">OverlapRangeLB!$O$11</definedName>
    <definedName name="Scale" localSheetId="35">OverlapRangeLBwithFormula!$O$11</definedName>
    <definedName name="Scale" localSheetId="26">ProtectedSheet!$O$7</definedName>
    <definedName name="Scale" localSheetId="49">QuickSolve!$O$7</definedName>
    <definedName name="Scale" localSheetId="32">Relaxation!$O$10</definedName>
    <definedName name="Scale" localSheetId="29">SingleRangeLB!$O$9</definedName>
    <definedName name="Scale" localSheetId="10">TextObj!$O$7</definedName>
    <definedName name="Scale" localSheetId="6">TextRHS!$O$7</definedName>
    <definedName name="Scale" localSheetId="41">VarConstraintLB!$O$10</definedName>
    <definedName name="Scale" localSheetId="37">VariableFormulaRangeLB!$O$10</definedName>
    <definedName name="Scale">SimpleLP!$O$7</definedName>
    <definedName name="scale2" localSheetId="32">#REF!</definedName>
    <definedName name="scale2">#REF!</definedName>
    <definedName name="sencount" hidden="1">1</definedName>
    <definedName name="Sheet1OpenSolverModelParameters" localSheetId="20">'BadName!'!$K$6:$K$6</definedName>
    <definedName name="Sheet1OpenSolverModelParameters" localSheetId="31">BinIntLB!$K$8:$K$8</definedName>
    <definedName name="Sheet1OpenSolverModelParameters" localSheetId="17">BinIntOverlap!$L$5:$L$5</definedName>
    <definedName name="Sheet1OpenSolverModelParameters" localSheetId="30">BinLB!$K$8:$K$8</definedName>
    <definedName name="Sheet1OpenSolverModelParameters" localSheetId="5">BlankLHS!$K$5:$K$5</definedName>
    <definedName name="Sheet1OpenSolverModelParameters" localSheetId="4">BlankRHS!$K$5:$K$5</definedName>
    <definedName name="Sheet1OpenSolverModelParameters" localSheetId="43">ComplexLayout!#REF!</definedName>
    <definedName name="Sheet1OpenSolverModelParameters" localSheetId="18">ConFormula!#REF!</definedName>
    <definedName name="Sheet1OpenSolverModelParameters" localSheetId="19">ConFormulaInf!#REF!</definedName>
    <definedName name="Sheet1OpenSolverModelParameters" localSheetId="39">ConstantLB!$K$8:$K$8</definedName>
    <definedName name="Sheet1OpenSolverModelParameters" localSheetId="36">ConstFormulaRangeLB!$K$7:$K$7</definedName>
    <definedName name="Sheet1OpenSolverModelParameters" localSheetId="38">ConstraintLB!$K$8:$K$8</definedName>
    <definedName name="Sheet1OpenSolverModelParameters" localSheetId="22">DeletedConRef!$K$6:$K$6</definedName>
    <definedName name="Sheet1OpenSolverModelParameters" localSheetId="23">DeletedObjRef!$K$6:$K$6</definedName>
    <definedName name="Sheet1OpenSolverModelParameters" localSheetId="8">ErrorLHS!$K$5:$K$5</definedName>
    <definedName name="Sheet1OpenSolverModelParameters" localSheetId="9">ErrorObj!$K$5:$K$5</definedName>
    <definedName name="Sheet1OpenSolverModelParameters" localSheetId="7">ErrorRHS!$K$5:$K$5</definedName>
    <definedName name="Sheet1OpenSolverModelParameters" localSheetId="21">'EscapeSheetName(1)+2-1'!$K$5:$K$5</definedName>
    <definedName name="Sheet1OpenSolverModelParameters" localSheetId="25">FeasConstConstraint!$M$5:$M$5</definedName>
    <definedName name="Sheet1OpenSolverModelParameters" localSheetId="40">FormulaLB!$K$8:$K$8</definedName>
    <definedName name="Sheet1OpenSolverModelParameters" localSheetId="66">Highlighting!$L$4:$L$4</definedName>
    <definedName name="Sheet1OpenSolverModelParameters" localSheetId="27">IndirectLBs!$K$7:$K$7</definedName>
    <definedName name="Sheet1OpenSolverModelParameters" localSheetId="24">InfConstConstraint!$M$5:$M$5</definedName>
    <definedName name="Sheet1OpenSolverModelParameters" localSheetId="44">InfModel!$K$6:$K$6</definedName>
    <definedName name="Sheet1OpenSolverModelParameters" localSheetId="45">IterativeCalc!$K$6:$K$6</definedName>
    <definedName name="Sheet1OpenSolverModelParameters" localSheetId="33">LargeRangeLB!$K$9:$K$9</definedName>
    <definedName name="Sheet1OpenSolverModelParameters" localSheetId="15">MergedLHS_OK!$K$6:$K$6</definedName>
    <definedName name="Sheet1OpenSolverModelParameters" localSheetId="16">MergedLHSMultiple_OK!$K$6:$K$6</definedName>
    <definedName name="Sheet1OpenSolverModelParameters" localSheetId="14">MergedRHS_OK!$K$6:$K$6</definedName>
    <definedName name="Sheet1OpenSolverModelParameters" localSheetId="13">MergedVarsBad!$K$6:$K$6</definedName>
    <definedName name="Sheet1OpenSolverModelParameters" localSheetId="12">MergedVarsOK!$K$6:$K$6</definedName>
    <definedName name="Sheet1OpenSolverModelParameters" localSheetId="11">MergedVarsSubset!$K$6:$K$6</definedName>
    <definedName name="Sheet1OpenSolverModelParameters" localSheetId="59">#REF!</definedName>
    <definedName name="Sheet1OpenSolverModelParameters" localSheetId="46">NoObj!$K$6:$K$6</definedName>
    <definedName name="Sheet1OpenSolverModelParameters" localSheetId="3">OverlappingVars!$K$5:$K$5</definedName>
    <definedName name="Sheet1OpenSolverModelParameters" localSheetId="34">OverlapRangeLB!$K$9:$K$9</definedName>
    <definedName name="Sheet1OpenSolverModelParameters" localSheetId="35">OverlapRangeLBwithFormula!$K$9:$K$9</definedName>
    <definedName name="Sheet1OpenSolverModelParameters" localSheetId="26">ProtectedSheet!$K$5:$K$5</definedName>
    <definedName name="Sheet1OpenSolverModelParameters" localSheetId="49">QuickSolve!$K$5:$K$5</definedName>
    <definedName name="Sheet1OpenSolverModelParameters" localSheetId="32">Relaxation!$K$8:$K$8</definedName>
    <definedName name="Sheet1OpenSolverModelParameters" localSheetId="29">SingleRangeLB!$K$7:$K$7</definedName>
    <definedName name="Sheet1OpenSolverModelParameters" localSheetId="10">TextObj!$K$5:$K$5</definedName>
    <definedName name="Sheet1OpenSolverModelParameters" localSheetId="6">TextRHS!$K$5:$K$5</definedName>
    <definedName name="Sheet1OpenSolverModelParameters" localSheetId="41">VarConstraintLB!$K$8:$K$8</definedName>
    <definedName name="Sheet1OpenSolverModelParameters" localSheetId="37">VariableFormulaRangeLB!$K$8:$K$8</definedName>
    <definedName name="Sheet1OpenSolverModelParameters">SimpleLP!$K$5:$K$5</definedName>
    <definedName name="Solver" localSheetId="21" hidden="1">CBC (default)</definedName>
    <definedName name="Solver" localSheetId="59" hidden="1">CBC (default)</definedName>
    <definedName name="Solver" localSheetId="32" hidden="1">CBC (default)</definedName>
    <definedName name="Solver" localSheetId="47" hidden="1">CBC (default)</definedName>
    <definedName name="Solver" hidden="1">CBC (default)</definedName>
    <definedName name="solver_adj" localSheetId="67" hidden="1">AutoModel!$B$28:$D$28,AutoModel!$C$3:$C$5</definedName>
    <definedName name="solver_adj" localSheetId="20" hidden="1">'BadName!'!$D$5:$F$5</definedName>
    <definedName name="solver_adj" localSheetId="31" hidden="1">BinIntLB!$D$5:$F$5</definedName>
    <definedName name="solver_adj" localSheetId="17" hidden="1">BinIntOverlap!$D$4:$G$4</definedName>
    <definedName name="solver_adj" localSheetId="30" hidden="1">BinLB!$D$5:$F$5</definedName>
    <definedName name="solver_adj" localSheetId="5" hidden="1">BlankLHS!$D$4:$F$4</definedName>
    <definedName name="solver_adj" localSheetId="4" hidden="1">BlankRHS!$D$4:$F$4</definedName>
    <definedName name="solver_adj" localSheetId="43" hidden="1">ComplexLayout!$D$4:$G$4,ComplexLayout!$Q$3:$R$4,ComplexLayout!$N$3:$N$4</definedName>
    <definedName name="solver_adj" localSheetId="18" hidden="1">ConFormula!$D$5:$G$5,ConFormula!$Q$4:$R$5,ConFormula!$N$4:$N$5</definedName>
    <definedName name="solver_adj" localSheetId="19" hidden="1">ConFormulaInf!$D$5:$G$5,ConFormulaInf!$Q$4:$R$5,ConFormulaInf!$N$4:$N$5</definedName>
    <definedName name="solver_adj" localSheetId="39" hidden="1">ConstantLB!$D$5:$F$5</definedName>
    <definedName name="solver_adj" localSheetId="36" hidden="1">ConstFormulaRangeLB!$D$4:$F$4</definedName>
    <definedName name="solver_adj" localSheetId="38" hidden="1">ConstraintLB!$D$5:$F$5</definedName>
    <definedName name="solver_adj" localSheetId="22" hidden="1">DeletedConRef!$D$5:$F$5</definedName>
    <definedName name="solver_adj" localSheetId="23" hidden="1">DeletedObjRef!$D$5:$F$5</definedName>
    <definedName name="solver_adj" localSheetId="28" hidden="1">DirectLBs!$D$4:$F$4</definedName>
    <definedName name="solver_adj" localSheetId="8" hidden="1">ErrorLHS!$D$4:$F$4</definedName>
    <definedName name="solver_adj" localSheetId="9" hidden="1">ErrorObj!$D$4:$F$4</definedName>
    <definedName name="solver_adj" localSheetId="7" hidden="1">ErrorRHS!$D$4:$F$4</definedName>
    <definedName name="solver_adj" localSheetId="21" hidden="1">'EscapeSheetName(1)+2-1'!$D$4:$F$4</definedName>
    <definedName name="solver_adj" localSheetId="25" hidden="1">FeasConstConstraint!$D$4:$F$4</definedName>
    <definedName name="solver_adj" localSheetId="40" hidden="1">FormulaLB!$D$5:$F$5</definedName>
    <definedName name="solver_adj" localSheetId="42" hidden="1">FractionalCoeffs!$D$2:$F$2</definedName>
    <definedName name="solver_adj" localSheetId="66" hidden="1">Highlighting!$L$9:$N$9</definedName>
    <definedName name="solver_adj" localSheetId="27" hidden="1">IndirectLBs!$D$5:$F$5</definedName>
    <definedName name="solver_adj" localSheetId="24" hidden="1">InfConstConstraint!$D$4:$F$4</definedName>
    <definedName name="solver_adj" localSheetId="44" hidden="1">InfModel!$D$5:$F$5</definedName>
    <definedName name="solver_adj" localSheetId="45" hidden="1">IterativeCalc!$D$5:$F$5</definedName>
    <definedName name="solver_adj" localSheetId="33" hidden="1">LargeRangeLB!$D$6:$F$6</definedName>
    <definedName name="solver_adj" localSheetId="15" hidden="1">MergedLHS_OK!$D$5:$E$5</definedName>
    <definedName name="solver_adj" localSheetId="16" hidden="1">MergedLHSMultiple_OK!$D$5:$F$5</definedName>
    <definedName name="solver_adj" localSheetId="14" hidden="1">MergedRHS_OK!$D$5:$E$5</definedName>
    <definedName name="solver_adj" localSheetId="13" hidden="1">MergedVarsBad!$D$4:$F$4</definedName>
    <definedName name="solver_adj" localSheetId="12" hidden="1">MergedVarsOK!$D$5:$E$5</definedName>
    <definedName name="solver_adj" localSheetId="11" hidden="1">MergedVarsSubset!$D$4:$F$4</definedName>
    <definedName name="solver_adj" localSheetId="48" hidden="1">NamedRanges!$D$4:$H$4</definedName>
    <definedName name="solver_adj" localSheetId="60" hidden="1">NonLin!$D$3:$D$35</definedName>
    <definedName name="solver_adj" localSheetId="61" hidden="1">NonLin2!$C$4:$D$4</definedName>
    <definedName name="solver_adj" localSheetId="62" hidden="1">NonLin3!$S$10:$S$11</definedName>
    <definedName name="solver_adj" localSheetId="63" hidden="1">NonLin4!$D$11</definedName>
    <definedName name="solver_adj" localSheetId="64" hidden="1">NonLin5!$F$2:$I$2</definedName>
    <definedName name="solver_adj" localSheetId="65" hidden="1">NonLin6!$D$7:$D$8</definedName>
    <definedName name="solver_adj" localSheetId="59" hidden="1">NonLinBinary!$C$4:$D$4</definedName>
    <definedName name="solver_adj" localSheetId="58" hidden="1">NonLinConstraints!$D$5:$H$5</definedName>
    <definedName name="solver_adj" localSheetId="54" hidden="1">NonLinLarge!$D$3:$F$3</definedName>
    <definedName name="solver_adj" localSheetId="57" hidden="1">NonLinMinMax!$D$4:$F$4</definedName>
    <definedName name="solver_adj" localSheetId="55" hidden="1">NonLinObj!$D$3:$F$3</definedName>
    <definedName name="solver_adj" localSheetId="56" hidden="1">NonLinPruning!$D$5:$E$5</definedName>
    <definedName name="solver_adj" localSheetId="53" hidden="1">NonLinSimple!$D$3:$F$3</definedName>
    <definedName name="solver_adj" localSheetId="46" hidden="1">NoObj!$D$5:$F$5</definedName>
    <definedName name="solver_adj" localSheetId="3" hidden="1">OverlappingVars!$D$4:$E$4,OverlappingVars!$E$4:$F$4</definedName>
    <definedName name="solver_adj" localSheetId="34" hidden="1">OverlapRangeLB!$D$6:$F$6</definedName>
    <definedName name="solver_adj" localSheetId="35" hidden="1">OverlapRangeLBwithFormula!$D$6:$F$6</definedName>
    <definedName name="solver_adj" localSheetId="26" hidden="1">ProtectedSheet!$D$4:$F$4</definedName>
    <definedName name="solver_adj" localSheetId="49" hidden="1">QuickSolve!$D$4:$F$4</definedName>
    <definedName name="solver_adj" localSheetId="32" hidden="1">Relaxation!$D$5:$F$5</definedName>
    <definedName name="solver_adj" localSheetId="47" hidden="1">SeekObj!$D$2:$F$2</definedName>
    <definedName name="solver_adj" localSheetId="51" hidden="1">Sensitivity!$D$4:$F$4</definedName>
    <definedName name="solver_adj" localSheetId="52" hidden="1">SensitivityNames!$D$14:$H$16,SensitivityNames!$J$21</definedName>
    <definedName name="solver_adj" localSheetId="2" hidden="1">SimpleLP!$D$4:$F$4</definedName>
    <definedName name="solver_adj" localSheetId="29" hidden="1">SingleRangeLB!$D$4:$F$4</definedName>
    <definedName name="solver_adj" localSheetId="50" hidden="1">SolverParameters!$D$13:$F$13</definedName>
    <definedName name="solver_adj" localSheetId="10" hidden="1">TextObj!$D$4:$F$4</definedName>
    <definedName name="solver_adj" localSheetId="6" hidden="1">TextRHS!$D$4:$F$4</definedName>
    <definedName name="solver_adj" localSheetId="41" hidden="1">VarConstraintLB!$D$5:$F$5</definedName>
    <definedName name="solver_adj" localSheetId="37" hidden="1">VariableFormulaRangeLB!$D$5:$F$5</definedName>
    <definedName name="solver_cvg" localSheetId="67" hidden="1">0.0001</definedName>
    <definedName name="solver_cvg" localSheetId="20" hidden="1">0.0001</definedName>
    <definedName name="solver_cvg" localSheetId="31" hidden="1">0.0001</definedName>
    <definedName name="solver_cvg" localSheetId="17" hidden="1">0.0001</definedName>
    <definedName name="solver_cvg" localSheetId="30" hidden="1">0.0001</definedName>
    <definedName name="solver_cvg" localSheetId="5" hidden="1">0.0001</definedName>
    <definedName name="solver_cvg" localSheetId="4" hidden="1">0.0001</definedName>
    <definedName name="solver_cvg" localSheetId="43" hidden="1">0.0001</definedName>
    <definedName name="solver_cvg" localSheetId="18" hidden="1">0.0001</definedName>
    <definedName name="solver_cvg" localSheetId="19" hidden="1">0.0001</definedName>
    <definedName name="solver_cvg" localSheetId="39" hidden="1">0.0001</definedName>
    <definedName name="solver_cvg" localSheetId="36" hidden="1">0.0001</definedName>
    <definedName name="solver_cvg" localSheetId="38" hidden="1">0.0001</definedName>
    <definedName name="solver_cvg" localSheetId="22" hidden="1">0.0001</definedName>
    <definedName name="solver_cvg" localSheetId="23" hidden="1">0.0001</definedName>
    <definedName name="solver_cvg" localSheetId="28" hidden="1">0.0001</definedName>
    <definedName name="solver_cvg" localSheetId="8" hidden="1">0.0001</definedName>
    <definedName name="solver_cvg" localSheetId="9" hidden="1">0.0001</definedName>
    <definedName name="solver_cvg" localSheetId="7" hidden="1">0.0001</definedName>
    <definedName name="solver_cvg" localSheetId="21" hidden="1">0.0001</definedName>
    <definedName name="solver_cvg" localSheetId="25" hidden="1">0.0001</definedName>
    <definedName name="solver_cvg" localSheetId="40" hidden="1">0.0001</definedName>
    <definedName name="solver_cvg" localSheetId="42" hidden="1">0.0001</definedName>
    <definedName name="solver_cvg" localSheetId="66" hidden="1">0.0001</definedName>
    <definedName name="solver_cvg" localSheetId="27" hidden="1">0.0001</definedName>
    <definedName name="solver_cvg" localSheetId="24" hidden="1">0.0001</definedName>
    <definedName name="solver_cvg" localSheetId="44" hidden="1">0.0001</definedName>
    <definedName name="solver_cvg" localSheetId="45" hidden="1">0.0001</definedName>
    <definedName name="solver_cvg" localSheetId="33" hidden="1">0.0001</definedName>
    <definedName name="solver_cvg" localSheetId="15" hidden="1">0.0001</definedName>
    <definedName name="solver_cvg" localSheetId="16" hidden="1">0.0001</definedName>
    <definedName name="solver_cvg" localSheetId="14" hidden="1">0.0001</definedName>
    <definedName name="solver_cvg" localSheetId="13" hidden="1">0.0001</definedName>
    <definedName name="solver_cvg" localSheetId="12" hidden="1">0.0001</definedName>
    <definedName name="solver_cvg" localSheetId="11" hidden="1">0.0001</definedName>
    <definedName name="solver_cvg" localSheetId="48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3" hidden="1">0.0001</definedName>
    <definedName name="solver_cvg" localSheetId="64" hidden="1">0.0001</definedName>
    <definedName name="solver_cvg" localSheetId="65" hidden="1">0.0001</definedName>
    <definedName name="solver_cvg" localSheetId="59" hidden="1">0.0001</definedName>
    <definedName name="solver_cvg" localSheetId="58" hidden="1">0.0001</definedName>
    <definedName name="solver_cvg" localSheetId="54" hidden="1">0.0001</definedName>
    <definedName name="solver_cvg" localSheetId="57" hidden="1">0.0001</definedName>
    <definedName name="solver_cvg" localSheetId="55" hidden="1">0.0001</definedName>
    <definedName name="solver_cvg" localSheetId="56" hidden="1">0.0001</definedName>
    <definedName name="solver_cvg" localSheetId="53" hidden="1">0.0001</definedName>
    <definedName name="solver_cvg" localSheetId="46" hidden="1">0.0001</definedName>
    <definedName name="solver_cvg" localSheetId="3" hidden="1">0.0001</definedName>
    <definedName name="solver_cvg" localSheetId="34" hidden="1">0.0001</definedName>
    <definedName name="solver_cvg" localSheetId="35" hidden="1">0.0001</definedName>
    <definedName name="solver_cvg" localSheetId="26" hidden="1">0.0001</definedName>
    <definedName name="solver_cvg" localSheetId="49" hidden="1">0.0001</definedName>
    <definedName name="solver_cvg" localSheetId="32" hidden="1">0.0001</definedName>
    <definedName name="solver_cvg" localSheetId="1" hidden="1">0.0001</definedName>
    <definedName name="solver_cvg" localSheetId="47" hidden="1">0.0001</definedName>
    <definedName name="solver_cvg" localSheetId="51" hidden="1">0.0001</definedName>
    <definedName name="solver_cvg" localSheetId="52" hidden="1">0.0001</definedName>
    <definedName name="solver_cvg" localSheetId="2" hidden="1">0.0001</definedName>
    <definedName name="solver_cvg" localSheetId="29" hidden="1">0.0001</definedName>
    <definedName name="solver_cvg" localSheetId="50" hidden="1">0.0001</definedName>
    <definedName name="solver_cvg" localSheetId="10" hidden="1">0.0001</definedName>
    <definedName name="solver_cvg" localSheetId="6" hidden="1">0.0001</definedName>
    <definedName name="solver_cvg" localSheetId="41" hidden="1">0.0001</definedName>
    <definedName name="solver_cvg" localSheetId="37" hidden="1">0.0001</definedName>
    <definedName name="solver_drv" localSheetId="67" hidden="1">1</definedName>
    <definedName name="solver_drv" localSheetId="20" hidden="1">1</definedName>
    <definedName name="solver_drv" localSheetId="31" hidden="1">1</definedName>
    <definedName name="solver_drv" localSheetId="17" hidden="1">1</definedName>
    <definedName name="solver_drv" localSheetId="30" hidden="1">1</definedName>
    <definedName name="solver_drv" localSheetId="5" hidden="1">1</definedName>
    <definedName name="solver_drv" localSheetId="4" hidden="1">1</definedName>
    <definedName name="solver_drv" localSheetId="43" hidden="1">1</definedName>
    <definedName name="solver_drv" localSheetId="18" hidden="1">1</definedName>
    <definedName name="solver_drv" localSheetId="19" hidden="1">1</definedName>
    <definedName name="solver_drv" localSheetId="39" hidden="1">1</definedName>
    <definedName name="solver_drv" localSheetId="36" hidden="1">1</definedName>
    <definedName name="solver_drv" localSheetId="38" hidden="1">1</definedName>
    <definedName name="solver_drv" localSheetId="22" hidden="1">1</definedName>
    <definedName name="solver_drv" localSheetId="23" hidden="1">1</definedName>
    <definedName name="solver_drv" localSheetId="28" hidden="1">1</definedName>
    <definedName name="solver_drv" localSheetId="8" hidden="1">1</definedName>
    <definedName name="solver_drv" localSheetId="9" hidden="1">1</definedName>
    <definedName name="solver_drv" localSheetId="7" hidden="1">1</definedName>
    <definedName name="solver_drv" localSheetId="21" hidden="1">1</definedName>
    <definedName name="solver_drv" localSheetId="25" hidden="1">1</definedName>
    <definedName name="solver_drv" localSheetId="40" hidden="1">1</definedName>
    <definedName name="solver_drv" localSheetId="42" hidden="1">1</definedName>
    <definedName name="solver_drv" localSheetId="66" hidden="1">1</definedName>
    <definedName name="solver_drv" localSheetId="27" hidden="1">1</definedName>
    <definedName name="solver_drv" localSheetId="24" hidden="1">1</definedName>
    <definedName name="solver_drv" localSheetId="44" hidden="1">1</definedName>
    <definedName name="solver_drv" localSheetId="45" hidden="1">1</definedName>
    <definedName name="solver_drv" localSheetId="33" hidden="1">1</definedName>
    <definedName name="solver_drv" localSheetId="15" hidden="1">1</definedName>
    <definedName name="solver_drv" localSheetId="16" hidden="1">1</definedName>
    <definedName name="solver_drv" localSheetId="14" hidden="1">1</definedName>
    <definedName name="solver_drv" localSheetId="13" hidden="1">1</definedName>
    <definedName name="solver_drv" localSheetId="12" hidden="1">1</definedName>
    <definedName name="solver_drv" localSheetId="11" hidden="1">1</definedName>
    <definedName name="solver_drv" localSheetId="48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3" hidden="1">1</definedName>
    <definedName name="solver_drv" localSheetId="64" hidden="1">1</definedName>
    <definedName name="solver_drv" localSheetId="65" hidden="1">1</definedName>
    <definedName name="solver_drv" localSheetId="59" hidden="1">1</definedName>
    <definedName name="solver_drv" localSheetId="58" hidden="1">1</definedName>
    <definedName name="solver_drv" localSheetId="54" hidden="1">1</definedName>
    <definedName name="solver_drv" localSheetId="57" hidden="1">1</definedName>
    <definedName name="solver_drv" localSheetId="55" hidden="1">1</definedName>
    <definedName name="solver_drv" localSheetId="56" hidden="1">1</definedName>
    <definedName name="solver_drv" localSheetId="53" hidden="1">1</definedName>
    <definedName name="solver_drv" localSheetId="46" hidden="1">1</definedName>
    <definedName name="solver_drv" localSheetId="3" hidden="1">1</definedName>
    <definedName name="solver_drv" localSheetId="34" hidden="1">1</definedName>
    <definedName name="solver_drv" localSheetId="35" hidden="1">1</definedName>
    <definedName name="solver_drv" localSheetId="26" hidden="1">1</definedName>
    <definedName name="solver_drv" localSheetId="49" hidden="1">1</definedName>
    <definedName name="solver_drv" localSheetId="32" hidden="1">1</definedName>
    <definedName name="solver_drv" localSheetId="1" hidden="1">1</definedName>
    <definedName name="solver_drv" localSheetId="47" hidden="1">1</definedName>
    <definedName name="solver_drv" localSheetId="51" hidden="1">1</definedName>
    <definedName name="solver_drv" localSheetId="52" hidden="1">1</definedName>
    <definedName name="solver_drv" localSheetId="2" hidden="1">1</definedName>
    <definedName name="solver_drv" localSheetId="29" hidden="1">1</definedName>
    <definedName name="solver_drv" localSheetId="50" hidden="1">1</definedName>
    <definedName name="solver_drv" localSheetId="10" hidden="1">1</definedName>
    <definedName name="solver_drv" localSheetId="6" hidden="1">1</definedName>
    <definedName name="solver_drv" localSheetId="41" hidden="1">1</definedName>
    <definedName name="solver_drv" localSheetId="37" hidden="1">1</definedName>
    <definedName name="solver_eng" localSheetId="67" hidden="1">2</definedName>
    <definedName name="solver_eng" localSheetId="31" hidden="1">2</definedName>
    <definedName name="solver_eng" localSheetId="17">2</definedName>
    <definedName name="solver_eng" localSheetId="30" hidden="1">2</definedName>
    <definedName name="solver_eng" localSheetId="5">2</definedName>
    <definedName name="solver_eng" localSheetId="4">2</definedName>
    <definedName name="solver_eng" localSheetId="43">2</definedName>
    <definedName name="solver_eng" localSheetId="18">2</definedName>
    <definedName name="solver_eng" localSheetId="19">2</definedName>
    <definedName name="solver_eng" localSheetId="39" hidden="1">2</definedName>
    <definedName name="solver_eng" localSheetId="36" hidden="1">2</definedName>
    <definedName name="solver_eng" localSheetId="38">2</definedName>
    <definedName name="solver_eng" localSheetId="22">2</definedName>
    <definedName name="solver_eng" localSheetId="23">2</definedName>
    <definedName name="solver_eng" localSheetId="28">2</definedName>
    <definedName name="solver_eng" localSheetId="8">2</definedName>
    <definedName name="solver_eng" localSheetId="9">2</definedName>
    <definedName name="solver_eng" localSheetId="7">2</definedName>
    <definedName name="solver_eng" localSheetId="21">2</definedName>
    <definedName name="solver_eng" localSheetId="40" hidden="1">2</definedName>
    <definedName name="solver_eng" localSheetId="27">2</definedName>
    <definedName name="solver_eng" localSheetId="24">2</definedName>
    <definedName name="solver_eng" localSheetId="44">2</definedName>
    <definedName name="solver_eng" localSheetId="33" hidden="1">2</definedName>
    <definedName name="solver_eng" localSheetId="15">2</definedName>
    <definedName name="solver_eng" localSheetId="16">2</definedName>
    <definedName name="solver_eng" localSheetId="14">2</definedName>
    <definedName name="solver_eng" localSheetId="13">2</definedName>
    <definedName name="solver_eng" localSheetId="12">2</definedName>
    <definedName name="solver_eng" localSheetId="11">2</definedName>
    <definedName name="solver_eng" localSheetId="48" hidden="1">2</definedName>
    <definedName name="solver_eng" localSheetId="60">2</definedName>
    <definedName name="solver_eng" localSheetId="63" hidden="1">2</definedName>
    <definedName name="solver_eng" localSheetId="64" hidden="1">2</definedName>
    <definedName name="solver_eng" localSheetId="65" hidden="1">2</definedName>
    <definedName name="solver_eng" localSheetId="58" hidden="1">2</definedName>
    <definedName name="solver_eng" localSheetId="54">2</definedName>
    <definedName name="solver_eng" localSheetId="57" hidden="1">2</definedName>
    <definedName name="solver_eng" localSheetId="55">2</definedName>
    <definedName name="solver_eng" localSheetId="56" hidden="1">2</definedName>
    <definedName name="solver_eng" localSheetId="53">2</definedName>
    <definedName name="solver_eng" localSheetId="46" hidden="1">2</definedName>
    <definedName name="solver_eng" localSheetId="3">2</definedName>
    <definedName name="solver_eng" localSheetId="34" hidden="1">2</definedName>
    <definedName name="solver_eng" localSheetId="35" hidden="1">2</definedName>
    <definedName name="solver_eng" localSheetId="26">2</definedName>
    <definedName name="solver_eng" localSheetId="32" hidden="1">2</definedName>
    <definedName name="solver_eng" localSheetId="2" hidden="1">2</definedName>
    <definedName name="solver_eng" localSheetId="29" hidden="1">2</definedName>
    <definedName name="solver_eng" localSheetId="10">2</definedName>
    <definedName name="solver_eng" localSheetId="6">2</definedName>
    <definedName name="solver_eng" localSheetId="41" hidden="1">2</definedName>
    <definedName name="solver_eng" localSheetId="37" hidden="1">2</definedName>
    <definedName name="solver_est" localSheetId="67" hidden="1">1</definedName>
    <definedName name="solver_est" localSheetId="20" hidden="1">1</definedName>
    <definedName name="solver_est" localSheetId="31" hidden="1">1</definedName>
    <definedName name="solver_est" localSheetId="17" hidden="1">1</definedName>
    <definedName name="solver_est" localSheetId="30" hidden="1">1</definedName>
    <definedName name="solver_est" localSheetId="5" hidden="1">1</definedName>
    <definedName name="solver_est" localSheetId="4" hidden="1">1</definedName>
    <definedName name="solver_est" localSheetId="43" hidden="1">1</definedName>
    <definedName name="solver_est" localSheetId="18" hidden="1">1</definedName>
    <definedName name="solver_est" localSheetId="19" hidden="1">1</definedName>
    <definedName name="solver_est" localSheetId="39" hidden="1">1</definedName>
    <definedName name="solver_est" localSheetId="36" hidden="1">1</definedName>
    <definedName name="solver_est" localSheetId="38" hidden="1">1</definedName>
    <definedName name="solver_est" localSheetId="22" hidden="1">1</definedName>
    <definedName name="solver_est" localSheetId="23" hidden="1">1</definedName>
    <definedName name="solver_est" localSheetId="28" hidden="1">1</definedName>
    <definedName name="solver_est" localSheetId="8" hidden="1">1</definedName>
    <definedName name="solver_est" localSheetId="9" hidden="1">1</definedName>
    <definedName name="solver_est" localSheetId="7" hidden="1">1</definedName>
    <definedName name="solver_est" localSheetId="21" hidden="1">1</definedName>
    <definedName name="solver_est" localSheetId="25" hidden="1">1</definedName>
    <definedName name="solver_est" localSheetId="40" hidden="1">1</definedName>
    <definedName name="solver_est" localSheetId="42" hidden="1">1</definedName>
    <definedName name="solver_est" localSheetId="66" hidden="1">1</definedName>
    <definedName name="solver_est" localSheetId="27" hidden="1">1</definedName>
    <definedName name="solver_est" localSheetId="24" hidden="1">1</definedName>
    <definedName name="solver_est" localSheetId="44" hidden="1">1</definedName>
    <definedName name="solver_est" localSheetId="45" hidden="1">1</definedName>
    <definedName name="solver_est" localSheetId="33" hidden="1">1</definedName>
    <definedName name="solver_est" localSheetId="15" hidden="1">1</definedName>
    <definedName name="solver_est" localSheetId="16" hidden="1">1</definedName>
    <definedName name="solver_est" localSheetId="14" hidden="1">1</definedName>
    <definedName name="solver_est" localSheetId="13" hidden="1">1</definedName>
    <definedName name="solver_est" localSheetId="12" hidden="1">1</definedName>
    <definedName name="solver_est" localSheetId="11" hidden="1">1</definedName>
    <definedName name="solver_est" localSheetId="48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3" hidden="1">1</definedName>
    <definedName name="solver_est" localSheetId="64" hidden="1">1</definedName>
    <definedName name="solver_est" localSheetId="65" hidden="1">1</definedName>
    <definedName name="solver_est" localSheetId="59" hidden="1">1</definedName>
    <definedName name="solver_est" localSheetId="58" hidden="1">1</definedName>
    <definedName name="solver_est" localSheetId="54" hidden="1">1</definedName>
    <definedName name="solver_est" localSheetId="57" hidden="1">1</definedName>
    <definedName name="solver_est" localSheetId="55" hidden="1">1</definedName>
    <definedName name="solver_est" localSheetId="56" hidden="1">1</definedName>
    <definedName name="solver_est" localSheetId="53" hidden="1">1</definedName>
    <definedName name="solver_est" localSheetId="46" hidden="1">1</definedName>
    <definedName name="solver_est" localSheetId="3" hidden="1">1</definedName>
    <definedName name="solver_est" localSheetId="34" hidden="1">1</definedName>
    <definedName name="solver_est" localSheetId="35" hidden="1">1</definedName>
    <definedName name="solver_est" localSheetId="26" hidden="1">1</definedName>
    <definedName name="solver_est" localSheetId="49" hidden="1">1</definedName>
    <definedName name="solver_est" localSheetId="32" hidden="1">1</definedName>
    <definedName name="solver_est" localSheetId="1" hidden="1">1</definedName>
    <definedName name="solver_est" localSheetId="47" hidden="1">1</definedName>
    <definedName name="solver_est" localSheetId="51" hidden="1">1</definedName>
    <definedName name="solver_est" localSheetId="52" hidden="1">1</definedName>
    <definedName name="solver_est" localSheetId="2" hidden="1">1</definedName>
    <definedName name="solver_est" localSheetId="29" hidden="1">1</definedName>
    <definedName name="solver_est" localSheetId="50" hidden="1">1</definedName>
    <definedName name="solver_est" localSheetId="10" hidden="1">1</definedName>
    <definedName name="solver_est" localSheetId="6" hidden="1">1</definedName>
    <definedName name="solver_est" localSheetId="41" hidden="1">1</definedName>
    <definedName name="solver_est" localSheetId="37" hidden="1">1</definedName>
    <definedName name="solver_itr" localSheetId="20" hidden="1">100</definedName>
    <definedName name="solver_itr" localSheetId="31" hidden="1">999999999</definedName>
    <definedName name="solver_itr" localSheetId="17" hidden="1">999999999</definedName>
    <definedName name="solver_itr" localSheetId="30" hidden="1">999999999</definedName>
    <definedName name="solver_itr" localSheetId="5" hidden="1">999999999</definedName>
    <definedName name="solver_itr" localSheetId="4" hidden="1">999999999</definedName>
    <definedName name="solver_itr" localSheetId="43" hidden="1">999999999</definedName>
    <definedName name="solver_itr" localSheetId="18" hidden="1">999999999</definedName>
    <definedName name="solver_itr" localSheetId="19" hidden="1">999999999</definedName>
    <definedName name="solver_itr" localSheetId="39" hidden="1">999999999</definedName>
    <definedName name="solver_itr" localSheetId="36" hidden="1">999999999</definedName>
    <definedName name="solver_itr" localSheetId="38" hidden="1">999999999</definedName>
    <definedName name="solver_itr" localSheetId="22" hidden="1">999999999</definedName>
    <definedName name="solver_itr" localSheetId="28" hidden="1">999999999</definedName>
    <definedName name="solver_itr" localSheetId="8" hidden="1">999999999</definedName>
    <definedName name="solver_itr" localSheetId="7" hidden="1">999999999</definedName>
    <definedName name="solver_itr" localSheetId="21" hidden="1">999999999</definedName>
    <definedName name="solver_itr" localSheetId="25" hidden="1">999999999</definedName>
    <definedName name="solver_itr" localSheetId="40" hidden="1">999999999</definedName>
    <definedName name="solver_itr" localSheetId="42" hidden="1">999999999</definedName>
    <definedName name="solver_itr" localSheetId="66" hidden="1">100</definedName>
    <definedName name="solver_itr" localSheetId="27" hidden="1">999999999</definedName>
    <definedName name="solver_itr" localSheetId="24" hidden="1">999999999</definedName>
    <definedName name="solver_itr" localSheetId="44" hidden="1">999999999</definedName>
    <definedName name="solver_itr" localSheetId="45" hidden="1">999999999</definedName>
    <definedName name="solver_itr" localSheetId="33" hidden="1">999999999</definedName>
    <definedName name="solver_itr" localSheetId="15" hidden="1">999999999</definedName>
    <definedName name="solver_itr" localSheetId="16" hidden="1">999999999</definedName>
    <definedName name="solver_itr" localSheetId="14" hidden="1">999999999</definedName>
    <definedName name="solver_itr" localSheetId="12" hidden="1">999999999</definedName>
    <definedName name="solver_itr" localSheetId="48" hidden="1">999999999</definedName>
    <definedName name="solver_itr" localSheetId="60" hidden="1">999999999</definedName>
    <definedName name="solver_itr" localSheetId="61" hidden="1">999999999</definedName>
    <definedName name="solver_itr" localSheetId="62" hidden="1">999999999</definedName>
    <definedName name="solver_itr" localSheetId="64" hidden="1">999999999</definedName>
    <definedName name="solver_itr" localSheetId="65" hidden="1">999999999</definedName>
    <definedName name="solver_itr" localSheetId="59" hidden="1">999999999</definedName>
    <definedName name="solver_itr" localSheetId="58" hidden="1">999999999</definedName>
    <definedName name="solver_itr" localSheetId="54" hidden="1">999999999</definedName>
    <definedName name="solver_itr" localSheetId="57" hidden="1">999999999</definedName>
    <definedName name="solver_itr" localSheetId="55" hidden="1">999999999</definedName>
    <definedName name="solver_itr" localSheetId="56" hidden="1">999999999</definedName>
    <definedName name="solver_itr" localSheetId="53" hidden="1">999999999</definedName>
    <definedName name="solver_itr" localSheetId="46" hidden="1">999999999</definedName>
    <definedName name="solver_itr" localSheetId="3" hidden="1">999999999</definedName>
    <definedName name="solver_itr" localSheetId="34" hidden="1">999999999</definedName>
    <definedName name="solver_itr" localSheetId="35" hidden="1">999999999</definedName>
    <definedName name="solver_itr" localSheetId="49" hidden="1">999999999</definedName>
    <definedName name="solver_itr" localSheetId="32" hidden="1">999999999</definedName>
    <definedName name="solver_itr" localSheetId="1" hidden="1">100</definedName>
    <definedName name="solver_itr" localSheetId="47" hidden="1">999999999</definedName>
    <definedName name="solver_itr" localSheetId="51" hidden="1">999999999</definedName>
    <definedName name="solver_itr" localSheetId="52" hidden="1">999999999</definedName>
    <definedName name="solver_itr" localSheetId="2" hidden="1">999999999</definedName>
    <definedName name="solver_itr" localSheetId="29" hidden="1">999999999</definedName>
    <definedName name="solver_itr" localSheetId="50" hidden="1">999999999</definedName>
    <definedName name="solver_itr" localSheetId="6" hidden="1">999999999</definedName>
    <definedName name="solver_itr" localSheetId="41" hidden="1">999999999</definedName>
    <definedName name="solver_itr" localSheetId="37" hidden="1">999999999</definedName>
    <definedName name="solver_lhs1" localSheetId="67" hidden="1">AutoModel!$B$20</definedName>
    <definedName name="solver_lhs1" localSheetId="20" hidden="1">'BadName!'!$H$12</definedName>
    <definedName name="solver_lhs1" localSheetId="31" hidden="1">BinIntLB!$H$11:$H$13</definedName>
    <definedName name="solver_lhs1" localSheetId="17" hidden="1">BinIntOverlap!$I$8:$I$9</definedName>
    <definedName name="solver_lhs1" localSheetId="30" hidden="1">BinLB!$H$11:$H$13</definedName>
    <definedName name="solver_lhs1" localSheetId="5" hidden="1">BlankLHS!$H$8:$H$9</definedName>
    <definedName name="solver_lhs1" localSheetId="4" hidden="1">BlankRHS!$H$8:$H$9</definedName>
    <definedName name="solver_lhs1" localSheetId="43" hidden="1">ComplexLayout!$I$8:$I$9</definedName>
    <definedName name="solver_lhs1" localSheetId="18" hidden="1">ConFormula!$I$9:$I$10</definedName>
    <definedName name="solver_lhs1" localSheetId="19" hidden="1">ConFormulaInf!$I$9:$I$10</definedName>
    <definedName name="solver_lhs1" localSheetId="39" hidden="1">ConstantLB!$H$11:$H$13</definedName>
    <definedName name="solver_lhs1" localSheetId="36" hidden="1">ConstFormulaRangeLB!$H$10:$H$12</definedName>
    <definedName name="solver_lhs1" localSheetId="38" hidden="1">ConstraintLB!$H$11:$H$13</definedName>
    <definedName name="solver_lhs1" localSheetId="22" hidden="1">DeletedConRef!$H$9:$H$10</definedName>
    <definedName name="solver_lhs1" localSheetId="23" hidden="1">DeletedObjRef!$H$9:$H$10</definedName>
    <definedName name="solver_lhs1" localSheetId="28" hidden="1">DirectLBs!$H$10:$H$12</definedName>
    <definedName name="solver_lhs1" localSheetId="8" hidden="1">ErrorLHS!$H$8:$H$9</definedName>
    <definedName name="solver_lhs1" localSheetId="9" hidden="1">ErrorObj!$H$8:$H$9</definedName>
    <definedName name="solver_lhs1" localSheetId="7" hidden="1">ErrorRHS!$H$8:$H$9</definedName>
    <definedName name="solver_lhs1" localSheetId="21" hidden="1">'EscapeSheetName(1)+2-1'!$H$8:$H$9</definedName>
    <definedName name="solver_lhs1" localSheetId="25" hidden="1">FeasConstConstraint!$J$8:$J$9</definedName>
    <definedName name="solver_lhs1" localSheetId="40" hidden="1">FormulaLB!$H$11:$H$13</definedName>
    <definedName name="solver_lhs1" localSheetId="42" hidden="1">FractionalCoeffs!$G$6</definedName>
    <definedName name="solver_lhs1" localSheetId="66" hidden="1">Highlighting!$G$7:$G$8</definedName>
    <definedName name="solver_lhs1" localSheetId="27" hidden="1">IndirectLBs!$H$10:$H$11</definedName>
    <definedName name="solver_lhs1" localSheetId="24" hidden="1">InfConstConstraint!$J$8:$J$9</definedName>
    <definedName name="solver_lhs1" localSheetId="44" hidden="1">InfModel!$H$9:$H$10</definedName>
    <definedName name="solver_lhs1" localSheetId="45" hidden="1">IterativeCalc!$H$9:$H$10</definedName>
    <definedName name="solver_lhs1" localSheetId="33" hidden="1">LargeRangeLB!$H$12:$H$14</definedName>
    <definedName name="solver_lhs1" localSheetId="15" hidden="1">MergedLHS_OK!$H$9:$H$10</definedName>
    <definedName name="solver_lhs1" localSheetId="16" hidden="1">MergedLHSMultiple_OK!$H$9:$H$10</definedName>
    <definedName name="solver_lhs1" localSheetId="14" hidden="1">MergedRHS_OK!$H$9:$H$10</definedName>
    <definedName name="solver_lhs1" localSheetId="13" hidden="1">MergedVarsBad!$H$8:$H$9</definedName>
    <definedName name="solver_lhs1" localSheetId="12" hidden="1">MergedVarsOK!$H$9:$H$10</definedName>
    <definedName name="solver_lhs1" localSheetId="11" hidden="1">MergedVarsSubset!$H$8:$H$9</definedName>
    <definedName name="solver_lhs1" localSheetId="48" hidden="1">NamedRanges!$I$8</definedName>
    <definedName name="solver_lhs1" localSheetId="60" hidden="1">NonLin!$J$40</definedName>
    <definedName name="solver_lhs1" localSheetId="61" hidden="1">NonLin2!$E$6:$E$7</definedName>
    <definedName name="solver_lhs1" localSheetId="62" hidden="1">NonLin3!$S$10:$S$11</definedName>
    <definedName name="solver_lhs1" localSheetId="59" hidden="1">NonLinBinary!$E$8:$E$9</definedName>
    <definedName name="solver_lhs1" localSheetId="58" hidden="1">NonLinConstraints!$I$7:$I$9</definedName>
    <definedName name="solver_lhs1" localSheetId="54" hidden="1">NonLinLarge!$H$7:$H$8</definedName>
    <definedName name="solver_lhs1" localSheetId="57" hidden="1">NonLinMinMax!$G$8</definedName>
    <definedName name="solver_lhs1" localSheetId="55" hidden="1">NonLinObj!$H$7:$H$8</definedName>
    <definedName name="solver_lhs1" localSheetId="56" hidden="1">NonLinPruning!$F$8:$F$9</definedName>
    <definedName name="solver_lhs1" localSheetId="53" hidden="1">NonLinSimple!$H$7:$H$8</definedName>
    <definedName name="solver_lhs1" localSheetId="46" hidden="1">NoObj!$H$9:$H$10</definedName>
    <definedName name="solver_lhs1" localSheetId="3" hidden="1">OverlappingVars!$H$8:$H$9</definedName>
    <definedName name="solver_lhs1" localSheetId="34" hidden="1">OverlapRangeLB!$H$12:$H$14</definedName>
    <definedName name="solver_lhs1" localSheetId="35" hidden="1">OverlapRangeLBwithFormula!$H$12:$H$14</definedName>
    <definedName name="solver_lhs1" localSheetId="26" hidden="1">ProtectedSheet!$H$8:$H$9</definedName>
    <definedName name="solver_lhs1" localSheetId="49" hidden="1">QuickSolve!$H$8</definedName>
    <definedName name="solver_lhs1" localSheetId="32" hidden="1">Relaxation!$H$11:$H$13</definedName>
    <definedName name="solver_lhs1" localSheetId="47" hidden="1">SeekObj!$G$6</definedName>
    <definedName name="solver_lhs1" localSheetId="51" hidden="1">Sensitivity!$G$8</definedName>
    <definedName name="solver_lhs1" localSheetId="52" hidden="1">SensitivityNames!$I$14:$I$16</definedName>
    <definedName name="solver_lhs1" localSheetId="2" hidden="1">SimpleLP!$H$8:$H$9</definedName>
    <definedName name="solver_lhs1" localSheetId="29" hidden="1">SingleRangeLB!$H$10:$H$12</definedName>
    <definedName name="solver_lhs1" localSheetId="50" hidden="1">SolverParameters!$H$17:$H$18</definedName>
    <definedName name="solver_lhs1" localSheetId="10" hidden="1">TextObj!$H$8:$H$9</definedName>
    <definedName name="solver_lhs1" localSheetId="6" hidden="1">TextRHS!$H$8:$H$9</definedName>
    <definedName name="solver_lhs1" localSheetId="41" hidden="1">VarConstraintLB!$H$11:$H$13</definedName>
    <definedName name="solver_lhs1" localSheetId="37" hidden="1">VariableFormulaRangeLB!$H$11:$H$13</definedName>
    <definedName name="solver_lhs10" localSheetId="19" hidden="1">ConFormulaInf!$I$14</definedName>
    <definedName name="solver_lhs10" localSheetId="54" hidden="1">NonLinLarge!$H$16</definedName>
    <definedName name="solver_lhs100" localSheetId="54" hidden="1">NonLinLarge!$H$106</definedName>
    <definedName name="solver_lhs101" localSheetId="54" hidden="1">NonLinLarge!$H$107</definedName>
    <definedName name="solver_lhs102" localSheetId="54" hidden="1">NonLinLarge!$H$108</definedName>
    <definedName name="solver_lhs103" localSheetId="54" hidden="1">NonLinLarge!$H$109</definedName>
    <definedName name="solver_lhs104" localSheetId="54" hidden="1">NonLinLarge!$H$110</definedName>
    <definedName name="solver_lhs105" localSheetId="54" hidden="1">NonLinLarge!$H$111</definedName>
    <definedName name="solver_lhs106" localSheetId="54" hidden="1">NonLinLarge!$H$112</definedName>
    <definedName name="solver_lhs107" localSheetId="54" hidden="1">NonLinLarge!$H$113</definedName>
    <definedName name="solver_lhs108" localSheetId="54" hidden="1">NonLinLarge!$H$114</definedName>
    <definedName name="solver_lhs109" localSheetId="54" hidden="1">NonLinLarge!$H$115</definedName>
    <definedName name="solver_lhs11" localSheetId="54" hidden="1">NonLinLarge!$H$17</definedName>
    <definedName name="solver_lhs110" localSheetId="54" hidden="1">NonLinLarge!$H$116</definedName>
    <definedName name="solver_lhs111" localSheetId="54" hidden="1">NonLinLarge!$H$117</definedName>
    <definedName name="solver_lhs112" localSheetId="54" hidden="1">NonLinLarge!$H$118</definedName>
    <definedName name="solver_lhs113" localSheetId="54" hidden="1">NonLinLarge!$H$119</definedName>
    <definedName name="solver_lhs114" localSheetId="54" hidden="1">NonLinLarge!$H$120</definedName>
    <definedName name="solver_lhs115" localSheetId="54" hidden="1">NonLinLarge!$H$121</definedName>
    <definedName name="solver_lhs116" localSheetId="54" hidden="1">NonLinLarge!$H$122</definedName>
    <definedName name="solver_lhs117" localSheetId="54" hidden="1">NonLinLarge!$H$123</definedName>
    <definedName name="solver_lhs118" localSheetId="54" hidden="1">NonLinLarge!$H$124</definedName>
    <definedName name="solver_lhs119" localSheetId="54" hidden="1">NonLinLarge!$H$125</definedName>
    <definedName name="solver_lhs12" localSheetId="54" hidden="1">NonLinLarge!$H$18</definedName>
    <definedName name="solver_lhs120" localSheetId="54" hidden="1">NonLinLarge!$H$126</definedName>
    <definedName name="solver_lhs121" localSheetId="54" hidden="1">NonLinLarge!$H$127</definedName>
    <definedName name="solver_lhs122" localSheetId="54" hidden="1">NonLinLarge!$H$128</definedName>
    <definedName name="solver_lhs123" localSheetId="54" hidden="1">NonLinLarge!$H$129</definedName>
    <definedName name="solver_lhs124" localSheetId="54" hidden="1">NonLinLarge!$H$130</definedName>
    <definedName name="solver_lhs125" localSheetId="54" hidden="1">NonLinLarge!$H$131</definedName>
    <definedName name="solver_lhs126" localSheetId="54" hidden="1">NonLinLarge!$H$132</definedName>
    <definedName name="solver_lhs127" localSheetId="54" hidden="1">NonLinLarge!$H$133</definedName>
    <definedName name="solver_lhs128" localSheetId="54" hidden="1">NonLinLarge!$H$134</definedName>
    <definedName name="solver_lhs129" localSheetId="54" hidden="1">NonLinLarge!$H$135</definedName>
    <definedName name="solver_lhs13" localSheetId="54" hidden="1">NonLinLarge!$H$19</definedName>
    <definedName name="solver_lhs130" localSheetId="54" hidden="1">NonLinLarge!$H$136</definedName>
    <definedName name="solver_lhs131" localSheetId="54" hidden="1">NonLinLarge!$H$137</definedName>
    <definedName name="solver_lhs132" localSheetId="54" hidden="1">NonLinLarge!$H$138</definedName>
    <definedName name="solver_lhs133" localSheetId="54" hidden="1">NonLinLarge!$H$139</definedName>
    <definedName name="solver_lhs14" localSheetId="54" hidden="1">NonLinLarge!$H$20</definedName>
    <definedName name="solver_lhs15" localSheetId="54" hidden="1">NonLinLarge!$H$21</definedName>
    <definedName name="solver_lhs16" localSheetId="54" hidden="1">NonLinLarge!$H$22</definedName>
    <definedName name="solver_lhs17" localSheetId="54" hidden="1">NonLinLarge!$H$23</definedName>
    <definedName name="solver_lhs18" localSheetId="54" hidden="1">NonLinLarge!$H$24</definedName>
    <definedName name="solver_lhs19" localSheetId="54" hidden="1">NonLinLarge!$H$25</definedName>
    <definedName name="solver_lhs2" localSheetId="67" hidden="1">AutoModel!$B$14</definedName>
    <definedName name="solver_lhs2" localSheetId="20" hidden="1">'BadName!'!$H$10</definedName>
    <definedName name="solver_lhs2" localSheetId="31" hidden="1">BinIntLB!$D$5:$F$5</definedName>
    <definedName name="solver_lhs2" localSheetId="17" hidden="1">BinIntOverlap!$I$10</definedName>
    <definedName name="solver_lhs2" localSheetId="30" hidden="1">BinLB!$D$5:$F$5</definedName>
    <definedName name="solver_lhs2" localSheetId="5" hidden="1">BlankLHS!$H$10</definedName>
    <definedName name="solver_lhs2" localSheetId="4" hidden="1">BlankRHS!$H$10</definedName>
    <definedName name="solver_lhs2" localSheetId="43" hidden="1">ComplexLayout!$I$10</definedName>
    <definedName name="solver_lhs2" localSheetId="18" hidden="1">ConFormula!$I$11</definedName>
    <definedName name="solver_lhs2" localSheetId="19" hidden="1">ConFormulaInf!$K$11</definedName>
    <definedName name="solver_lhs2" localSheetId="39" hidden="1">ConstantLB!$D$5</definedName>
    <definedName name="solver_lhs2" localSheetId="36" hidden="1">ConstFormulaRangeLB!$D$4:$F$4</definedName>
    <definedName name="solver_lhs2" localSheetId="38" hidden="1">ConstraintLB!$H$12</definedName>
    <definedName name="solver_lhs2" localSheetId="22" hidden="1">DeletedConRef!$H$11</definedName>
    <definedName name="solver_lhs2" localSheetId="23" hidden="1">DeletedObjRef!$H$11</definedName>
    <definedName name="solver_lhs2" localSheetId="28" hidden="1">DirectLBs!$D$4:$F$4</definedName>
    <definedName name="solver_lhs2" localSheetId="8" hidden="1">ErrorLHS!$H$10</definedName>
    <definedName name="solver_lhs2" localSheetId="9" hidden="1">ErrorObj!$H$10</definedName>
    <definedName name="solver_lhs2" localSheetId="7" hidden="1">ErrorRHS!$H$10</definedName>
    <definedName name="solver_lhs2" localSheetId="21" hidden="1">'EscapeSheetName(1)+2-1'!$H$10</definedName>
    <definedName name="solver_lhs2" localSheetId="25" hidden="1">FeasConstConstraint!$J$10</definedName>
    <definedName name="solver_lhs2" localSheetId="40" hidden="1">FormulaLB!$D$5</definedName>
    <definedName name="solver_lhs2" localSheetId="42" hidden="1">FractionalCoeffs!$G$7</definedName>
    <definedName name="solver_lhs2" localSheetId="66" hidden="1">Highlighting!$G$9</definedName>
    <definedName name="solver_lhs2" localSheetId="27" hidden="1">IndirectLBs!$H$12</definedName>
    <definedName name="solver_lhs2" localSheetId="24" hidden="1">InfConstConstraint!$J$10</definedName>
    <definedName name="solver_lhs2" localSheetId="44" hidden="1">InfModel!$H$11</definedName>
    <definedName name="solver_lhs2" localSheetId="45" hidden="1">IterativeCalc!$H$11</definedName>
    <definedName name="solver_lhs2" localSheetId="33" hidden="1">LargeRangeLB!$D$6:$H$6</definedName>
    <definedName name="solver_lhs2" localSheetId="15" hidden="1">MergedLHS_OK!$H$11</definedName>
    <definedName name="solver_lhs2" localSheetId="16" hidden="1">MergedLHSMultiple_OK!$H$11</definedName>
    <definedName name="solver_lhs2" localSheetId="14" hidden="1">MergedRHS_OK!$H$11</definedName>
    <definedName name="solver_lhs2" localSheetId="13" hidden="1">MergedVarsBad!$H$10</definedName>
    <definedName name="solver_lhs2" localSheetId="12" hidden="1">MergedVarsOK!$H$11</definedName>
    <definedName name="solver_lhs2" localSheetId="11" hidden="1">MergedVarsSubset!$H$10</definedName>
    <definedName name="solver_lhs2" localSheetId="48" hidden="1">NamedRanges!$I$9</definedName>
    <definedName name="solver_lhs2" localSheetId="60" hidden="1">NonLin!$J$41:$J$42</definedName>
    <definedName name="solver_lhs2" localSheetId="61" hidden="1">NonLin2!$C$4:$D$4</definedName>
    <definedName name="solver_lhs2" localSheetId="62" hidden="1">NonLin3!$S$10:$S$11</definedName>
    <definedName name="solver_lhs2" localSheetId="59" hidden="1">NonLinBinary!$C$4:$D$4</definedName>
    <definedName name="solver_lhs2" localSheetId="58" hidden="1">NonLinConstraints!$D$5:$H$5</definedName>
    <definedName name="solver_lhs2" localSheetId="54" hidden="1">NonLinLarge!$H$9:$H$72</definedName>
    <definedName name="solver_lhs2" localSheetId="57" hidden="1">NonLinMinMax!$D$4:$F$4</definedName>
    <definedName name="solver_lhs2" localSheetId="55" hidden="1">NonLinObj!$H$9</definedName>
    <definedName name="solver_lhs2" localSheetId="56" hidden="1">NonLinPruning!$F$10:$F$11</definedName>
    <definedName name="solver_lhs2" localSheetId="53" hidden="1">NonLinSimple!$H$9</definedName>
    <definedName name="solver_lhs2" localSheetId="46" hidden="1">NoObj!$H$11</definedName>
    <definedName name="solver_lhs2" localSheetId="3" hidden="1">OverlappingVars!$H$10</definedName>
    <definedName name="solver_lhs2" localSheetId="34" hidden="1">OverlapRangeLB!$E$6:$H$6</definedName>
    <definedName name="solver_lhs2" localSheetId="35" hidden="1">OverlapRangeLBwithFormula!$D$6:$H$6</definedName>
    <definedName name="solver_lhs2" localSheetId="26" hidden="1">ProtectedSheet!$H$10</definedName>
    <definedName name="solver_lhs2" localSheetId="49" hidden="1">QuickSolve!$H$9:$H$10</definedName>
    <definedName name="solver_lhs2" localSheetId="32" hidden="1">Relaxation!$D$5:$F$5</definedName>
    <definedName name="solver_lhs2" localSheetId="47" hidden="1">SeekObj!$G$7</definedName>
    <definedName name="solver_lhs2" localSheetId="51" hidden="1">Sensitivity!$G$9</definedName>
    <definedName name="solver_lhs2" localSheetId="52" hidden="1">SensitivityNames!$D$17:$H$17</definedName>
    <definedName name="solver_lhs2" localSheetId="2" hidden="1">SimpleLP!$H$10</definedName>
    <definedName name="solver_lhs2" localSheetId="29" hidden="1">SingleRangeLB!$D$4:$F$4</definedName>
    <definedName name="solver_lhs2" localSheetId="50" hidden="1">SolverParameters!$H$19</definedName>
    <definedName name="solver_lhs2" localSheetId="10" hidden="1">TextObj!$H$10</definedName>
    <definedName name="solver_lhs2" localSheetId="6" hidden="1">TextRHS!$H$10</definedName>
    <definedName name="solver_lhs2" localSheetId="41" hidden="1">VarConstraintLB!$D$7</definedName>
    <definedName name="solver_lhs2" localSheetId="37" hidden="1">VariableFormulaRangeLB!$D$5:$F$5</definedName>
    <definedName name="solver_lhs20" localSheetId="54" hidden="1">NonLinLarge!$H$26</definedName>
    <definedName name="solver_lhs21" localSheetId="54" hidden="1">NonLinLarge!$H$27</definedName>
    <definedName name="solver_lhs22" localSheetId="54" hidden="1">NonLinLarge!$H$28</definedName>
    <definedName name="solver_lhs23" localSheetId="54" hidden="1">NonLinLarge!$H$29</definedName>
    <definedName name="solver_lhs24" localSheetId="54" hidden="1">NonLinLarge!$H$30</definedName>
    <definedName name="solver_lhs25" localSheetId="54" hidden="1">NonLinLarge!$H$31</definedName>
    <definedName name="solver_lhs26" localSheetId="54" hidden="1">NonLinLarge!$H$32</definedName>
    <definedName name="solver_lhs27" localSheetId="54" hidden="1">NonLinLarge!$H$33</definedName>
    <definedName name="solver_lhs28" localSheetId="54" hidden="1">NonLinLarge!$H$34</definedName>
    <definedName name="solver_lhs29" localSheetId="54" hidden="1">NonLinLarge!$H$35</definedName>
    <definedName name="solver_lhs3" localSheetId="67" hidden="1">AutoModel!$B$17</definedName>
    <definedName name="solver_lhs3" localSheetId="20" hidden="1">'BadName!'!$H$11</definedName>
    <definedName name="solver_lhs3" localSheetId="31" hidden="1">BinIntLB!$F$5</definedName>
    <definedName name="solver_lhs3" localSheetId="17" hidden="1">BinIntOverlap!$I$11</definedName>
    <definedName name="solver_lhs3" localSheetId="30" hidden="1">BinLB!$F$5</definedName>
    <definedName name="solver_lhs3" localSheetId="5" hidden="1">BlankLHS!$H$11</definedName>
    <definedName name="solver_lhs3" localSheetId="4" hidden="1">BlankRHS!$H$11</definedName>
    <definedName name="solver_lhs3" localSheetId="43" hidden="1">ComplexLayout!$I$11</definedName>
    <definedName name="solver_lhs3" localSheetId="18" hidden="1">ConFormula!$I$12</definedName>
    <definedName name="solver_lhs3" localSheetId="19" hidden="1">ConFormulaInf!$I$12</definedName>
    <definedName name="solver_lhs3" localSheetId="39" hidden="1">ConstantLB!$H$12</definedName>
    <definedName name="solver_lhs3" localSheetId="36" hidden="1">ConstFormulaRangeLB!$H$11</definedName>
    <definedName name="solver_lhs3" localSheetId="38" hidden="1">ConstraintLB!$H$13</definedName>
    <definedName name="solver_lhs3" localSheetId="22" hidden="1">DeletedConRef!$H$12</definedName>
    <definedName name="solver_lhs3" localSheetId="23" hidden="1">DeletedObjRef!$H$12</definedName>
    <definedName name="solver_lhs3" localSheetId="28" hidden="1">DirectLBs!$H$12</definedName>
    <definedName name="solver_lhs3" localSheetId="8" hidden="1">ErrorLHS!$H$11</definedName>
    <definedName name="solver_lhs3" localSheetId="9" hidden="1">ErrorObj!$H$11</definedName>
    <definedName name="solver_lhs3" localSheetId="7" hidden="1">ErrorRHS!$H$11</definedName>
    <definedName name="solver_lhs3" localSheetId="21" hidden="1">'EscapeSheetName(1)+2-1'!$H$11</definedName>
    <definedName name="solver_lhs3" localSheetId="25" hidden="1">FeasConstConstraint!$J$11</definedName>
    <definedName name="solver_lhs3" localSheetId="40" hidden="1">FormulaLB!$H$12</definedName>
    <definedName name="solver_lhs3" localSheetId="42" hidden="1">FractionalCoeffs!$G$8:$G$9</definedName>
    <definedName name="solver_lhs3" localSheetId="66" hidden="1">Highlighting!$G$10</definedName>
    <definedName name="solver_lhs3" localSheetId="27" hidden="1">IndirectLBs!$H$13</definedName>
    <definedName name="solver_lhs3" localSheetId="24" hidden="1">InfConstConstraint!$J$11</definedName>
    <definedName name="solver_lhs3" localSheetId="44" hidden="1">InfModel!$H$12</definedName>
    <definedName name="solver_lhs3" localSheetId="45" hidden="1">IterativeCalc!$H$12</definedName>
    <definedName name="solver_lhs3" localSheetId="33" hidden="1">LargeRangeLB!$H$13</definedName>
    <definedName name="solver_lhs3" localSheetId="15" hidden="1">MergedLHS_OK!$H$12</definedName>
    <definedName name="solver_lhs3" localSheetId="16" hidden="1">MergedLHSMultiple_OK!$H$12</definedName>
    <definedName name="solver_lhs3" localSheetId="14" hidden="1">MergedRHS_OK!$H$12</definedName>
    <definedName name="solver_lhs3" localSheetId="13" hidden="1">MergedVarsBad!$H$11</definedName>
    <definedName name="solver_lhs3" localSheetId="12" hidden="1">MergedVarsOK!$H$12</definedName>
    <definedName name="solver_lhs3" localSheetId="11" hidden="1">MergedVarsSubset!$H$11</definedName>
    <definedName name="solver_lhs3" localSheetId="48" hidden="1">NamedRanges!$I$10:$I$11</definedName>
    <definedName name="solver_lhs3" localSheetId="60" hidden="1">NonLin!$J$43</definedName>
    <definedName name="solver_lhs3" localSheetId="54" hidden="1">NonLinLarge!$H$73</definedName>
    <definedName name="solver_lhs3" localSheetId="55" hidden="1">NonLinObj!$H$10</definedName>
    <definedName name="solver_lhs3" localSheetId="56" hidden="1">NonLinPruning!$F$12:$F$18</definedName>
    <definedName name="solver_lhs3" localSheetId="53" hidden="1">NonLinSimple!$H$10</definedName>
    <definedName name="solver_lhs3" localSheetId="46" hidden="1">NoObj!$H$12</definedName>
    <definedName name="solver_lhs3" localSheetId="3" hidden="1">OverlappingVars!$H$11</definedName>
    <definedName name="solver_lhs3" localSheetId="34" hidden="1">OverlapRangeLB!$H$13</definedName>
    <definedName name="solver_lhs3" localSheetId="35" hidden="1">OverlapRangeLBwithFormula!$H$13</definedName>
    <definedName name="solver_lhs3" localSheetId="26" hidden="1">ProtectedSheet!$H$11</definedName>
    <definedName name="solver_lhs3" localSheetId="49" hidden="1">QuickSolve!$H$10</definedName>
    <definedName name="solver_lhs3" localSheetId="32" hidden="1">Relaxation!$F$5</definedName>
    <definedName name="solver_lhs3" localSheetId="47" hidden="1">SeekObj!$G$8:$G$9</definedName>
    <definedName name="solver_lhs3" localSheetId="51" hidden="1">Sensitivity!$G$10:$G$11</definedName>
    <definedName name="solver_lhs3" localSheetId="52" hidden="1">SensitivityNames!$D$14:$H$16</definedName>
    <definedName name="solver_lhs3" localSheetId="2" hidden="1">SimpleLP!$H$11</definedName>
    <definedName name="solver_lhs3" localSheetId="29" hidden="1">SingleRangeLB!$H$11</definedName>
    <definedName name="solver_lhs3" localSheetId="50" hidden="1">SolverParameters!$H$20</definedName>
    <definedName name="solver_lhs3" localSheetId="10" hidden="1">TextObj!$H$11</definedName>
    <definedName name="solver_lhs3" localSheetId="6" hidden="1">TextRHS!$H$11</definedName>
    <definedName name="solver_lhs3" localSheetId="41" hidden="1">VarConstraintLB!$H$12</definedName>
    <definedName name="solver_lhs3" localSheetId="37" hidden="1">VariableFormulaRangeLB!$H$12</definedName>
    <definedName name="solver_lhs30" localSheetId="54" hidden="1">NonLinLarge!$H$36</definedName>
    <definedName name="solver_lhs31" localSheetId="54" hidden="1">NonLinLarge!$H$37</definedName>
    <definedName name="solver_lhs32" localSheetId="54" hidden="1">NonLinLarge!$H$38</definedName>
    <definedName name="solver_lhs33" localSheetId="54" hidden="1">NonLinLarge!$H$39</definedName>
    <definedName name="solver_lhs34" localSheetId="54" hidden="1">NonLinLarge!$H$40</definedName>
    <definedName name="solver_lhs35" localSheetId="54" hidden="1">NonLinLarge!$H$41</definedName>
    <definedName name="solver_lhs36" localSheetId="54" hidden="1">NonLinLarge!$H$42</definedName>
    <definedName name="solver_lhs37" localSheetId="54" hidden="1">NonLinLarge!$H$43</definedName>
    <definedName name="solver_lhs38" localSheetId="54" hidden="1">NonLinLarge!$H$44</definedName>
    <definedName name="solver_lhs39" localSheetId="54" hidden="1">NonLinLarge!$H$45</definedName>
    <definedName name="solver_lhs4" localSheetId="67" hidden="1">AutoModel!$D$33</definedName>
    <definedName name="solver_lhs4" localSheetId="20" hidden="1">'BadName!'!$H$12</definedName>
    <definedName name="solver_lhs4" localSheetId="31" hidden="1">BinIntLB!$E$5:$F$5</definedName>
    <definedName name="solver_lhs4" localSheetId="17" hidden="1">BinIntOverlap!$E$4:$F$4</definedName>
    <definedName name="solver_lhs4" localSheetId="30" hidden="1">BinLB!$H$12</definedName>
    <definedName name="solver_lhs4" localSheetId="5" hidden="1">BlankLHS!$H$11</definedName>
    <definedName name="solver_lhs4" localSheetId="4" hidden="1">BlankRHS!$H$11</definedName>
    <definedName name="solver_lhs4" localSheetId="43" hidden="1">ComplexLayout!$E$4:$F$4</definedName>
    <definedName name="solver_lhs4" localSheetId="18" hidden="1">ConFormula!$E$5:$F$5</definedName>
    <definedName name="solver_lhs4" localSheetId="19" hidden="1">ConFormulaInf!$E$5:$F$5</definedName>
    <definedName name="solver_lhs4" localSheetId="39" hidden="1">ConstantLB!$H$13</definedName>
    <definedName name="solver_lhs4" localSheetId="36" hidden="1">ConstFormulaRangeLB!$H$12</definedName>
    <definedName name="solver_lhs4" localSheetId="38" hidden="1">ConstraintLB!$D$5:$F$5</definedName>
    <definedName name="solver_lhs4" localSheetId="22" hidden="1">DeletedConRef!$K$1</definedName>
    <definedName name="solver_lhs4" localSheetId="23" hidden="1">DeletedObjRef!$H$12</definedName>
    <definedName name="solver_lhs4" localSheetId="28" hidden="1">DirectLBs!$D$4:$F$4</definedName>
    <definedName name="solver_lhs4" localSheetId="8" hidden="1">ErrorLHS!$H$11</definedName>
    <definedName name="solver_lhs4" localSheetId="9" hidden="1">ErrorObj!$H$11</definedName>
    <definedName name="solver_lhs4" localSheetId="7" hidden="1">ErrorRHS!$H$11</definedName>
    <definedName name="solver_lhs4" localSheetId="21" hidden="1">'EscapeSheetName(1)+2-1'!$H$11</definedName>
    <definedName name="solver_lhs4" localSheetId="25" hidden="1">FeasConstConstraint!$J$11</definedName>
    <definedName name="solver_lhs4" localSheetId="40" hidden="1">FormulaLB!$H$13</definedName>
    <definedName name="solver_lhs4" localSheetId="42" hidden="1">FractionalCoeffs!$G$9</definedName>
    <definedName name="solver_lhs4" localSheetId="66" hidden="1">Highlighting!$M$15</definedName>
    <definedName name="solver_lhs4" localSheetId="27" hidden="1">IndirectLBs!$D$5:$E$5</definedName>
    <definedName name="solver_lhs4" localSheetId="24" hidden="1">InfConstConstraint!$J$11</definedName>
    <definedName name="solver_lhs4" localSheetId="44" hidden="1">InfModel!$D$5</definedName>
    <definedName name="solver_lhs4" localSheetId="45" hidden="1">IterativeCalc!$H$12</definedName>
    <definedName name="solver_lhs4" localSheetId="33" hidden="1">LargeRangeLB!$H$14</definedName>
    <definedName name="solver_lhs4" localSheetId="15" hidden="1">MergedLHS_OK!$H$12</definedName>
    <definedName name="solver_lhs4" localSheetId="16" hidden="1">MergedLHSMultiple_OK!$H$12</definedName>
    <definedName name="solver_lhs4" localSheetId="14" hidden="1">MergedRHS_OK!$H$12</definedName>
    <definedName name="solver_lhs4" localSheetId="13" hidden="1">MergedVarsBad!$H$12</definedName>
    <definedName name="solver_lhs4" localSheetId="12" hidden="1">MergedVarsOK!$H$12</definedName>
    <definedName name="solver_lhs4" localSheetId="11" hidden="1">MergedVarsSubset!$H$12</definedName>
    <definedName name="solver_lhs4" localSheetId="48" hidden="1">NamedRanges!$I$12</definedName>
    <definedName name="solver_lhs4" localSheetId="60" hidden="1">NonLin!$J$44</definedName>
    <definedName name="solver_lhs4" localSheetId="54" hidden="1">NonLinLarge!$H$74</definedName>
    <definedName name="solver_lhs4" localSheetId="56" hidden="1">NonLinPruning!$F$11</definedName>
    <definedName name="solver_lhs4" localSheetId="46" hidden="1">NoObj!$H$12</definedName>
    <definedName name="solver_lhs4" localSheetId="3" hidden="1">OverlappingVars!$H$8:$H$9</definedName>
    <definedName name="solver_lhs4" localSheetId="34" hidden="1">OverlapRangeLB!$H$14</definedName>
    <definedName name="solver_lhs4" localSheetId="35" hidden="1">OverlapRangeLBwithFormula!$H$14</definedName>
    <definedName name="solver_lhs4" localSheetId="26" hidden="1">ProtectedSheet!$H$11</definedName>
    <definedName name="solver_lhs4" localSheetId="49" hidden="1">QuickSolve!$D$4:$E$4</definedName>
    <definedName name="solver_lhs4" localSheetId="32" hidden="1">Relaxation!$E$5:$F$5</definedName>
    <definedName name="solver_lhs4" localSheetId="47" hidden="1">SeekObj!$G$9</definedName>
    <definedName name="solver_lhs4" localSheetId="51" hidden="1">Sensitivity!$D$4:$F$4</definedName>
    <definedName name="solver_lhs4" localSheetId="2" hidden="1">SimpleLP!$H$8:$H$9</definedName>
    <definedName name="solver_lhs4" localSheetId="29" hidden="1">SingleRangeLB!$H$12</definedName>
    <definedName name="solver_lhs4" localSheetId="50" hidden="1">SolverParameters!$H$20</definedName>
    <definedName name="solver_lhs4" localSheetId="10" hidden="1">TextObj!$H$11</definedName>
    <definedName name="solver_lhs4" localSheetId="6" hidden="1">TextRHS!$H$11</definedName>
    <definedName name="solver_lhs4" localSheetId="41" hidden="1">VarConstraintLB!$H$13</definedName>
    <definedName name="solver_lhs4" localSheetId="37" hidden="1">VariableFormulaRangeLB!$H$13</definedName>
    <definedName name="solver_lhs40" localSheetId="54" hidden="1">NonLinLarge!$H$46</definedName>
    <definedName name="solver_lhs41" localSheetId="54" hidden="1">NonLinLarge!$H$47</definedName>
    <definedName name="solver_lhs42" localSheetId="54" hidden="1">NonLinLarge!$H$48</definedName>
    <definedName name="solver_lhs43" localSheetId="54" hidden="1">NonLinLarge!$H$49</definedName>
    <definedName name="solver_lhs44" localSheetId="54" hidden="1">NonLinLarge!$H$50</definedName>
    <definedName name="solver_lhs45" localSheetId="54" hidden="1">NonLinLarge!$H$51</definedName>
    <definedName name="solver_lhs46" localSheetId="54" hidden="1">NonLinLarge!$H$52</definedName>
    <definedName name="solver_lhs47" localSheetId="54" hidden="1">NonLinLarge!$H$53</definedName>
    <definedName name="solver_lhs48" localSheetId="54" hidden="1">NonLinLarge!$H$54</definedName>
    <definedName name="solver_lhs49" localSheetId="54" hidden="1">NonLinLarge!$H$55</definedName>
    <definedName name="solver_lhs5" localSheetId="67" hidden="1">AutoModel!$B$28:$D$28</definedName>
    <definedName name="solver_lhs5" localSheetId="20" hidden="1">'BadName!'!$D$5</definedName>
    <definedName name="solver_lhs5" localSheetId="31" hidden="1">BinIntLB!$H$12</definedName>
    <definedName name="solver_lhs5" localSheetId="17" hidden="1">BinIntOverlap!$D$4:$F$4</definedName>
    <definedName name="solver_lhs5" localSheetId="30" hidden="1">BinLB!$H$13</definedName>
    <definedName name="solver_lhs5" localSheetId="5" hidden="1">BlankLHS!$D$4</definedName>
    <definedName name="solver_lhs5" localSheetId="4" hidden="1">BlankRHS!$D$4</definedName>
    <definedName name="solver_lhs5" localSheetId="43" hidden="1">ComplexLayout!$D$4:$F$4</definedName>
    <definedName name="solver_lhs5" localSheetId="18" hidden="1">ConFormula!$D$5:$F$5</definedName>
    <definedName name="solver_lhs5" localSheetId="19" hidden="1">ConFormulaInf!$D$5:$F$5</definedName>
    <definedName name="solver_lhs5" localSheetId="39" hidden="1">ConstantLB!$D$5</definedName>
    <definedName name="solver_lhs5" localSheetId="36" hidden="1">ConstFormulaRangeLB!$D$4</definedName>
    <definedName name="solver_lhs5" localSheetId="38" hidden="1">ConstraintLB!$D$5</definedName>
    <definedName name="solver_lhs5" localSheetId="22" hidden="1">DeletedConRef!$D$5</definedName>
    <definedName name="solver_lhs5" localSheetId="23" hidden="1">DeletedObjRef!$D$5</definedName>
    <definedName name="solver_lhs5" localSheetId="28" hidden="1">DirectLBs!$D$4</definedName>
    <definedName name="solver_lhs5" localSheetId="8" hidden="1">ErrorLHS!$D$4</definedName>
    <definedName name="solver_lhs5" localSheetId="9" hidden="1">ErrorObj!$D$4</definedName>
    <definedName name="solver_lhs5" localSheetId="7" hidden="1">ErrorRHS!$D$4</definedName>
    <definedName name="solver_lhs5" localSheetId="21" hidden="1">'EscapeSheetName(1)+2-1'!$D$4</definedName>
    <definedName name="solver_lhs5" localSheetId="25" hidden="1">FeasConstConstraint!$D$4</definedName>
    <definedName name="solver_lhs5" localSheetId="40" hidden="1">FormulaLB!$D$5</definedName>
    <definedName name="solver_lhs5" localSheetId="66" hidden="1">Highlighting!$M$12</definedName>
    <definedName name="solver_lhs5" localSheetId="27" hidden="1">IndirectLBs!$D$5</definedName>
    <definedName name="solver_lhs5" localSheetId="24" hidden="1">InfConstConstraint!$D$4</definedName>
    <definedName name="solver_lhs5" localSheetId="44" hidden="1">InfModel!$D$5</definedName>
    <definedName name="solver_lhs5" localSheetId="45" hidden="1">IterativeCalc!$D$5</definedName>
    <definedName name="solver_lhs5" localSheetId="33" hidden="1">LargeRangeLB!$D$6</definedName>
    <definedName name="solver_lhs5" localSheetId="15" hidden="1">MergedLHS_OK!$H$10</definedName>
    <definedName name="solver_lhs5" localSheetId="16" hidden="1">MergedLHSMultiple_OK!$H$10</definedName>
    <definedName name="solver_lhs5" localSheetId="14" hidden="1">MergedRHS_OK!$D$5</definedName>
    <definedName name="solver_lhs5" localSheetId="13" hidden="1">MergedVarsBad!$D$5</definedName>
    <definedName name="solver_lhs5" localSheetId="12" hidden="1">MergedVarsOK!$D$5</definedName>
    <definedName name="solver_lhs5" localSheetId="11" hidden="1">MergedVarsSubset!$D$5</definedName>
    <definedName name="solver_lhs5" localSheetId="60" hidden="1">NonLin!$D$3:$D$35</definedName>
    <definedName name="solver_lhs5" localSheetId="54" hidden="1">NonLinLarge!$H$75:$H$138</definedName>
    <definedName name="solver_lhs5" localSheetId="56" hidden="1">NonLinPruning!$F$12:$F$17</definedName>
    <definedName name="solver_lhs5" localSheetId="46" hidden="1">NoObj!$D$5</definedName>
    <definedName name="solver_lhs5" localSheetId="3" hidden="1">OverlappingVars!$H$10</definedName>
    <definedName name="solver_lhs5" localSheetId="34" hidden="1">OverlapRangeLB!$D$6</definedName>
    <definedName name="solver_lhs5" localSheetId="35" hidden="1">OverlapRangeLBwithFormula!$D$6</definedName>
    <definedName name="solver_lhs5" localSheetId="26" hidden="1">ProtectedSheet!$D$4</definedName>
    <definedName name="solver_lhs5" localSheetId="49" hidden="1">QuickSolve!$H$11</definedName>
    <definedName name="solver_lhs5" localSheetId="32" hidden="1">Relaxation!$F$5</definedName>
    <definedName name="solver_lhs5" localSheetId="2" hidden="1">SimpleLP!$H$10</definedName>
    <definedName name="solver_lhs5" localSheetId="29" hidden="1">SingleRangeLB!$D$4</definedName>
    <definedName name="solver_lhs5" localSheetId="10" hidden="1">TextObj!$D$4</definedName>
    <definedName name="solver_lhs5" localSheetId="6" hidden="1">TextRHS!$D$4</definedName>
    <definedName name="solver_lhs5" localSheetId="41" hidden="1">VarConstraintLB!$D$5</definedName>
    <definedName name="solver_lhs5" localSheetId="37" hidden="1">VariableFormulaRangeLB!$D$5</definedName>
    <definedName name="solver_lhs50" localSheetId="54" hidden="1">NonLinLarge!$H$56</definedName>
    <definedName name="solver_lhs51" localSheetId="54" hidden="1">NonLinLarge!$H$57</definedName>
    <definedName name="solver_lhs52" localSheetId="54" hidden="1">NonLinLarge!$H$58</definedName>
    <definedName name="solver_lhs53" localSheetId="54" hidden="1">NonLinLarge!$H$59</definedName>
    <definedName name="solver_lhs54" localSheetId="54" hidden="1">NonLinLarge!$H$60</definedName>
    <definedName name="solver_lhs55" localSheetId="54" hidden="1">NonLinLarge!$H$61</definedName>
    <definedName name="solver_lhs56" localSheetId="54" hidden="1">NonLinLarge!$H$62</definedName>
    <definedName name="solver_lhs57" localSheetId="54" hidden="1">NonLinLarge!$H$63</definedName>
    <definedName name="solver_lhs58" localSheetId="54" hidden="1">NonLinLarge!$H$64</definedName>
    <definedName name="solver_lhs59" localSheetId="54" hidden="1">NonLinLarge!$H$65</definedName>
    <definedName name="solver_lhs6" localSheetId="67" hidden="1">AutoModel!$C$28</definedName>
    <definedName name="solver_lhs6" localSheetId="20" hidden="1">'BadName!'!#REF!</definedName>
    <definedName name="solver_lhs6" localSheetId="31" hidden="1">BinIntLB!$H$13</definedName>
    <definedName name="solver_lhs6" localSheetId="17" hidden="1">BinIntOverlap!$I$11</definedName>
    <definedName name="solver_lhs6" localSheetId="30" hidden="1">BinLB!$D$5</definedName>
    <definedName name="solver_lhs6" localSheetId="5" hidden="1">BlankLHS!#REF!</definedName>
    <definedName name="solver_lhs6" localSheetId="4" hidden="1">BlankRHS!#REF!</definedName>
    <definedName name="solver_lhs6" localSheetId="43" hidden="1">ComplexLayout!$S$3:$S$4</definedName>
    <definedName name="solver_lhs6" localSheetId="18" hidden="1">ConFormula!$S$4:$S$5</definedName>
    <definedName name="solver_lhs6" localSheetId="19" hidden="1">ConFormulaInf!$S$4:$S$5</definedName>
    <definedName name="solver_lhs6" localSheetId="39" hidden="1">ConstantLB!$D$5:$F$5</definedName>
    <definedName name="solver_lhs6" localSheetId="36" hidden="1">ConstFormulaRangeLB!$D$4:$F$4</definedName>
    <definedName name="solver_lhs6" localSheetId="38" hidden="1">ConstraintLB!$D$5:$F$5</definedName>
    <definedName name="solver_lhs6" localSheetId="22" hidden="1">DeletedConRef!#REF!</definedName>
    <definedName name="solver_lhs6" localSheetId="23" hidden="1">DeletedObjRef!#REF!</definedName>
    <definedName name="solver_lhs6" localSheetId="28" hidden="1">DirectLBs!$D$4:$F$4</definedName>
    <definedName name="solver_lhs6" localSheetId="8" hidden="1">ErrorLHS!#REF!</definedName>
    <definedName name="solver_lhs6" localSheetId="9" hidden="1">ErrorObj!#REF!</definedName>
    <definedName name="solver_lhs6" localSheetId="7" hidden="1">ErrorRHS!#REF!</definedName>
    <definedName name="solver_lhs6" localSheetId="21" hidden="1">'EscapeSheetName(1)+2-1'!#REF!</definedName>
    <definedName name="solver_lhs6" localSheetId="25" hidden="1">FeasConstConstraint!#REF!</definedName>
    <definedName name="solver_lhs6" localSheetId="40" hidden="1">FormulaLB!$D$5:$F$5</definedName>
    <definedName name="solver_lhs6" localSheetId="66" hidden="1">Highlighting!$M$12</definedName>
    <definedName name="solver_lhs6" localSheetId="27" hidden="1">IndirectLBs!$D$5:$E$5</definedName>
    <definedName name="solver_lhs6" localSheetId="24" hidden="1">InfConstConstraint!#REF!</definedName>
    <definedName name="solver_lhs6" localSheetId="44" hidden="1">InfModel!#REF!</definedName>
    <definedName name="solver_lhs6" localSheetId="45" hidden="1">IterativeCalc!#REF!</definedName>
    <definedName name="solver_lhs6" localSheetId="33" hidden="1">LargeRangeLB!$D$6:$F$6</definedName>
    <definedName name="solver_lhs6" localSheetId="15" hidden="1">MergedLHS_OK!#REF!</definedName>
    <definedName name="solver_lhs6" localSheetId="16" hidden="1">MergedLHSMultiple_OK!#REF!</definedName>
    <definedName name="solver_lhs6" localSheetId="14" hidden="1">MergedRHS_OK!#REF!</definedName>
    <definedName name="solver_lhs6" localSheetId="13" hidden="1">MergedVarsBad!#REF!</definedName>
    <definedName name="solver_lhs6" localSheetId="12" hidden="1">MergedVarsOK!#REF!</definedName>
    <definedName name="solver_lhs6" localSheetId="11" hidden="1">MergedVarsSubset!#REF!</definedName>
    <definedName name="solver_lhs6" localSheetId="54" hidden="1">NonLinLarge!$H$139</definedName>
    <definedName name="solver_lhs6" localSheetId="56" hidden="1">NonLinPruning!$F$18</definedName>
    <definedName name="solver_lhs6" localSheetId="46" hidden="1">NoObj!#REF!</definedName>
    <definedName name="solver_lhs6" localSheetId="3" hidden="1">OverlappingVars!$H$11</definedName>
    <definedName name="solver_lhs6" localSheetId="34" hidden="1">OverlapRangeLB!$D$6:$F$6</definedName>
    <definedName name="solver_lhs6" localSheetId="35" hidden="1">OverlapRangeLBwithFormula!$D$6:$F$6</definedName>
    <definedName name="solver_lhs6" localSheetId="26" hidden="1">ProtectedSheet!#REF!</definedName>
    <definedName name="solver_lhs6" localSheetId="49" hidden="1">QuickSolve!#REF!</definedName>
    <definedName name="solver_lhs6" localSheetId="32" hidden="1">Relaxation!$E$5:$F$5</definedName>
    <definedName name="solver_lhs6" localSheetId="2" hidden="1">SimpleLP!$H$11</definedName>
    <definedName name="solver_lhs6" localSheetId="29" hidden="1">SingleRangeLB!$D$4:$F$4</definedName>
    <definedName name="solver_lhs6" localSheetId="10" hidden="1">TextObj!#REF!</definedName>
    <definedName name="solver_lhs6" localSheetId="6" hidden="1">TextRHS!#REF!</definedName>
    <definedName name="solver_lhs6" localSheetId="41" hidden="1">VarConstraintLB!$D$5:$F$5</definedName>
    <definedName name="solver_lhs6" localSheetId="37" hidden="1">VariableFormulaRangeLB!$D$5:$F$5</definedName>
    <definedName name="solver_lhs60" localSheetId="54" hidden="1">NonLinLarge!$H$66</definedName>
    <definedName name="solver_lhs61" localSheetId="54" hidden="1">NonLinLarge!$H$67</definedName>
    <definedName name="solver_lhs62" localSheetId="54" hidden="1">NonLinLarge!$H$68</definedName>
    <definedName name="solver_lhs63" localSheetId="54" hidden="1">NonLinLarge!$H$69</definedName>
    <definedName name="solver_lhs64" localSheetId="54" hidden="1">NonLinLarge!$H$70</definedName>
    <definedName name="solver_lhs65" localSheetId="54" hidden="1">NonLinLarge!$H$71</definedName>
    <definedName name="solver_lhs66" localSheetId="54" hidden="1">NonLinLarge!$H$72</definedName>
    <definedName name="solver_lhs67" localSheetId="54" hidden="1">NonLinLarge!$H$73</definedName>
    <definedName name="solver_lhs68" localSheetId="54" hidden="1">NonLinLarge!$H$74</definedName>
    <definedName name="solver_lhs69" localSheetId="54" hidden="1">NonLinLarge!$H$75</definedName>
    <definedName name="solver_lhs7" localSheetId="67" hidden="1">AutoModel!$D$28</definedName>
    <definedName name="solver_lhs7" localSheetId="20" hidden="1">'BadName!'!#REF!</definedName>
    <definedName name="solver_lhs7" localSheetId="31" hidden="1">BinIntLB!$E$5:$F$5</definedName>
    <definedName name="solver_lhs7" localSheetId="17" hidden="1">BinIntOverlap!#REF!</definedName>
    <definedName name="solver_lhs7" localSheetId="30" hidden="1">BinLB!#REF!</definedName>
    <definedName name="solver_lhs7" localSheetId="5" hidden="1">BlankLHS!#REF!</definedName>
    <definedName name="solver_lhs7" localSheetId="4" hidden="1">BlankRHS!#REF!</definedName>
    <definedName name="solver_lhs7" localSheetId="43" hidden="1">ComplexLayout!$Q$5:$R$5</definedName>
    <definedName name="solver_lhs7" localSheetId="18" hidden="1">ConFormula!$Q$6:$R$6</definedName>
    <definedName name="solver_lhs7" localSheetId="19" hidden="1">ConFormulaInf!$Q$6:$R$6</definedName>
    <definedName name="solver_lhs7" localSheetId="39" hidden="1">ConstantLB!#REF!</definedName>
    <definedName name="solver_lhs7" localSheetId="36" hidden="1">ConstFormulaRangeLB!#REF!</definedName>
    <definedName name="solver_lhs7" localSheetId="38" hidden="1">ConstraintLB!#REF!</definedName>
    <definedName name="solver_lhs7" localSheetId="22" hidden="1">DeletedConRef!#REF!</definedName>
    <definedName name="solver_lhs7" localSheetId="23" hidden="1">DeletedObjRef!#REF!</definedName>
    <definedName name="solver_lhs7" localSheetId="28" hidden="1">DirectLBs!#REF!</definedName>
    <definedName name="solver_lhs7" localSheetId="8" hidden="1">ErrorLHS!#REF!</definedName>
    <definedName name="solver_lhs7" localSheetId="9" hidden="1">ErrorObj!#REF!</definedName>
    <definedName name="solver_lhs7" localSheetId="7" hidden="1">ErrorRHS!#REF!</definedName>
    <definedName name="solver_lhs7" localSheetId="21" hidden="1">'EscapeSheetName(1)+2-1'!#REF!</definedName>
    <definedName name="solver_lhs7" localSheetId="25" hidden="1">FeasConstConstraint!#REF!</definedName>
    <definedName name="solver_lhs7" localSheetId="40" hidden="1">FormulaLB!#REF!</definedName>
    <definedName name="solver_lhs7" localSheetId="66" hidden="1">Highlighting!$M$17:$M$18</definedName>
    <definedName name="solver_lhs7" localSheetId="27" hidden="1">IndirectLBs!#REF!</definedName>
    <definedName name="solver_lhs7" localSheetId="24" hidden="1">InfConstConstraint!#REF!</definedName>
    <definedName name="solver_lhs7" localSheetId="44" hidden="1">InfModel!#REF!</definedName>
    <definedName name="solver_lhs7" localSheetId="45" hidden="1">IterativeCalc!#REF!</definedName>
    <definedName name="solver_lhs7" localSheetId="33" hidden="1">LargeRangeLB!#REF!</definedName>
    <definedName name="solver_lhs7" localSheetId="15" hidden="1">MergedLHS_OK!#REF!</definedName>
    <definedName name="solver_lhs7" localSheetId="16" hidden="1">MergedLHSMultiple_OK!#REF!</definedName>
    <definedName name="solver_lhs7" localSheetId="14" hidden="1">MergedRHS_OK!#REF!</definedName>
    <definedName name="solver_lhs7" localSheetId="13" hidden="1">MergedVarsBad!#REF!</definedName>
    <definedName name="solver_lhs7" localSheetId="12" hidden="1">MergedVarsOK!#REF!</definedName>
    <definedName name="solver_lhs7" localSheetId="11" hidden="1">MergedVarsSubset!#REF!</definedName>
    <definedName name="solver_lhs7" localSheetId="54" hidden="1">NonLinLarge!$H$13</definedName>
    <definedName name="solver_lhs7" localSheetId="46" hidden="1">NoObj!#REF!</definedName>
    <definedName name="solver_lhs7" localSheetId="3" hidden="1">OverlappingVars!$H$8:$H$9</definedName>
    <definedName name="solver_lhs7" localSheetId="34" hidden="1">OverlapRangeLB!#REF!</definedName>
    <definedName name="solver_lhs7" localSheetId="35" hidden="1">OverlapRangeLBwithFormula!#REF!</definedName>
    <definedName name="solver_lhs7" localSheetId="26" hidden="1">ProtectedSheet!#REF!</definedName>
    <definedName name="solver_lhs7" localSheetId="49" hidden="1">QuickSolve!#REF!</definedName>
    <definedName name="solver_lhs7" localSheetId="32" hidden="1">Relaxation!$E$5:$F$5</definedName>
    <definedName name="solver_lhs7" localSheetId="2" hidden="1">SimpleLP!#REF!</definedName>
    <definedName name="solver_lhs7" localSheetId="29" hidden="1">SingleRangeLB!#REF!</definedName>
    <definedName name="solver_lhs7" localSheetId="10" hidden="1">TextObj!#REF!</definedName>
    <definedName name="solver_lhs7" localSheetId="6" hidden="1">TextRHS!#REF!</definedName>
    <definedName name="solver_lhs7" localSheetId="41" hidden="1">VarConstraintLB!#REF!</definedName>
    <definedName name="solver_lhs7" localSheetId="37" hidden="1">VariableFormulaRangeLB!#REF!</definedName>
    <definedName name="solver_lhs70" localSheetId="54" hidden="1">NonLinLarge!$H$76</definedName>
    <definedName name="solver_lhs71" localSheetId="54" hidden="1">NonLinLarge!$H$77</definedName>
    <definedName name="solver_lhs72" localSheetId="54" hidden="1">NonLinLarge!$H$78</definedName>
    <definedName name="solver_lhs73" localSheetId="54" hidden="1">NonLinLarge!$H$79</definedName>
    <definedName name="solver_lhs74" localSheetId="54" hidden="1">NonLinLarge!$H$80</definedName>
    <definedName name="solver_lhs75" localSheetId="54" hidden="1">NonLinLarge!$H$81</definedName>
    <definedName name="solver_lhs76" localSheetId="54" hidden="1">NonLinLarge!$H$82</definedName>
    <definedName name="solver_lhs77" localSheetId="54" hidden="1">NonLinLarge!$H$83</definedName>
    <definedName name="solver_lhs78" localSheetId="54" hidden="1">NonLinLarge!$H$84</definedName>
    <definedName name="solver_lhs79" localSheetId="54" hidden="1">NonLinLarge!$H$85</definedName>
    <definedName name="solver_lhs8" localSheetId="20" hidden="1">'BadName!'!#REF!</definedName>
    <definedName name="solver_lhs8" localSheetId="31" hidden="1">BinIntLB!#REF!</definedName>
    <definedName name="solver_lhs8" localSheetId="17" hidden="1">BinIntOverlap!#REF!</definedName>
    <definedName name="solver_lhs8" localSheetId="30" hidden="1">BinLB!#REF!</definedName>
    <definedName name="solver_lhs8" localSheetId="5" hidden="1">BlankLHS!#REF!</definedName>
    <definedName name="solver_lhs8" localSheetId="4" hidden="1">BlankRHS!#REF!</definedName>
    <definedName name="solver_lhs8" localSheetId="43" hidden="1">ComplexLayout!$F$4</definedName>
    <definedName name="solver_lhs8" localSheetId="18" hidden="1">ConFormula!$I$10</definedName>
    <definedName name="solver_lhs8" localSheetId="19" hidden="1">ConFormulaInf!$I$10</definedName>
    <definedName name="solver_lhs8" localSheetId="39" hidden="1">ConstantLB!#REF!</definedName>
    <definedName name="solver_lhs8" localSheetId="36" hidden="1">ConstFormulaRangeLB!#REF!</definedName>
    <definedName name="solver_lhs8" localSheetId="38" hidden="1">ConstraintLB!#REF!</definedName>
    <definedName name="solver_lhs8" localSheetId="22" hidden="1">DeletedConRef!#REF!</definedName>
    <definedName name="solver_lhs8" localSheetId="23" hidden="1">DeletedObjRef!#REF!</definedName>
    <definedName name="solver_lhs8" localSheetId="28" hidden="1">DirectLBs!#REF!</definedName>
    <definedName name="solver_lhs8" localSheetId="8" hidden="1">ErrorLHS!#REF!</definedName>
    <definedName name="solver_lhs8" localSheetId="9" hidden="1">ErrorObj!#REF!</definedName>
    <definedName name="solver_lhs8" localSheetId="7" hidden="1">ErrorRHS!#REF!</definedName>
    <definedName name="solver_lhs8" localSheetId="21" hidden="1">'EscapeSheetName(1)+2-1'!#REF!</definedName>
    <definedName name="solver_lhs8" localSheetId="25" hidden="1">FeasConstConstraint!#REF!</definedName>
    <definedName name="solver_lhs8" localSheetId="40" hidden="1">FormulaLB!#REF!</definedName>
    <definedName name="solver_lhs8" localSheetId="66" hidden="1">Highlighting!$L$9:$N$9</definedName>
    <definedName name="solver_lhs8" localSheetId="27" hidden="1">IndirectLBs!#REF!</definedName>
    <definedName name="solver_lhs8" localSheetId="24" hidden="1">InfConstConstraint!#REF!</definedName>
    <definedName name="solver_lhs8" localSheetId="44" hidden="1">InfModel!#REF!</definedName>
    <definedName name="solver_lhs8" localSheetId="45" hidden="1">IterativeCalc!#REF!</definedName>
    <definedName name="solver_lhs8" localSheetId="33" hidden="1">LargeRangeLB!#REF!</definedName>
    <definedName name="solver_lhs8" localSheetId="15" hidden="1">MergedLHS_OK!#REF!</definedName>
    <definedName name="solver_lhs8" localSheetId="16" hidden="1">MergedLHSMultiple_OK!#REF!</definedName>
    <definedName name="solver_lhs8" localSheetId="14" hidden="1">MergedRHS_OK!#REF!</definedName>
    <definedName name="solver_lhs8" localSheetId="13" hidden="1">MergedVarsBad!#REF!</definedName>
    <definedName name="solver_lhs8" localSheetId="12" hidden="1">MergedVarsOK!#REF!</definedName>
    <definedName name="solver_lhs8" localSheetId="11" hidden="1">MergedVarsSubset!#REF!</definedName>
    <definedName name="solver_lhs8" localSheetId="54" hidden="1">NonLinLarge!$H$14</definedName>
    <definedName name="solver_lhs8" localSheetId="46" hidden="1">NoObj!#REF!</definedName>
    <definedName name="solver_lhs8" localSheetId="3" hidden="1">OverlappingVars!$H$10</definedName>
    <definedName name="solver_lhs8" localSheetId="34" hidden="1">OverlapRangeLB!#REF!</definedName>
    <definedName name="solver_lhs8" localSheetId="35" hidden="1">OverlapRangeLBwithFormula!#REF!</definedName>
    <definedName name="solver_lhs8" localSheetId="26" hidden="1">ProtectedSheet!#REF!</definedName>
    <definedName name="solver_lhs8" localSheetId="49" hidden="1">QuickSolve!#REF!</definedName>
    <definedName name="solver_lhs8" localSheetId="32" hidden="1">Relaxation!#REF!</definedName>
    <definedName name="solver_lhs8" localSheetId="2" hidden="1">SimpleLP!#REF!</definedName>
    <definedName name="solver_lhs8" localSheetId="29" hidden="1">SingleRangeLB!#REF!</definedName>
    <definedName name="solver_lhs8" localSheetId="10" hidden="1">TextObj!#REF!</definedName>
    <definedName name="solver_lhs8" localSheetId="6" hidden="1">TextRHS!#REF!</definedName>
    <definedName name="solver_lhs8" localSheetId="41" hidden="1">VarConstraintLB!#REF!</definedName>
    <definedName name="solver_lhs8" localSheetId="37" hidden="1">VariableFormulaRangeLB!#REF!</definedName>
    <definedName name="solver_lhs80" localSheetId="54" hidden="1">NonLinLarge!$H$86</definedName>
    <definedName name="solver_lhs81" localSheetId="54" hidden="1">NonLinLarge!$H$87</definedName>
    <definedName name="solver_lhs82" localSheetId="54" hidden="1">NonLinLarge!$H$88</definedName>
    <definedName name="solver_lhs83" localSheetId="54" hidden="1">NonLinLarge!$H$89</definedName>
    <definedName name="solver_lhs84" localSheetId="54" hidden="1">NonLinLarge!$H$90</definedName>
    <definedName name="solver_lhs85" localSheetId="54" hidden="1">NonLinLarge!$H$91</definedName>
    <definedName name="solver_lhs86" localSheetId="54" hidden="1">NonLinLarge!$H$92</definedName>
    <definedName name="solver_lhs87" localSheetId="54" hidden="1">NonLinLarge!$H$93</definedName>
    <definedName name="solver_lhs88" localSheetId="54" hidden="1">NonLinLarge!$H$94</definedName>
    <definedName name="solver_lhs89" localSheetId="54" hidden="1">NonLinLarge!$H$95</definedName>
    <definedName name="solver_lhs9" localSheetId="18" hidden="1">ConFormula!$I$10</definedName>
    <definedName name="solver_lhs9" localSheetId="19" hidden="1">ConFormulaInf!$I$14</definedName>
    <definedName name="solver_lhs9" localSheetId="66" hidden="1">Highlighting!$L$9:$N$9</definedName>
    <definedName name="solver_lhs9" localSheetId="54" hidden="1">NonLinLarge!$H$15</definedName>
    <definedName name="solver_lhs9" localSheetId="3" hidden="1">OverlappingVars!$H$11</definedName>
    <definedName name="solver_lhs90" localSheetId="54" hidden="1">NonLinLarge!$H$96</definedName>
    <definedName name="solver_lhs91" localSheetId="54" hidden="1">NonLinLarge!$H$97</definedName>
    <definedName name="solver_lhs92" localSheetId="54" hidden="1">NonLinLarge!$H$98</definedName>
    <definedName name="solver_lhs93" localSheetId="54" hidden="1">NonLinLarge!$H$99</definedName>
    <definedName name="solver_lhs94" localSheetId="54" hidden="1">NonLinLarge!$H$100</definedName>
    <definedName name="solver_lhs95" localSheetId="54" hidden="1">NonLinLarge!$H$101</definedName>
    <definedName name="solver_lhs96" localSheetId="54" hidden="1">NonLinLarge!$H$102</definedName>
    <definedName name="solver_lhs97" localSheetId="54" hidden="1">NonLinLarge!$H$103</definedName>
    <definedName name="solver_lhs98" localSheetId="54" hidden="1">NonLinLarge!$H$104</definedName>
    <definedName name="solver_lhs99" localSheetId="54" hidden="1">NonLinLarge!$H$105</definedName>
    <definedName name="solver_lin" localSheetId="67" hidden="1">1</definedName>
    <definedName name="solver_lin" localSheetId="20" hidden="1">1</definedName>
    <definedName name="solver_lin" localSheetId="31" hidden="1">1</definedName>
    <definedName name="solver_lin" localSheetId="17" hidden="1">1</definedName>
    <definedName name="solver_lin" localSheetId="30" hidden="1">1</definedName>
    <definedName name="solver_lin" localSheetId="5" hidden="1">1</definedName>
    <definedName name="solver_lin" localSheetId="4" hidden="1">1</definedName>
    <definedName name="solver_lin" localSheetId="43" hidden="1">1</definedName>
    <definedName name="solver_lin" localSheetId="18" hidden="1">1</definedName>
    <definedName name="solver_lin" localSheetId="19" hidden="1">1</definedName>
    <definedName name="solver_lin" localSheetId="39" hidden="1">1</definedName>
    <definedName name="solver_lin" localSheetId="36" hidden="1">1</definedName>
    <definedName name="solver_lin" localSheetId="38" hidden="1">1</definedName>
    <definedName name="solver_lin" localSheetId="22" hidden="1">1</definedName>
    <definedName name="solver_lin" localSheetId="23" hidden="1">1</definedName>
    <definedName name="solver_lin" localSheetId="28" hidden="1">1</definedName>
    <definedName name="solver_lin" localSheetId="8" hidden="1">1</definedName>
    <definedName name="solver_lin" localSheetId="9" hidden="1">1</definedName>
    <definedName name="solver_lin" localSheetId="7" hidden="1">1</definedName>
    <definedName name="solver_lin" localSheetId="21" hidden="1">1</definedName>
    <definedName name="solver_lin" localSheetId="25" hidden="1">1</definedName>
    <definedName name="solver_lin" localSheetId="40" hidden="1">1</definedName>
    <definedName name="solver_lin" localSheetId="42" hidden="1">1</definedName>
    <definedName name="solver_lin" localSheetId="66" hidden="1">1</definedName>
    <definedName name="solver_lin" localSheetId="27" hidden="1">1</definedName>
    <definedName name="solver_lin" localSheetId="24" hidden="1">1</definedName>
    <definedName name="solver_lin" localSheetId="44" hidden="1">1</definedName>
    <definedName name="solver_lin" localSheetId="45" hidden="1">1</definedName>
    <definedName name="solver_lin" localSheetId="33" hidden="1">1</definedName>
    <definedName name="solver_lin" localSheetId="15" hidden="1">1</definedName>
    <definedName name="solver_lin" localSheetId="16" hidden="1">1</definedName>
    <definedName name="solver_lin" localSheetId="14" hidden="1">1</definedName>
    <definedName name="solver_lin" localSheetId="13" hidden="1">1</definedName>
    <definedName name="solver_lin" localSheetId="12" hidden="1">1</definedName>
    <definedName name="solver_lin" localSheetId="11" hidden="1">1</definedName>
    <definedName name="solver_lin" localSheetId="48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3" hidden="1">1</definedName>
    <definedName name="solver_lin" localSheetId="64" hidden="1">1</definedName>
    <definedName name="solver_lin" localSheetId="65" hidden="1">1</definedName>
    <definedName name="solver_lin" localSheetId="59" hidden="1">1</definedName>
    <definedName name="solver_lin" localSheetId="58" hidden="1">1</definedName>
    <definedName name="solver_lin" localSheetId="54" hidden="1">1</definedName>
    <definedName name="solver_lin" localSheetId="57" hidden="1">1</definedName>
    <definedName name="solver_lin" localSheetId="55" hidden="1">1</definedName>
    <definedName name="solver_lin" localSheetId="56" hidden="1">1</definedName>
    <definedName name="solver_lin" localSheetId="53" hidden="1">1</definedName>
    <definedName name="solver_lin" localSheetId="46" hidden="1">1</definedName>
    <definedName name="solver_lin" localSheetId="3" hidden="1">1</definedName>
    <definedName name="solver_lin" localSheetId="34" hidden="1">1</definedName>
    <definedName name="solver_lin" localSheetId="35" hidden="1">1</definedName>
    <definedName name="solver_lin" localSheetId="26" hidden="1">1</definedName>
    <definedName name="solver_lin" localSheetId="49" hidden="1">1</definedName>
    <definedName name="solver_lin" localSheetId="32" hidden="1">1</definedName>
    <definedName name="solver_lin" localSheetId="1" hidden="1">1</definedName>
    <definedName name="solver_lin" localSheetId="47" hidden="1">1</definedName>
    <definedName name="solver_lin" localSheetId="51" hidden="1">1</definedName>
    <definedName name="solver_lin" localSheetId="52" hidden="1">1</definedName>
    <definedName name="solver_lin" localSheetId="2" hidden="1">1</definedName>
    <definedName name="solver_lin" localSheetId="29" hidden="1">1</definedName>
    <definedName name="solver_lin" localSheetId="50" hidden="1">1</definedName>
    <definedName name="solver_lin" localSheetId="10" hidden="1">1</definedName>
    <definedName name="solver_lin" localSheetId="6" hidden="1">1</definedName>
    <definedName name="solver_lin" localSheetId="41" hidden="1">1</definedName>
    <definedName name="solver_lin" localSheetId="37" hidden="1">1</definedName>
    <definedName name="solver_mip" localSheetId="31" hidden="1">2147483647</definedName>
    <definedName name="solver_mip" localSheetId="30" hidden="1">2147483647</definedName>
    <definedName name="solver_mip" localSheetId="39" hidden="1">2147483647</definedName>
    <definedName name="solver_mip" localSheetId="36" hidden="1">2147483647</definedName>
    <definedName name="solver_mip" localSheetId="40" hidden="1">2147483647</definedName>
    <definedName name="solver_mip" localSheetId="33" hidden="1">2147483647</definedName>
    <definedName name="solver_mip" localSheetId="63" hidden="1">2147483647</definedName>
    <definedName name="solver_mip" localSheetId="64" hidden="1">2147483647</definedName>
    <definedName name="solver_mip" localSheetId="56" hidden="1">2147483647</definedName>
    <definedName name="solver_mip" localSheetId="34" hidden="1">2147483647</definedName>
    <definedName name="solver_mip" localSheetId="35" hidden="1">2147483647</definedName>
    <definedName name="solver_mip" localSheetId="32" hidden="1">2147483647</definedName>
    <definedName name="solver_mip" localSheetId="2" hidden="1">2147483647</definedName>
    <definedName name="solver_mip" localSheetId="29" hidden="1">2147483647</definedName>
    <definedName name="solver_mip" localSheetId="41" hidden="1">2147483647</definedName>
    <definedName name="solver_mip" localSheetId="37" hidden="1">2147483647</definedName>
    <definedName name="solver_mni" localSheetId="31" hidden="1">30</definedName>
    <definedName name="solver_mni" localSheetId="30" hidden="1">30</definedName>
    <definedName name="solver_mni" localSheetId="39" hidden="1">30</definedName>
    <definedName name="solver_mni" localSheetId="36" hidden="1">30</definedName>
    <definedName name="solver_mni" localSheetId="40" hidden="1">30</definedName>
    <definedName name="solver_mni" localSheetId="33" hidden="1">30</definedName>
    <definedName name="solver_mni" localSheetId="63" hidden="1">30</definedName>
    <definedName name="solver_mni" localSheetId="64" hidden="1">30</definedName>
    <definedName name="solver_mni" localSheetId="56" hidden="1">30</definedName>
    <definedName name="solver_mni" localSheetId="34" hidden="1">30</definedName>
    <definedName name="solver_mni" localSheetId="35" hidden="1">30</definedName>
    <definedName name="solver_mni" localSheetId="32" hidden="1">30</definedName>
    <definedName name="solver_mni" localSheetId="2" hidden="1">30</definedName>
    <definedName name="solver_mni" localSheetId="29" hidden="1">30</definedName>
    <definedName name="solver_mni" localSheetId="41" hidden="1">30</definedName>
    <definedName name="solver_mni" localSheetId="37" hidden="1">30</definedName>
    <definedName name="solver_mrt" localSheetId="31" hidden="1">0.075</definedName>
    <definedName name="solver_mrt" localSheetId="30" hidden="1">0.075</definedName>
    <definedName name="solver_mrt" localSheetId="39" hidden="1">0.075</definedName>
    <definedName name="solver_mrt" localSheetId="36" hidden="1">0.075</definedName>
    <definedName name="solver_mrt" localSheetId="40" hidden="1">0.075</definedName>
    <definedName name="solver_mrt" localSheetId="33" hidden="1">0.075</definedName>
    <definedName name="solver_mrt" localSheetId="63" hidden="1">0.075</definedName>
    <definedName name="solver_mrt" localSheetId="64" hidden="1">0.075</definedName>
    <definedName name="solver_mrt" localSheetId="56" hidden="1">0.075</definedName>
    <definedName name="solver_mrt" localSheetId="34" hidden="1">0.075</definedName>
    <definedName name="solver_mrt" localSheetId="35" hidden="1">0.075</definedName>
    <definedName name="solver_mrt" localSheetId="32" hidden="1">0.075</definedName>
    <definedName name="solver_mrt" localSheetId="2" hidden="1">0.075</definedName>
    <definedName name="solver_mrt" localSheetId="29" hidden="1">0.075</definedName>
    <definedName name="solver_mrt" localSheetId="41" hidden="1">0.075</definedName>
    <definedName name="solver_mrt" localSheetId="37" hidden="1">0.075</definedName>
    <definedName name="solver_msl" localSheetId="31" hidden="1">2</definedName>
    <definedName name="solver_msl" localSheetId="30" hidden="1">2</definedName>
    <definedName name="solver_msl" localSheetId="39" hidden="1">2</definedName>
    <definedName name="solver_msl" localSheetId="36" hidden="1">2</definedName>
    <definedName name="solver_msl" localSheetId="40" hidden="1">2</definedName>
    <definedName name="solver_msl" localSheetId="33" hidden="1">2</definedName>
    <definedName name="solver_msl" localSheetId="63" hidden="1">2</definedName>
    <definedName name="solver_msl" localSheetId="64" hidden="1">2</definedName>
    <definedName name="solver_msl" localSheetId="56" hidden="1">2</definedName>
    <definedName name="solver_msl" localSheetId="34" hidden="1">2</definedName>
    <definedName name="solver_msl" localSheetId="35" hidden="1">2</definedName>
    <definedName name="solver_msl" localSheetId="32" hidden="1">2</definedName>
    <definedName name="solver_msl" localSheetId="2" hidden="1">2</definedName>
    <definedName name="solver_msl" localSheetId="29" hidden="1">2</definedName>
    <definedName name="solver_msl" localSheetId="41" hidden="1">2</definedName>
    <definedName name="solver_msl" localSheetId="37" hidden="1">2</definedName>
    <definedName name="solver_neg" localSheetId="67" hidden="1">1</definedName>
    <definedName name="solver_neg" localSheetId="20" hidden="1">1</definedName>
    <definedName name="solver_neg" localSheetId="31" hidden="1">1</definedName>
    <definedName name="solver_neg" localSheetId="17" hidden="1">1</definedName>
    <definedName name="solver_neg" localSheetId="30" hidden="1">1</definedName>
    <definedName name="solver_neg" localSheetId="5" hidden="1">1</definedName>
    <definedName name="solver_neg" localSheetId="4" hidden="1">1</definedName>
    <definedName name="solver_neg" localSheetId="43" hidden="1">1</definedName>
    <definedName name="solver_neg" localSheetId="18" hidden="1">1</definedName>
    <definedName name="solver_neg" localSheetId="19" hidden="1">1</definedName>
    <definedName name="solver_neg" localSheetId="39" hidden="1">1</definedName>
    <definedName name="solver_neg" localSheetId="36" hidden="1">1</definedName>
    <definedName name="solver_neg" localSheetId="38" hidden="1">1</definedName>
    <definedName name="solver_neg" localSheetId="22" hidden="1">1</definedName>
    <definedName name="solver_neg" localSheetId="28" hidden="1">1</definedName>
    <definedName name="solver_neg" localSheetId="8" hidden="1">1</definedName>
    <definedName name="solver_neg" localSheetId="7" hidden="1">1</definedName>
    <definedName name="solver_neg" localSheetId="21" hidden="1">1</definedName>
    <definedName name="solver_neg" localSheetId="25" hidden="1">1</definedName>
    <definedName name="solver_neg" localSheetId="40" hidden="1">1</definedName>
    <definedName name="solver_neg" localSheetId="42" hidden="1">1</definedName>
    <definedName name="solver_neg" localSheetId="66" hidden="1">1</definedName>
    <definedName name="solver_neg" localSheetId="27" hidden="1">1</definedName>
    <definedName name="solver_neg" localSheetId="24" hidden="1">1</definedName>
    <definedName name="solver_neg" localSheetId="44" hidden="1">1</definedName>
    <definedName name="solver_neg" localSheetId="45" hidden="1">1</definedName>
    <definedName name="solver_neg" localSheetId="33" hidden="1">1</definedName>
    <definedName name="solver_neg" localSheetId="15" hidden="1">1</definedName>
    <definedName name="solver_neg" localSheetId="16" hidden="1">1</definedName>
    <definedName name="solver_neg" localSheetId="14" hidden="1">1</definedName>
    <definedName name="solver_neg" localSheetId="12" hidden="1">1</definedName>
    <definedName name="solver_neg" localSheetId="48" hidden="1">1</definedName>
    <definedName name="solver_neg" localSheetId="60" hidden="1">1</definedName>
    <definedName name="solver_neg" localSheetId="61" hidden="1">1</definedName>
    <definedName name="solver_neg" localSheetId="62" hidden="1">1</definedName>
    <definedName name="solver_neg" localSheetId="64" hidden="1">1</definedName>
    <definedName name="solver_neg" localSheetId="65" hidden="1">1</definedName>
    <definedName name="solver_neg" localSheetId="59" hidden="1">1</definedName>
    <definedName name="solver_neg" localSheetId="58" hidden="1">1</definedName>
    <definedName name="solver_neg" localSheetId="54" hidden="1">1</definedName>
    <definedName name="solver_neg" localSheetId="57" hidden="1">1</definedName>
    <definedName name="solver_neg" localSheetId="55" hidden="1">1</definedName>
    <definedName name="solver_neg" localSheetId="56" hidden="1">1</definedName>
    <definedName name="solver_neg" localSheetId="53" hidden="1">1</definedName>
    <definedName name="solver_neg" localSheetId="46" hidden="1">1</definedName>
    <definedName name="solver_neg" localSheetId="3" hidden="1">1</definedName>
    <definedName name="solver_neg" localSheetId="34" hidden="1">1</definedName>
    <definedName name="solver_neg" localSheetId="35" hidden="1">1</definedName>
    <definedName name="solver_neg" localSheetId="49" hidden="1">1</definedName>
    <definedName name="solver_neg" localSheetId="32" hidden="1">1</definedName>
    <definedName name="solver_neg" localSheetId="1" hidden="1">1</definedName>
    <definedName name="solver_neg" localSheetId="47" hidden="1">1</definedName>
    <definedName name="solver_neg" localSheetId="51" hidden="1">1</definedName>
    <definedName name="solver_neg" localSheetId="52" hidden="1">2</definedName>
    <definedName name="solver_neg" localSheetId="2" hidden="1">1</definedName>
    <definedName name="solver_neg" localSheetId="29" hidden="1">1</definedName>
    <definedName name="solver_neg" localSheetId="50" hidden="1">2</definedName>
    <definedName name="solver_neg" localSheetId="6" hidden="1">1</definedName>
    <definedName name="solver_neg" localSheetId="41" hidden="1">1</definedName>
    <definedName name="solver_neg" localSheetId="37" hidden="1">1</definedName>
    <definedName name="solver_nod" localSheetId="31" hidden="1">2147483647</definedName>
    <definedName name="solver_nod" localSheetId="30" hidden="1">2147483647</definedName>
    <definedName name="solver_nod" localSheetId="39" hidden="1">2147483647</definedName>
    <definedName name="solver_nod" localSheetId="36" hidden="1">2147483647</definedName>
    <definedName name="solver_nod" localSheetId="40" hidden="1">2147483647</definedName>
    <definedName name="solver_nod" localSheetId="33" hidden="1">2147483647</definedName>
    <definedName name="solver_nod" localSheetId="63" hidden="1">2147483647</definedName>
    <definedName name="solver_nod" localSheetId="64" hidden="1">2147483647</definedName>
    <definedName name="solver_nod" localSheetId="56" hidden="1">2147483647</definedName>
    <definedName name="solver_nod" localSheetId="34" hidden="1">2147483647</definedName>
    <definedName name="solver_nod" localSheetId="35" hidden="1">2147483647</definedName>
    <definedName name="solver_nod" localSheetId="32" hidden="1">2147483647</definedName>
    <definedName name="solver_nod" localSheetId="2" hidden="1">2147483647</definedName>
    <definedName name="solver_nod" localSheetId="29" hidden="1">2147483647</definedName>
    <definedName name="solver_nod" localSheetId="41" hidden="1">2147483647</definedName>
    <definedName name="solver_nod" localSheetId="37" hidden="1">2147483647</definedName>
    <definedName name="solver_num" localSheetId="67" hidden="1">5</definedName>
    <definedName name="solver_num" localSheetId="20" hidden="1">1</definedName>
    <definedName name="solver_num" localSheetId="31" hidden="1">4</definedName>
    <definedName name="solver_num" localSheetId="17" hidden="1">5</definedName>
    <definedName name="solver_num" localSheetId="30" hidden="1">3</definedName>
    <definedName name="solver_num" localSheetId="5" hidden="1">3</definedName>
    <definedName name="solver_num" localSheetId="4" hidden="1">3</definedName>
    <definedName name="solver_num" localSheetId="43" hidden="1">7</definedName>
    <definedName name="solver_num" localSheetId="18" hidden="1">8</definedName>
    <definedName name="solver_num" localSheetId="19" hidden="1">9</definedName>
    <definedName name="solver_num" localSheetId="39" hidden="1">2</definedName>
    <definedName name="solver_num" localSheetId="36" hidden="1">2</definedName>
    <definedName name="solver_num" localSheetId="38" hidden="1">1</definedName>
    <definedName name="solver_num" localSheetId="22" hidden="1">4</definedName>
    <definedName name="solver_num" localSheetId="23" hidden="1">3</definedName>
    <definedName name="solver_num" localSheetId="28" hidden="1">2</definedName>
    <definedName name="solver_num" localSheetId="8" hidden="1">3</definedName>
    <definedName name="solver_num" localSheetId="9" hidden="1">3</definedName>
    <definedName name="solver_num" localSheetId="7" hidden="1">3</definedName>
    <definedName name="solver_num" localSheetId="21" hidden="1">3</definedName>
    <definedName name="solver_num" localSheetId="25" hidden="1">3</definedName>
    <definedName name="solver_num" localSheetId="40" hidden="1">2</definedName>
    <definedName name="solver_num" localSheetId="42" hidden="1">3</definedName>
    <definedName name="solver_num" localSheetId="66" hidden="1">8</definedName>
    <definedName name="solver_num" localSheetId="27" hidden="1">5</definedName>
    <definedName name="solver_num" localSheetId="24" hidden="1">3</definedName>
    <definedName name="solver_num" localSheetId="44" hidden="1">4</definedName>
    <definedName name="solver_num" localSheetId="45" hidden="1">3</definedName>
    <definedName name="solver_num" localSheetId="33" hidden="1">2</definedName>
    <definedName name="solver_num" localSheetId="15" hidden="1">3</definedName>
    <definedName name="solver_num" localSheetId="16" hidden="1">3</definedName>
    <definedName name="solver_num" localSheetId="14" hidden="1">3</definedName>
    <definedName name="solver_num" localSheetId="13" hidden="1">3</definedName>
    <definedName name="solver_num" localSheetId="12" hidden="1">3</definedName>
    <definedName name="solver_num" localSheetId="11" hidden="1">3</definedName>
    <definedName name="solver_num" localSheetId="48" hidden="1">4</definedName>
    <definedName name="solver_num" localSheetId="60" hidden="1">5</definedName>
    <definedName name="solver_num" localSheetId="61" hidden="1">1</definedName>
    <definedName name="solver_num" localSheetId="62" hidden="1">2</definedName>
    <definedName name="solver_num" localSheetId="64" hidden="1">0</definedName>
    <definedName name="solver_num" localSheetId="65" hidden="1">0</definedName>
    <definedName name="solver_num" localSheetId="59" hidden="1">2</definedName>
    <definedName name="solver_num" localSheetId="58" hidden="1">1</definedName>
    <definedName name="solver_num" localSheetId="54" hidden="1">6</definedName>
    <definedName name="solver_num" localSheetId="57" hidden="1">2</definedName>
    <definedName name="solver_num" localSheetId="55" hidden="1">3</definedName>
    <definedName name="solver_num" localSheetId="56" hidden="1">3</definedName>
    <definedName name="solver_num" localSheetId="53" hidden="1">3</definedName>
    <definedName name="solver_num" localSheetId="46" hidden="1">3</definedName>
    <definedName name="solver_num" localSheetId="3" hidden="1">3</definedName>
    <definedName name="solver_num" localSheetId="34" hidden="1">2</definedName>
    <definedName name="solver_num" localSheetId="35" hidden="1">2</definedName>
    <definedName name="solver_num" localSheetId="26" hidden="1">3</definedName>
    <definedName name="solver_num" localSheetId="49" hidden="1">2</definedName>
    <definedName name="solver_num" localSheetId="32" hidden="1">4</definedName>
    <definedName name="solver_num" localSheetId="1" hidden="1">0</definedName>
    <definedName name="solver_num" localSheetId="47" hidden="1">3</definedName>
    <definedName name="solver_num" localSheetId="51" hidden="1">3</definedName>
    <definedName name="solver_num" localSheetId="52" hidden="1">3</definedName>
    <definedName name="solver_num" localSheetId="2" hidden="1">3</definedName>
    <definedName name="solver_num" localSheetId="29" hidden="1">2</definedName>
    <definedName name="solver_num" localSheetId="50" hidden="1">3</definedName>
    <definedName name="solver_num" localSheetId="10" hidden="1">3</definedName>
    <definedName name="solver_num" localSheetId="6" hidden="1">3</definedName>
    <definedName name="solver_num" localSheetId="41" hidden="1">2</definedName>
    <definedName name="solver_num" localSheetId="37" hidden="1">2</definedName>
    <definedName name="solver_nwt" localSheetId="67" hidden="1">1</definedName>
    <definedName name="solver_nwt" localSheetId="20" hidden="1">1</definedName>
    <definedName name="solver_nwt" localSheetId="31" hidden="1">1</definedName>
    <definedName name="solver_nwt" localSheetId="17" hidden="1">1</definedName>
    <definedName name="solver_nwt" localSheetId="30" hidden="1">1</definedName>
    <definedName name="solver_nwt" localSheetId="5" hidden="1">1</definedName>
    <definedName name="solver_nwt" localSheetId="4" hidden="1">1</definedName>
    <definedName name="solver_nwt" localSheetId="43" hidden="1">1</definedName>
    <definedName name="solver_nwt" localSheetId="18" hidden="1">1</definedName>
    <definedName name="solver_nwt" localSheetId="19" hidden="1">1</definedName>
    <definedName name="solver_nwt" localSheetId="39" hidden="1">1</definedName>
    <definedName name="solver_nwt" localSheetId="36" hidden="1">1</definedName>
    <definedName name="solver_nwt" localSheetId="38" hidden="1">1</definedName>
    <definedName name="solver_nwt" localSheetId="22" hidden="1">1</definedName>
    <definedName name="solver_nwt" localSheetId="23" hidden="1">1</definedName>
    <definedName name="solver_nwt" localSheetId="28" hidden="1">1</definedName>
    <definedName name="solver_nwt" localSheetId="8" hidden="1">1</definedName>
    <definedName name="solver_nwt" localSheetId="9" hidden="1">1</definedName>
    <definedName name="solver_nwt" localSheetId="7" hidden="1">1</definedName>
    <definedName name="solver_nwt" localSheetId="21" hidden="1">1</definedName>
    <definedName name="solver_nwt" localSheetId="25" hidden="1">1</definedName>
    <definedName name="solver_nwt" localSheetId="40" hidden="1">1</definedName>
    <definedName name="solver_nwt" localSheetId="42" hidden="1">1</definedName>
    <definedName name="solver_nwt" localSheetId="66" hidden="1">1</definedName>
    <definedName name="solver_nwt" localSheetId="27" hidden="1">1</definedName>
    <definedName name="solver_nwt" localSheetId="24" hidden="1">1</definedName>
    <definedName name="solver_nwt" localSheetId="44" hidden="1">1</definedName>
    <definedName name="solver_nwt" localSheetId="45" hidden="1">1</definedName>
    <definedName name="solver_nwt" localSheetId="33" hidden="1">1</definedName>
    <definedName name="solver_nwt" localSheetId="15" hidden="1">1</definedName>
    <definedName name="solver_nwt" localSheetId="16" hidden="1">1</definedName>
    <definedName name="solver_nwt" localSheetId="14" hidden="1">1</definedName>
    <definedName name="solver_nwt" localSheetId="13" hidden="1">1</definedName>
    <definedName name="solver_nwt" localSheetId="12" hidden="1">1</definedName>
    <definedName name="solver_nwt" localSheetId="11" hidden="1">1</definedName>
    <definedName name="solver_nwt" localSheetId="48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3" hidden="1">1</definedName>
    <definedName name="solver_nwt" localSheetId="64" hidden="1">1</definedName>
    <definedName name="solver_nwt" localSheetId="65" hidden="1">1</definedName>
    <definedName name="solver_nwt" localSheetId="59" hidden="1">1</definedName>
    <definedName name="solver_nwt" localSheetId="58" hidden="1">1</definedName>
    <definedName name="solver_nwt" localSheetId="54" hidden="1">1</definedName>
    <definedName name="solver_nwt" localSheetId="57" hidden="1">1</definedName>
    <definedName name="solver_nwt" localSheetId="55" hidden="1">1</definedName>
    <definedName name="solver_nwt" localSheetId="56" hidden="1">1</definedName>
    <definedName name="solver_nwt" localSheetId="53" hidden="1">1</definedName>
    <definedName name="solver_nwt" localSheetId="46" hidden="1">1</definedName>
    <definedName name="solver_nwt" localSheetId="3" hidden="1">1</definedName>
    <definedName name="solver_nwt" localSheetId="34" hidden="1">1</definedName>
    <definedName name="solver_nwt" localSheetId="35" hidden="1">1</definedName>
    <definedName name="solver_nwt" localSheetId="26" hidden="1">1</definedName>
    <definedName name="solver_nwt" localSheetId="49" hidden="1">1</definedName>
    <definedName name="solver_nwt" localSheetId="32" hidden="1">1</definedName>
    <definedName name="solver_nwt" localSheetId="1" hidden="1">1</definedName>
    <definedName name="solver_nwt" localSheetId="47" hidden="1">1</definedName>
    <definedName name="solver_nwt" localSheetId="51" hidden="1">1</definedName>
    <definedName name="solver_nwt" localSheetId="52" hidden="1">1</definedName>
    <definedName name="solver_nwt" localSheetId="2" hidden="1">1</definedName>
    <definedName name="solver_nwt" localSheetId="29" hidden="1">1</definedName>
    <definedName name="solver_nwt" localSheetId="50" hidden="1">1</definedName>
    <definedName name="solver_nwt" localSheetId="10" hidden="1">1</definedName>
    <definedName name="solver_nwt" localSheetId="6" hidden="1">1</definedName>
    <definedName name="solver_nwt" localSheetId="41" hidden="1">1</definedName>
    <definedName name="solver_nwt" localSheetId="37" hidden="1">1</definedName>
    <definedName name="solver_opt" localSheetId="67" hidden="1">AutoModel!$C$9</definedName>
    <definedName name="solver_opt" localSheetId="20" hidden="1">'BadName!'!$H$7</definedName>
    <definedName name="solver_opt" localSheetId="31" hidden="1">BinIntLB!$H$9</definedName>
    <definedName name="solver_opt" localSheetId="17" hidden="1">BinIntOverlap!$I$6</definedName>
    <definedName name="solver_opt" localSheetId="30" hidden="1">BinLB!$H$9</definedName>
    <definedName name="solver_opt" localSheetId="5" hidden="1">BlankLHS!$H$6</definedName>
    <definedName name="solver_opt" localSheetId="4" hidden="1">BlankRHS!$H$6</definedName>
    <definedName name="solver_opt" localSheetId="43" hidden="1">ComplexLayout!$I$6</definedName>
    <definedName name="solver_opt" localSheetId="18" hidden="1">ConFormula!$I$7</definedName>
    <definedName name="solver_opt" localSheetId="19" hidden="1">ConFormulaInf!$I$7</definedName>
    <definedName name="solver_opt" localSheetId="39" hidden="1">ConstantLB!$H$9</definedName>
    <definedName name="solver_opt" localSheetId="36" hidden="1">ConstFormulaRangeLB!$H$8</definedName>
    <definedName name="solver_opt" localSheetId="38" hidden="1">ConstraintLB!$H$9</definedName>
    <definedName name="solver_opt" localSheetId="22" hidden="1">DeletedConRef!$H$7</definedName>
    <definedName name="solver_opt" localSheetId="23" hidden="1">DeletedObjRef!#REF!</definedName>
    <definedName name="solver_opt" localSheetId="28" hidden="1">DirectLBs!$H$8</definedName>
    <definedName name="solver_opt" localSheetId="8" hidden="1">ErrorLHS!$H$6</definedName>
    <definedName name="solver_opt" localSheetId="9" hidden="1">ErrorObj!$H$6</definedName>
    <definedName name="solver_opt" localSheetId="7" hidden="1">ErrorRHS!$H$6</definedName>
    <definedName name="solver_opt" localSheetId="21" hidden="1">'EscapeSheetName(1)+2-1'!$H$6</definedName>
    <definedName name="solver_opt" localSheetId="25" hidden="1">FeasConstConstraint!$J$6</definedName>
    <definedName name="solver_opt" localSheetId="40" hidden="1">FormulaLB!$H$9</definedName>
    <definedName name="solver_opt" localSheetId="42" hidden="1">FractionalCoeffs!$G$4</definedName>
    <definedName name="solver_opt" localSheetId="66" hidden="1">Highlighting!$G$5</definedName>
    <definedName name="solver_opt" localSheetId="27" hidden="1">IndirectLBs!$H$8</definedName>
    <definedName name="solver_opt" localSheetId="24" hidden="1">InfConstConstraint!$J$6</definedName>
    <definedName name="solver_opt" localSheetId="44" hidden="1">InfModel!$H$7</definedName>
    <definedName name="solver_opt" localSheetId="45" hidden="1">IterativeCalc!$H$7</definedName>
    <definedName name="solver_opt" localSheetId="33" hidden="1">LargeRangeLB!$H$10</definedName>
    <definedName name="solver_opt" localSheetId="15" hidden="1">MergedLHS_OK!$H$7</definedName>
    <definedName name="solver_opt" localSheetId="16" hidden="1">MergedLHSMultiple_OK!$H$7</definedName>
    <definedName name="solver_opt" localSheetId="14" hidden="1">MergedRHS_OK!$H$7</definedName>
    <definedName name="solver_opt" localSheetId="13" hidden="1">MergedVarsBad!$H$6</definedName>
    <definedName name="solver_opt" localSheetId="12" hidden="1">MergedVarsOK!$H$7</definedName>
    <definedName name="solver_opt" localSheetId="11" hidden="1">MergedVarsSubset!$H$6</definedName>
    <definedName name="solver_opt" localSheetId="48" hidden="1">NamedRanges!$I$6</definedName>
    <definedName name="solver_opt" localSheetId="60" hidden="1">NonLin!$I$39</definedName>
    <definedName name="solver_opt" localSheetId="61" hidden="1">NonLin2!$F$4</definedName>
    <definedName name="solver_opt" localSheetId="62" hidden="1">NonLin3!$S$13</definedName>
    <definedName name="solver_opt" localSheetId="63" hidden="1">NonLin4!$D$16</definedName>
    <definedName name="solver_opt" localSheetId="64" hidden="1">NonLin5!$J$7</definedName>
    <definedName name="solver_opt" localSheetId="65" hidden="1">NonLin6!$F$15</definedName>
    <definedName name="solver_opt" localSheetId="59" hidden="1">NonLinBinary!$C$6</definedName>
    <definedName name="solver_opt" localSheetId="58" hidden="1">NonLinConstraints!$I$6</definedName>
    <definedName name="solver_opt" localSheetId="54" hidden="1">NonLinLarge!$H$5</definedName>
    <definedName name="solver_opt" localSheetId="57" hidden="1">NonLinMinMax!$G$6</definedName>
    <definedName name="solver_opt" localSheetId="55" hidden="1">NonLinObj!$H$5</definedName>
    <definedName name="solver_opt" localSheetId="56" hidden="1">NonLinPruning!$F$6</definedName>
    <definedName name="solver_opt" localSheetId="53" hidden="1">NonLinSimple!$H$5</definedName>
    <definedName name="solver_opt" localSheetId="3" hidden="1">OverlappingVars!$H$6</definedName>
    <definedName name="solver_opt" localSheetId="34" hidden="1">OverlapRangeLB!$H$10</definedName>
    <definedName name="solver_opt" localSheetId="35" hidden="1">OverlapRangeLBwithFormula!$H$10</definedName>
    <definedName name="solver_opt" localSheetId="26" hidden="1">ProtectedSheet!$H$6</definedName>
    <definedName name="solver_opt" localSheetId="49" hidden="1">QuickSolve!$H$6</definedName>
    <definedName name="solver_opt" localSheetId="32" hidden="1">Relaxation!$H$9</definedName>
    <definedName name="solver_opt" localSheetId="47" hidden="1">SeekObj!$G$4</definedName>
    <definedName name="solver_opt" localSheetId="51" hidden="1">Sensitivity!$G$6</definedName>
    <definedName name="solver_opt" localSheetId="52" hidden="1">SensitivityNames!$D$20</definedName>
    <definedName name="solver_opt" localSheetId="2" hidden="1">SimpleLP!$H$6</definedName>
    <definedName name="solver_opt" localSheetId="29" hidden="1">SingleRangeLB!$H$8</definedName>
    <definedName name="solver_opt" localSheetId="50" hidden="1">SolverParameters!$H$15</definedName>
    <definedName name="solver_opt" localSheetId="10" hidden="1">TextObj!$H$6</definedName>
    <definedName name="solver_opt" localSheetId="6" hidden="1">TextRHS!$H$6</definedName>
    <definedName name="solver_opt" localSheetId="41" hidden="1">VarConstraintLB!$H$9</definedName>
    <definedName name="solver_opt" localSheetId="37" hidden="1">VariableFormulaRangeLB!$H$9</definedName>
    <definedName name="solver_pre" localSheetId="20" hidden="1">0.000001</definedName>
    <definedName name="solver_pre" localSheetId="31" hidden="1">0.000001</definedName>
    <definedName name="solver_pre" localSheetId="17" hidden="1">0.000001</definedName>
    <definedName name="solver_pre" localSheetId="30" hidden="1">0.000001</definedName>
    <definedName name="solver_pre" localSheetId="5" hidden="1">0.000001</definedName>
    <definedName name="solver_pre" localSheetId="4" hidden="1">0.000001</definedName>
    <definedName name="solver_pre" localSheetId="43" hidden="1">0.000001</definedName>
    <definedName name="solver_pre" localSheetId="18" hidden="1">0.000001</definedName>
    <definedName name="solver_pre" localSheetId="19" hidden="1">0.000001</definedName>
    <definedName name="solver_pre" localSheetId="39" hidden="1">0.000001</definedName>
    <definedName name="solver_pre" localSheetId="36" hidden="1">0.000001</definedName>
    <definedName name="solver_pre" localSheetId="38" hidden="1">0.000001</definedName>
    <definedName name="solver_pre" localSheetId="22" hidden="1">0.000001</definedName>
    <definedName name="solver_pre" localSheetId="28" hidden="1">0.000001</definedName>
    <definedName name="solver_pre" localSheetId="8" hidden="1">0.000001</definedName>
    <definedName name="solver_pre" localSheetId="7" hidden="1">0.000001</definedName>
    <definedName name="solver_pre" localSheetId="21" hidden="1">0.000001</definedName>
    <definedName name="solver_pre" localSheetId="25" hidden="1">0.000001</definedName>
    <definedName name="solver_pre" localSheetId="40" hidden="1">0.000001</definedName>
    <definedName name="solver_pre" localSheetId="42" hidden="1">0.000001</definedName>
    <definedName name="solver_pre" localSheetId="66" hidden="1">0.000001</definedName>
    <definedName name="solver_pre" localSheetId="27" hidden="1">0.000001</definedName>
    <definedName name="solver_pre" localSheetId="24" hidden="1">0.000001</definedName>
    <definedName name="solver_pre" localSheetId="44" hidden="1">0.000001</definedName>
    <definedName name="solver_pre" localSheetId="45" hidden="1">0.000001</definedName>
    <definedName name="solver_pre" localSheetId="33" hidden="1">0.000001</definedName>
    <definedName name="solver_pre" localSheetId="15" hidden="1">0.000001</definedName>
    <definedName name="solver_pre" localSheetId="16" hidden="1">0.000001</definedName>
    <definedName name="solver_pre" localSheetId="14" hidden="1">0.000001</definedName>
    <definedName name="solver_pre" localSheetId="12" hidden="1">0.000001</definedName>
    <definedName name="solver_pre" localSheetId="48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0.000001</definedName>
    <definedName name="solver_pre" localSheetId="65" hidden="1">0.000001</definedName>
    <definedName name="solver_pre" localSheetId="59" hidden="1">0.000001</definedName>
    <definedName name="solver_pre" localSheetId="58" hidden="1">0.000001</definedName>
    <definedName name="solver_pre" localSheetId="54" hidden="1">0.000001</definedName>
    <definedName name="solver_pre" localSheetId="57" hidden="1">0.000001</definedName>
    <definedName name="solver_pre" localSheetId="55" hidden="1">0.000001</definedName>
    <definedName name="solver_pre" localSheetId="56" hidden="1">0.000001</definedName>
    <definedName name="solver_pre" localSheetId="53" hidden="1">0.000001</definedName>
    <definedName name="solver_pre" localSheetId="46" hidden="1">0.000001</definedName>
    <definedName name="solver_pre" localSheetId="3" hidden="1">0.000001</definedName>
    <definedName name="solver_pre" localSheetId="34" hidden="1">0.000001</definedName>
    <definedName name="solver_pre" localSheetId="35" hidden="1">0.000001</definedName>
    <definedName name="solver_pre" localSheetId="49" hidden="1">0.000001</definedName>
    <definedName name="solver_pre" localSheetId="32" hidden="1">0.000001</definedName>
    <definedName name="solver_pre" localSheetId="1" hidden="1">0.000001</definedName>
    <definedName name="solver_pre" localSheetId="47" hidden="1">0.000001</definedName>
    <definedName name="solver_pre" localSheetId="51" hidden="1">0.000001</definedName>
    <definedName name="solver_pre" localSheetId="52" hidden="1">0.000001</definedName>
    <definedName name="solver_pre" localSheetId="2" hidden="1">0.000001</definedName>
    <definedName name="solver_pre" localSheetId="29" hidden="1">0.000001</definedName>
    <definedName name="solver_pre" localSheetId="50" hidden="1">0.000001</definedName>
    <definedName name="solver_pre" localSheetId="6" hidden="1">0.000001</definedName>
    <definedName name="solver_pre" localSheetId="41" hidden="1">0.000001</definedName>
    <definedName name="solver_pre" localSheetId="37" hidden="1">0.000001</definedName>
    <definedName name="solver_rbv" localSheetId="31" hidden="1">1</definedName>
    <definedName name="solver_rbv" localSheetId="30" hidden="1">1</definedName>
    <definedName name="solver_rbv" localSheetId="39" hidden="1">1</definedName>
    <definedName name="solver_rbv" localSheetId="36" hidden="1">1</definedName>
    <definedName name="solver_rbv" localSheetId="40" hidden="1">1</definedName>
    <definedName name="solver_rbv" localSheetId="33" hidden="1">1</definedName>
    <definedName name="solver_rbv" localSheetId="63" hidden="1">1</definedName>
    <definedName name="solver_rbv" localSheetId="64" hidden="1">1</definedName>
    <definedName name="solver_rbv" localSheetId="56" hidden="1">1</definedName>
    <definedName name="solver_rbv" localSheetId="34" hidden="1">1</definedName>
    <definedName name="solver_rbv" localSheetId="35" hidden="1">1</definedName>
    <definedName name="solver_rbv" localSheetId="32" hidden="1">1</definedName>
    <definedName name="solver_rbv" localSheetId="2" hidden="1">1</definedName>
    <definedName name="solver_rbv" localSheetId="29" hidden="1">1</definedName>
    <definedName name="solver_rbv" localSheetId="41" hidden="1">1</definedName>
    <definedName name="solver_rbv" localSheetId="37" hidden="1">1</definedName>
    <definedName name="solver_rel1" localSheetId="67" hidden="1">1</definedName>
    <definedName name="solver_rel1" localSheetId="20" hidden="1">1</definedName>
    <definedName name="solver_rel1" localSheetId="31" hidden="1">3</definedName>
    <definedName name="solver_rel1" localSheetId="17" hidden="1">1</definedName>
    <definedName name="solver_rel1" localSheetId="30" hidden="1">3</definedName>
    <definedName name="solver_rel1" localSheetId="5" hidden="1">1</definedName>
    <definedName name="solver_rel1" localSheetId="4" hidden="1">1</definedName>
    <definedName name="solver_rel1" localSheetId="43" hidden="1">1</definedName>
    <definedName name="solver_rel1" localSheetId="18" hidden="1">1</definedName>
    <definedName name="solver_rel1" localSheetId="19" hidden="1">1</definedName>
    <definedName name="solver_rel1" localSheetId="39" hidden="1">3</definedName>
    <definedName name="solver_rel1" localSheetId="36" hidden="1">3</definedName>
    <definedName name="solver_rel1" localSheetId="38" hidden="1">3</definedName>
    <definedName name="solver_rel1" localSheetId="22" hidden="1">1</definedName>
    <definedName name="solver_rel1" localSheetId="23" hidden="1">1</definedName>
    <definedName name="solver_rel1" localSheetId="28" hidden="1">3</definedName>
    <definedName name="solver_rel1" localSheetId="8" hidden="1">1</definedName>
    <definedName name="solver_rel1" localSheetId="9" hidden="1">1</definedName>
    <definedName name="solver_rel1" localSheetId="7" hidden="1">1</definedName>
    <definedName name="solver_rel1" localSheetId="21" hidden="1">1</definedName>
    <definedName name="solver_rel1" localSheetId="25" hidden="1">1</definedName>
    <definedName name="solver_rel1" localSheetId="40" hidden="1">3</definedName>
    <definedName name="solver_rel1" localSheetId="42" hidden="1">2</definedName>
    <definedName name="solver_rel1" localSheetId="66" hidden="1">1</definedName>
    <definedName name="solver_rel1" localSheetId="27" hidden="1">1</definedName>
    <definedName name="solver_rel1" localSheetId="24" hidden="1">1</definedName>
    <definedName name="solver_rel1" localSheetId="44" hidden="1">1</definedName>
    <definedName name="solver_rel1" localSheetId="45" hidden="1">1</definedName>
    <definedName name="solver_rel1" localSheetId="33" hidden="1">3</definedName>
    <definedName name="solver_rel1" localSheetId="15" hidden="1">1</definedName>
    <definedName name="solver_rel1" localSheetId="16" hidden="1">1</definedName>
    <definedName name="solver_rel1" localSheetId="14" hidden="1">1</definedName>
    <definedName name="solver_rel1" localSheetId="13" hidden="1">1</definedName>
    <definedName name="solver_rel1" localSheetId="12" hidden="1">1</definedName>
    <definedName name="solver_rel1" localSheetId="11" hidden="1">1</definedName>
    <definedName name="solver_rel1" localSheetId="48" hidden="1">1</definedName>
    <definedName name="solver_rel1" localSheetId="60" hidden="1">3</definedName>
    <definedName name="solver_rel1" localSheetId="61" hidden="1">3</definedName>
    <definedName name="solver_rel1" localSheetId="62" hidden="1">3</definedName>
    <definedName name="solver_rel1" localSheetId="59" hidden="1">3</definedName>
    <definedName name="solver_rel1" localSheetId="58" hidden="1">1</definedName>
    <definedName name="solver_rel1" localSheetId="54" hidden="1">1</definedName>
    <definedName name="solver_rel1" localSheetId="57" hidden="1">1</definedName>
    <definedName name="solver_rel1" localSheetId="55" hidden="1">1</definedName>
    <definedName name="solver_rel1" localSheetId="56" hidden="1">1</definedName>
    <definedName name="solver_rel1" localSheetId="53" hidden="1">1</definedName>
    <definedName name="solver_rel1" localSheetId="46" hidden="1">1</definedName>
    <definedName name="solver_rel1" localSheetId="3" hidden="1">1</definedName>
    <definedName name="solver_rel1" localSheetId="34" hidden="1">3</definedName>
    <definedName name="solver_rel1" localSheetId="35" hidden="1">3</definedName>
    <definedName name="solver_rel1" localSheetId="26" hidden="1">1</definedName>
    <definedName name="solver_rel1" localSheetId="49" hidden="1">1</definedName>
    <definedName name="solver_rel1" localSheetId="32" hidden="1">3</definedName>
    <definedName name="solver_rel1" localSheetId="47" hidden="1">2</definedName>
    <definedName name="solver_rel1" localSheetId="51" hidden="1">1</definedName>
    <definedName name="solver_rel1" localSheetId="52" hidden="1">1</definedName>
    <definedName name="solver_rel1" localSheetId="2" hidden="1">1</definedName>
    <definedName name="solver_rel1" localSheetId="29" hidden="1">3</definedName>
    <definedName name="solver_rel1" localSheetId="50" hidden="1">1</definedName>
    <definedName name="solver_rel1" localSheetId="10" hidden="1">1</definedName>
    <definedName name="solver_rel1" localSheetId="6" hidden="1">1</definedName>
    <definedName name="solver_rel1" localSheetId="41" hidden="1">3</definedName>
    <definedName name="solver_rel1" localSheetId="37" hidden="1">3</definedName>
    <definedName name="solver_rel10" localSheetId="19" hidden="1">1</definedName>
    <definedName name="solver_rel10" localSheetId="54" hidden="1">3</definedName>
    <definedName name="solver_rel100" localSheetId="54" hidden="1">3</definedName>
    <definedName name="solver_rel101" localSheetId="54" hidden="1">3</definedName>
    <definedName name="solver_rel102" localSheetId="54" hidden="1">3</definedName>
    <definedName name="solver_rel103" localSheetId="54" hidden="1">3</definedName>
    <definedName name="solver_rel104" localSheetId="54" hidden="1">3</definedName>
    <definedName name="solver_rel105" localSheetId="54" hidden="1">3</definedName>
    <definedName name="solver_rel106" localSheetId="54" hidden="1">3</definedName>
    <definedName name="solver_rel107" localSheetId="54" hidden="1">3</definedName>
    <definedName name="solver_rel108" localSheetId="54" hidden="1">3</definedName>
    <definedName name="solver_rel109" localSheetId="54" hidden="1">3</definedName>
    <definedName name="solver_rel11" localSheetId="54" hidden="1">3</definedName>
    <definedName name="solver_rel110" localSheetId="54" hidden="1">3</definedName>
    <definedName name="solver_rel111" localSheetId="54" hidden="1">3</definedName>
    <definedName name="solver_rel112" localSheetId="54" hidden="1">3</definedName>
    <definedName name="solver_rel113" localSheetId="54" hidden="1">3</definedName>
    <definedName name="solver_rel114" localSheetId="54" hidden="1">3</definedName>
    <definedName name="solver_rel115" localSheetId="54" hidden="1">3</definedName>
    <definedName name="solver_rel116" localSheetId="54" hidden="1">3</definedName>
    <definedName name="solver_rel117" localSheetId="54" hidden="1">3</definedName>
    <definedName name="solver_rel118" localSheetId="54" hidden="1">3</definedName>
    <definedName name="solver_rel119" localSheetId="54" hidden="1">3</definedName>
    <definedName name="solver_rel12" localSheetId="54" hidden="1">3</definedName>
    <definedName name="solver_rel120" localSheetId="54" hidden="1">3</definedName>
    <definedName name="solver_rel121" localSheetId="54" hidden="1">3</definedName>
    <definedName name="solver_rel122" localSheetId="54" hidden="1">3</definedName>
    <definedName name="solver_rel123" localSheetId="54" hidden="1">3</definedName>
    <definedName name="solver_rel124" localSheetId="54" hidden="1">3</definedName>
    <definedName name="solver_rel125" localSheetId="54" hidden="1">3</definedName>
    <definedName name="solver_rel126" localSheetId="54" hidden="1">3</definedName>
    <definedName name="solver_rel127" localSheetId="54" hidden="1">3</definedName>
    <definedName name="solver_rel128" localSheetId="54" hidden="1">3</definedName>
    <definedName name="solver_rel129" localSheetId="54" hidden="1">3</definedName>
    <definedName name="solver_rel13" localSheetId="54" hidden="1">3</definedName>
    <definedName name="solver_rel130" localSheetId="54" hidden="1">3</definedName>
    <definedName name="solver_rel131" localSheetId="54" hidden="1">3</definedName>
    <definedName name="solver_rel132" localSheetId="54" hidden="1">3</definedName>
    <definedName name="solver_rel133" localSheetId="54" hidden="1">2</definedName>
    <definedName name="solver_rel14" localSheetId="54" hidden="1">3</definedName>
    <definedName name="solver_rel15" localSheetId="54" hidden="1">3</definedName>
    <definedName name="solver_rel16" localSheetId="54" hidden="1">3</definedName>
    <definedName name="solver_rel17" localSheetId="54" hidden="1">3</definedName>
    <definedName name="solver_rel18" localSheetId="54" hidden="1">3</definedName>
    <definedName name="solver_rel19" localSheetId="54" hidden="1">3</definedName>
    <definedName name="solver_rel2" localSheetId="67" hidden="1">3</definedName>
    <definedName name="solver_rel2" localSheetId="20" hidden="1">1</definedName>
    <definedName name="solver_rel2" localSheetId="31" hidden="1">3</definedName>
    <definedName name="solver_rel2" localSheetId="17" hidden="1">3</definedName>
    <definedName name="solver_rel2" localSheetId="30" hidden="1">3</definedName>
    <definedName name="solver_rel2" localSheetId="5" hidden="1">3</definedName>
    <definedName name="solver_rel2" localSheetId="4" hidden="1">3</definedName>
    <definedName name="solver_rel2" localSheetId="43" hidden="1">3</definedName>
    <definedName name="solver_rel2" localSheetId="18" hidden="1">3</definedName>
    <definedName name="solver_rel2" localSheetId="19" hidden="1">1</definedName>
    <definedName name="solver_rel2" localSheetId="39" hidden="1">3</definedName>
    <definedName name="solver_rel2" localSheetId="36" hidden="1">3</definedName>
    <definedName name="solver_rel2" localSheetId="38" hidden="1">3</definedName>
    <definedName name="solver_rel2" localSheetId="22" hidden="1">3</definedName>
    <definedName name="solver_rel2" localSheetId="23" hidden="1">3</definedName>
    <definedName name="solver_rel2" localSheetId="28" hidden="1">3</definedName>
    <definedName name="solver_rel2" localSheetId="8" hidden="1">3</definedName>
    <definedName name="solver_rel2" localSheetId="9" hidden="1">3</definedName>
    <definedName name="solver_rel2" localSheetId="7" hidden="1">3</definedName>
    <definedName name="solver_rel2" localSheetId="21" hidden="1">3</definedName>
    <definedName name="solver_rel2" localSheetId="25" hidden="1">3</definedName>
    <definedName name="solver_rel2" localSheetId="40" hidden="1">3</definedName>
    <definedName name="solver_rel2" localSheetId="42" hidden="1">3</definedName>
    <definedName name="solver_rel2" localSheetId="66" hidden="1">3</definedName>
    <definedName name="solver_rel2" localSheetId="27" hidden="1">3</definedName>
    <definedName name="solver_rel2" localSheetId="24" hidden="1">3</definedName>
    <definedName name="solver_rel2" localSheetId="44" hidden="1">3</definedName>
    <definedName name="solver_rel2" localSheetId="45" hidden="1">3</definedName>
    <definedName name="solver_rel2" localSheetId="33" hidden="1">3</definedName>
    <definedName name="solver_rel2" localSheetId="15" hidden="1">3</definedName>
    <definedName name="solver_rel2" localSheetId="16" hidden="1">3</definedName>
    <definedName name="solver_rel2" localSheetId="14" hidden="1">3</definedName>
    <definedName name="solver_rel2" localSheetId="13" hidden="1">3</definedName>
    <definedName name="solver_rel2" localSheetId="12" hidden="1">3</definedName>
    <definedName name="solver_rel2" localSheetId="11" hidden="1">3</definedName>
    <definedName name="solver_rel2" localSheetId="48" hidden="1">3</definedName>
    <definedName name="solver_rel2" localSheetId="60" hidden="1">1</definedName>
    <definedName name="solver_rel2" localSheetId="61" hidden="1">5</definedName>
    <definedName name="solver_rel2" localSheetId="62" hidden="1">1</definedName>
    <definedName name="solver_rel2" localSheetId="59" hidden="1">5</definedName>
    <definedName name="solver_rel2" localSheetId="58" hidden="1">3</definedName>
    <definedName name="solver_rel2" localSheetId="54" hidden="1">3</definedName>
    <definedName name="solver_rel2" localSheetId="57" hidden="1">4</definedName>
    <definedName name="solver_rel2" localSheetId="55" hidden="1">3</definedName>
    <definedName name="solver_rel2" localSheetId="56" hidden="1">3</definedName>
    <definedName name="solver_rel2" localSheetId="53" hidden="1">3</definedName>
    <definedName name="solver_rel2" localSheetId="46" hidden="1">3</definedName>
    <definedName name="solver_rel2" localSheetId="3" hidden="1">3</definedName>
    <definedName name="solver_rel2" localSheetId="34" hidden="1">3</definedName>
    <definedName name="solver_rel2" localSheetId="35" hidden="1">3</definedName>
    <definedName name="solver_rel2" localSheetId="26" hidden="1">3</definedName>
    <definedName name="solver_rel2" localSheetId="49" hidden="1">3</definedName>
    <definedName name="solver_rel2" localSheetId="32" hidden="1">3</definedName>
    <definedName name="solver_rel2" localSheetId="47" hidden="1">3</definedName>
    <definedName name="solver_rel2" localSheetId="51" hidden="1">3</definedName>
    <definedName name="solver_rel2" localSheetId="52" hidden="1">2</definedName>
    <definedName name="solver_rel2" localSheetId="2" hidden="1">3</definedName>
    <definedName name="solver_rel2" localSheetId="29" hidden="1">3</definedName>
    <definedName name="solver_rel2" localSheetId="50" hidden="1">3</definedName>
    <definedName name="solver_rel2" localSheetId="10" hidden="1">3</definedName>
    <definedName name="solver_rel2" localSheetId="6" hidden="1">3</definedName>
    <definedName name="solver_rel2" localSheetId="41" hidden="1">1</definedName>
    <definedName name="solver_rel2" localSheetId="37" hidden="1">3</definedName>
    <definedName name="solver_rel20" localSheetId="54" hidden="1">3</definedName>
    <definedName name="solver_rel21" localSheetId="54" hidden="1">3</definedName>
    <definedName name="solver_rel22" localSheetId="54" hidden="1">3</definedName>
    <definedName name="solver_rel23" localSheetId="54" hidden="1">3</definedName>
    <definedName name="solver_rel24" localSheetId="54" hidden="1">3</definedName>
    <definedName name="solver_rel25" localSheetId="54" hidden="1">3</definedName>
    <definedName name="solver_rel26" localSheetId="54" hidden="1">3</definedName>
    <definedName name="solver_rel27" localSheetId="54" hidden="1">3</definedName>
    <definedName name="solver_rel28" localSheetId="54" hidden="1">3</definedName>
    <definedName name="solver_rel29" localSheetId="54" hidden="1">3</definedName>
    <definedName name="solver_rel3" localSheetId="67" hidden="1">3</definedName>
    <definedName name="solver_rel3" localSheetId="20" hidden="1">3</definedName>
    <definedName name="solver_rel3" localSheetId="31" hidden="1">5</definedName>
    <definedName name="solver_rel3" localSheetId="17" hidden="1">1</definedName>
    <definedName name="solver_rel3" localSheetId="30" hidden="1">5</definedName>
    <definedName name="solver_rel3" localSheetId="5" hidden="1">2</definedName>
    <definedName name="solver_rel3" localSheetId="4" hidden="1">2</definedName>
    <definedName name="solver_rel3" localSheetId="43" hidden="1">1</definedName>
    <definedName name="solver_rel3" localSheetId="18" hidden="1">1</definedName>
    <definedName name="solver_rel3" localSheetId="19" hidden="1">1</definedName>
    <definedName name="solver_rel3" localSheetId="39" hidden="1">3</definedName>
    <definedName name="solver_rel3" localSheetId="36" hidden="1">3</definedName>
    <definedName name="solver_rel3" localSheetId="38" hidden="1">3</definedName>
    <definedName name="solver_rel3" localSheetId="22" hidden="1">1</definedName>
    <definedName name="solver_rel3" localSheetId="23" hidden="1">1</definedName>
    <definedName name="solver_rel3" localSheetId="28" hidden="1">3</definedName>
    <definedName name="solver_rel3" localSheetId="8" hidden="1">2</definedName>
    <definedName name="solver_rel3" localSheetId="9" hidden="1">2</definedName>
    <definedName name="solver_rel3" localSheetId="7" hidden="1">2</definedName>
    <definedName name="solver_rel3" localSheetId="21" hidden="1">2</definedName>
    <definedName name="solver_rel3" localSheetId="25" hidden="1">3</definedName>
    <definedName name="solver_rel3" localSheetId="40" hidden="1">3</definedName>
    <definedName name="solver_rel3" localSheetId="42" hidden="1">1</definedName>
    <definedName name="solver_rel3" localSheetId="66" hidden="1">2</definedName>
    <definedName name="solver_rel3" localSheetId="27" hidden="1">2</definedName>
    <definedName name="solver_rel3" localSheetId="24" hidden="1">2</definedName>
    <definedName name="solver_rel3" localSheetId="44" hidden="1">1</definedName>
    <definedName name="solver_rel3" localSheetId="45" hidden="1">2</definedName>
    <definedName name="solver_rel3" localSheetId="33" hidden="1">3</definedName>
    <definedName name="solver_rel3" localSheetId="15" hidden="1">2</definedName>
    <definedName name="solver_rel3" localSheetId="16" hidden="1">2</definedName>
    <definedName name="solver_rel3" localSheetId="14" hidden="1">2</definedName>
    <definedName name="solver_rel3" localSheetId="13" hidden="1">2</definedName>
    <definedName name="solver_rel3" localSheetId="12" hidden="1">2</definedName>
    <definedName name="solver_rel3" localSheetId="11" hidden="1">2</definedName>
    <definedName name="solver_rel3" localSheetId="48" hidden="1">1</definedName>
    <definedName name="solver_rel3" localSheetId="60" hidden="1">3</definedName>
    <definedName name="solver_rel3" localSheetId="54" hidden="1">2</definedName>
    <definedName name="solver_rel3" localSheetId="55" hidden="1">2</definedName>
    <definedName name="solver_rel3" localSheetId="56" hidden="1">1</definedName>
    <definedName name="solver_rel3" localSheetId="53" hidden="1">2</definedName>
    <definedName name="solver_rel3" localSheetId="46" hidden="1">2</definedName>
    <definedName name="solver_rel3" localSheetId="3" hidden="1">2</definedName>
    <definedName name="solver_rel3" localSheetId="34" hidden="1">3</definedName>
    <definedName name="solver_rel3" localSheetId="35" hidden="1">3</definedName>
    <definedName name="solver_rel3" localSheetId="26" hidden="1">2</definedName>
    <definedName name="solver_rel3" localSheetId="49" hidden="1">3</definedName>
    <definedName name="solver_rel3" localSheetId="32" hidden="1">5</definedName>
    <definedName name="solver_rel3" localSheetId="47" hidden="1">1</definedName>
    <definedName name="solver_rel3" localSheetId="51" hidden="1">1</definedName>
    <definedName name="solver_rel3" localSheetId="52" hidden="1">3</definedName>
    <definedName name="solver_rel3" localSheetId="2" hidden="1">2</definedName>
    <definedName name="solver_rel3" localSheetId="29" hidden="1">3</definedName>
    <definedName name="solver_rel3" localSheetId="50" hidden="1">2</definedName>
    <definedName name="solver_rel3" localSheetId="10" hidden="1">2</definedName>
    <definedName name="solver_rel3" localSheetId="6" hidden="1">2</definedName>
    <definedName name="solver_rel3" localSheetId="41" hidden="1">3</definedName>
    <definedName name="solver_rel3" localSheetId="37" hidden="1">3</definedName>
    <definedName name="solver_rel30" localSheetId="54" hidden="1">3</definedName>
    <definedName name="solver_rel31" localSheetId="54" hidden="1">3</definedName>
    <definedName name="solver_rel32" localSheetId="54" hidden="1">3</definedName>
    <definedName name="solver_rel33" localSheetId="54" hidden="1">3</definedName>
    <definedName name="solver_rel34" localSheetId="54" hidden="1">3</definedName>
    <definedName name="solver_rel35" localSheetId="54" hidden="1">3</definedName>
    <definedName name="solver_rel36" localSheetId="54" hidden="1">3</definedName>
    <definedName name="solver_rel37" localSheetId="54" hidden="1">3</definedName>
    <definedName name="solver_rel38" localSheetId="54" hidden="1">3</definedName>
    <definedName name="solver_rel39" localSheetId="54" hidden="1">3</definedName>
    <definedName name="solver_rel4" localSheetId="67" hidden="1">3</definedName>
    <definedName name="solver_rel4" localSheetId="20" hidden="1">2</definedName>
    <definedName name="solver_rel4" localSheetId="31" hidden="1">4</definedName>
    <definedName name="solver_rel4" localSheetId="17" hidden="1">5</definedName>
    <definedName name="solver_rel4" localSheetId="30" hidden="1">3</definedName>
    <definedName name="solver_rel4" localSheetId="5" hidden="1">2</definedName>
    <definedName name="solver_rel4" localSheetId="4" hidden="1">2</definedName>
    <definedName name="solver_rel4" localSheetId="43" hidden="1">5</definedName>
    <definedName name="solver_rel4" localSheetId="18" hidden="1">5</definedName>
    <definedName name="solver_rel4" localSheetId="19" hidden="1">5</definedName>
    <definedName name="solver_rel4" localSheetId="39" hidden="1">3</definedName>
    <definedName name="solver_rel4" localSheetId="36" hidden="1">3</definedName>
    <definedName name="solver_rel4" localSheetId="38" hidden="1">3</definedName>
    <definedName name="solver_rel4" localSheetId="22" hidden="1">1</definedName>
    <definedName name="solver_rel4" localSheetId="23" hidden="1">2</definedName>
    <definedName name="solver_rel4" localSheetId="28" hidden="1">3</definedName>
    <definedName name="solver_rel4" localSheetId="8" hidden="1">2</definedName>
    <definedName name="solver_rel4" localSheetId="9" hidden="1">2</definedName>
    <definedName name="solver_rel4" localSheetId="7" hidden="1">2</definedName>
    <definedName name="solver_rel4" localSheetId="21" hidden="1">2</definedName>
    <definedName name="solver_rel4" localSheetId="25" hidden="1">3</definedName>
    <definedName name="solver_rel4" localSheetId="40" hidden="1">3</definedName>
    <definedName name="solver_rel4" localSheetId="42" hidden="1">1</definedName>
    <definedName name="solver_rel4" localSheetId="66" hidden="1">1</definedName>
    <definedName name="solver_rel4" localSheetId="27" hidden="1">3</definedName>
    <definedName name="solver_rel4" localSheetId="24" hidden="1">2</definedName>
    <definedName name="solver_rel4" localSheetId="44" hidden="1">1</definedName>
    <definedName name="solver_rel4" localSheetId="45" hidden="1">2</definedName>
    <definedName name="solver_rel4" localSheetId="33" hidden="1">3</definedName>
    <definedName name="solver_rel4" localSheetId="15" hidden="1">2</definedName>
    <definedName name="solver_rel4" localSheetId="16" hidden="1">2</definedName>
    <definedName name="solver_rel4" localSheetId="14" hidden="1">2</definedName>
    <definedName name="solver_rel4" localSheetId="13" hidden="1">2</definedName>
    <definedName name="solver_rel4" localSheetId="12" hidden="1">2</definedName>
    <definedName name="solver_rel4" localSheetId="11" hidden="1">2</definedName>
    <definedName name="solver_rel4" localSheetId="48" hidden="1">2</definedName>
    <definedName name="solver_rel4" localSheetId="60" hidden="1">1</definedName>
    <definedName name="solver_rel4" localSheetId="54" hidden="1">1</definedName>
    <definedName name="solver_rel4" localSheetId="56" hidden="1">3</definedName>
    <definedName name="solver_rel4" localSheetId="46" hidden="1">2</definedName>
    <definedName name="solver_rel4" localSheetId="3" hidden="1">1</definedName>
    <definedName name="solver_rel4" localSheetId="34" hidden="1">3</definedName>
    <definedName name="solver_rel4" localSheetId="35" hidden="1">3</definedName>
    <definedName name="solver_rel4" localSheetId="26" hidden="1">2</definedName>
    <definedName name="solver_rel4" localSheetId="49" hidden="1">4</definedName>
    <definedName name="solver_rel4" localSheetId="32" hidden="1">4</definedName>
    <definedName name="solver_rel4" localSheetId="47" hidden="1">1</definedName>
    <definedName name="solver_rel4" localSheetId="51" hidden="1">4</definedName>
    <definedName name="solver_rel4" localSheetId="2" hidden="1">1</definedName>
    <definedName name="solver_rel4" localSheetId="29" hidden="1">3</definedName>
    <definedName name="solver_rel4" localSheetId="50" hidden="1">2</definedName>
    <definedName name="solver_rel4" localSheetId="10" hidden="1">2</definedName>
    <definedName name="solver_rel4" localSheetId="6" hidden="1">2</definedName>
    <definedName name="solver_rel4" localSheetId="41" hidden="1">3</definedName>
    <definedName name="solver_rel4" localSheetId="37" hidden="1">3</definedName>
    <definedName name="solver_rel40" localSheetId="54" hidden="1">3</definedName>
    <definedName name="solver_rel41" localSheetId="54" hidden="1">3</definedName>
    <definedName name="solver_rel42" localSheetId="54" hidden="1">3</definedName>
    <definedName name="solver_rel43" localSheetId="54" hidden="1">3</definedName>
    <definedName name="solver_rel44" localSheetId="54" hidden="1">3</definedName>
    <definedName name="solver_rel45" localSheetId="54" hidden="1">3</definedName>
    <definedName name="solver_rel46" localSheetId="54" hidden="1">3</definedName>
    <definedName name="solver_rel47" localSheetId="54" hidden="1">3</definedName>
    <definedName name="solver_rel48" localSheetId="54" hidden="1">3</definedName>
    <definedName name="solver_rel49" localSheetId="54" hidden="1">3</definedName>
    <definedName name="solver_rel5" localSheetId="67" hidden="1">4</definedName>
    <definedName name="solver_rel5" localSheetId="20" hidden="1">1</definedName>
    <definedName name="solver_rel5" localSheetId="31" hidden="1">3</definedName>
    <definedName name="solver_rel5" localSheetId="17" hidden="1">4</definedName>
    <definedName name="solver_rel5" localSheetId="30" hidden="1">3</definedName>
    <definedName name="solver_rel5" localSheetId="5" hidden="1">1</definedName>
    <definedName name="solver_rel5" localSheetId="4" hidden="1">1</definedName>
    <definedName name="solver_rel5" localSheetId="43" hidden="1">4</definedName>
    <definedName name="solver_rel5" localSheetId="18" hidden="1">4</definedName>
    <definedName name="solver_rel5" localSheetId="19" hidden="1">4</definedName>
    <definedName name="solver_rel5" localSheetId="39" hidden="1">1</definedName>
    <definedName name="solver_rel5" localSheetId="36" hidden="1">1</definedName>
    <definedName name="solver_rel5" localSheetId="38" hidden="1">1</definedName>
    <definedName name="solver_rel5" localSheetId="22" hidden="1">1</definedName>
    <definedName name="solver_rel5" localSheetId="23" hidden="1">1</definedName>
    <definedName name="solver_rel5" localSheetId="28" hidden="1">1</definedName>
    <definedName name="solver_rel5" localSheetId="8" hidden="1">1</definedName>
    <definedName name="solver_rel5" localSheetId="9" hidden="1">1</definedName>
    <definedName name="solver_rel5" localSheetId="7" hidden="1">1</definedName>
    <definedName name="solver_rel5" localSheetId="21" hidden="1">1</definedName>
    <definedName name="solver_rel5" localSheetId="25" hidden="1">1</definedName>
    <definedName name="solver_rel5" localSheetId="40" hidden="1">1</definedName>
    <definedName name="solver_rel5" localSheetId="66" hidden="1">1</definedName>
    <definedName name="solver_rel5" localSheetId="27" hidden="1">1</definedName>
    <definedName name="solver_rel5" localSheetId="24" hidden="1">1</definedName>
    <definedName name="solver_rel5" localSheetId="44" hidden="1">1</definedName>
    <definedName name="solver_rel5" localSheetId="45" hidden="1">1</definedName>
    <definedName name="solver_rel5" localSheetId="33" hidden="1">1</definedName>
    <definedName name="solver_rel5" localSheetId="15" hidden="1">1</definedName>
    <definedName name="solver_rel5" localSheetId="16" hidden="1">1</definedName>
    <definedName name="solver_rel5" localSheetId="14" hidden="1">1</definedName>
    <definedName name="solver_rel5" localSheetId="13" hidden="1">1</definedName>
    <definedName name="solver_rel5" localSheetId="12" hidden="1">1</definedName>
    <definedName name="solver_rel5" localSheetId="11" hidden="1">1</definedName>
    <definedName name="solver_rel5" localSheetId="60" hidden="1">4</definedName>
    <definedName name="solver_rel5" localSheetId="54" hidden="1">3</definedName>
    <definedName name="solver_rel5" localSheetId="56" hidden="1">1</definedName>
    <definedName name="solver_rel5" localSheetId="46" hidden="1">1</definedName>
    <definedName name="solver_rel5" localSheetId="3" hidden="1">3</definedName>
    <definedName name="solver_rel5" localSheetId="34" hidden="1">1</definedName>
    <definedName name="solver_rel5" localSheetId="35" hidden="1">1</definedName>
    <definedName name="solver_rel5" localSheetId="26" hidden="1">1</definedName>
    <definedName name="solver_rel5" localSheetId="49" hidden="1">2</definedName>
    <definedName name="solver_rel5" localSheetId="32" hidden="1">5</definedName>
    <definedName name="solver_rel5" localSheetId="2" hidden="1">3</definedName>
    <definedName name="solver_rel5" localSheetId="29" hidden="1">1</definedName>
    <definedName name="solver_rel5" localSheetId="10" hidden="1">1</definedName>
    <definedName name="solver_rel5" localSheetId="6" hidden="1">1</definedName>
    <definedName name="solver_rel5" localSheetId="41" hidden="1">1</definedName>
    <definedName name="solver_rel5" localSheetId="37" hidden="1">1</definedName>
    <definedName name="solver_rel50" localSheetId="54" hidden="1">3</definedName>
    <definedName name="solver_rel51" localSheetId="54" hidden="1">3</definedName>
    <definedName name="solver_rel52" localSheetId="54" hidden="1">3</definedName>
    <definedName name="solver_rel53" localSheetId="54" hidden="1">3</definedName>
    <definedName name="solver_rel54" localSheetId="54" hidden="1">3</definedName>
    <definedName name="solver_rel55" localSheetId="54" hidden="1">3</definedName>
    <definedName name="solver_rel56" localSheetId="54" hidden="1">3</definedName>
    <definedName name="solver_rel57" localSheetId="54" hidden="1">3</definedName>
    <definedName name="solver_rel58" localSheetId="54" hidden="1">3</definedName>
    <definedName name="solver_rel59" localSheetId="54" hidden="1">3</definedName>
    <definedName name="solver_rel6" localSheetId="67" hidden="1">4</definedName>
    <definedName name="solver_rel6" localSheetId="20" hidden="1">5</definedName>
    <definedName name="solver_rel6" localSheetId="31" hidden="1">3</definedName>
    <definedName name="solver_rel6" localSheetId="17" hidden="1">1</definedName>
    <definedName name="solver_rel6" localSheetId="30" hidden="1">5</definedName>
    <definedName name="solver_rel6" localSheetId="5" hidden="1">5</definedName>
    <definedName name="solver_rel6" localSheetId="4" hidden="1">5</definedName>
    <definedName name="solver_rel6" localSheetId="43" hidden="1">1</definedName>
    <definedName name="solver_rel6" localSheetId="18" hidden="1">1</definedName>
    <definedName name="solver_rel6" localSheetId="19" hidden="1">1</definedName>
    <definedName name="solver_rel6" localSheetId="39" hidden="1">3</definedName>
    <definedName name="solver_rel6" localSheetId="36" hidden="1">3</definedName>
    <definedName name="solver_rel6" localSheetId="38" hidden="1">3</definedName>
    <definedName name="solver_rel6" localSheetId="22" hidden="1">5</definedName>
    <definedName name="solver_rel6" localSheetId="23" hidden="1">5</definedName>
    <definedName name="solver_rel6" localSheetId="28" hidden="1">3</definedName>
    <definedName name="solver_rel6" localSheetId="8" hidden="1">5</definedName>
    <definedName name="solver_rel6" localSheetId="9" hidden="1">5</definedName>
    <definedName name="solver_rel6" localSheetId="7" hidden="1">5</definedName>
    <definedName name="solver_rel6" localSheetId="21" hidden="1">5</definedName>
    <definedName name="solver_rel6" localSheetId="25" hidden="1">5</definedName>
    <definedName name="solver_rel6" localSheetId="40" hidden="1">3</definedName>
    <definedName name="solver_rel6" localSheetId="66" hidden="1">3</definedName>
    <definedName name="solver_rel6" localSheetId="27" hidden="1">3</definedName>
    <definedName name="solver_rel6" localSheetId="24" hidden="1">5</definedName>
    <definedName name="solver_rel6" localSheetId="44" hidden="1">5</definedName>
    <definedName name="solver_rel6" localSheetId="45" hidden="1">5</definedName>
    <definedName name="solver_rel6" localSheetId="33" hidden="1">3</definedName>
    <definedName name="solver_rel6" localSheetId="15" hidden="1">5</definedName>
    <definedName name="solver_rel6" localSheetId="16" hidden="1">5</definedName>
    <definedName name="solver_rel6" localSheetId="14" hidden="1">5</definedName>
    <definedName name="solver_rel6" localSheetId="13" hidden="1">5</definedName>
    <definedName name="solver_rel6" localSheetId="12" hidden="1">5</definedName>
    <definedName name="solver_rel6" localSheetId="11" hidden="1">5</definedName>
    <definedName name="solver_rel6" localSheetId="54" hidden="1">2</definedName>
    <definedName name="solver_rel6" localSheetId="56" hidden="1">1</definedName>
    <definedName name="solver_rel6" localSheetId="46" hidden="1">5</definedName>
    <definedName name="solver_rel6" localSheetId="3" hidden="1">2</definedName>
    <definedName name="solver_rel6" localSheetId="34" hidden="1">3</definedName>
    <definedName name="solver_rel6" localSheetId="35" hidden="1">3</definedName>
    <definedName name="solver_rel6" localSheetId="26" hidden="1">5</definedName>
    <definedName name="solver_rel6" localSheetId="49" hidden="1">5</definedName>
    <definedName name="solver_rel6" localSheetId="32" hidden="1">4</definedName>
    <definedName name="solver_rel6" localSheetId="2" hidden="1">2</definedName>
    <definedName name="solver_rel6" localSheetId="29" hidden="1">3</definedName>
    <definedName name="solver_rel6" localSheetId="10" hidden="1">5</definedName>
    <definedName name="solver_rel6" localSheetId="6" hidden="1">5</definedName>
    <definedName name="solver_rel6" localSheetId="41" hidden="1">3</definedName>
    <definedName name="solver_rel6" localSheetId="37" hidden="1">3</definedName>
    <definedName name="solver_rel60" localSheetId="54" hidden="1">3</definedName>
    <definedName name="solver_rel61" localSheetId="54" hidden="1">3</definedName>
    <definedName name="solver_rel62" localSheetId="54" hidden="1">3</definedName>
    <definedName name="solver_rel63" localSheetId="54" hidden="1">3</definedName>
    <definedName name="solver_rel64" localSheetId="54" hidden="1">3</definedName>
    <definedName name="solver_rel65" localSheetId="54" hidden="1">3</definedName>
    <definedName name="solver_rel66" localSheetId="54" hidden="1">3</definedName>
    <definedName name="solver_rel67" localSheetId="54" hidden="1">2</definedName>
    <definedName name="solver_rel68" localSheetId="54" hidden="1">1</definedName>
    <definedName name="solver_rel69" localSheetId="54" hidden="1">3</definedName>
    <definedName name="solver_rel7" localSheetId="67" hidden="1">4</definedName>
    <definedName name="solver_rel7" localSheetId="20" hidden="1">4</definedName>
    <definedName name="solver_rel7" localSheetId="31" hidden="1">4</definedName>
    <definedName name="solver_rel7" localSheetId="17" hidden="1">4</definedName>
    <definedName name="solver_rel7" localSheetId="30" hidden="1">4</definedName>
    <definedName name="solver_rel7" localSheetId="5" hidden="1">4</definedName>
    <definedName name="solver_rel7" localSheetId="4" hidden="1">4</definedName>
    <definedName name="solver_rel7" localSheetId="43" hidden="1">3</definedName>
    <definedName name="solver_rel7" localSheetId="18" hidden="1">3</definedName>
    <definedName name="solver_rel7" localSheetId="19" hidden="1">3</definedName>
    <definedName name="solver_rel7" localSheetId="39" hidden="1">4</definedName>
    <definedName name="solver_rel7" localSheetId="36" hidden="1">4</definedName>
    <definedName name="solver_rel7" localSheetId="38" hidden="1">4</definedName>
    <definedName name="solver_rel7" localSheetId="22" hidden="1">4</definedName>
    <definedName name="solver_rel7" localSheetId="23" hidden="1">4</definedName>
    <definedName name="solver_rel7" localSheetId="28" hidden="1">4</definedName>
    <definedName name="solver_rel7" localSheetId="8" hidden="1">4</definedName>
    <definedName name="solver_rel7" localSheetId="9" hidden="1">4</definedName>
    <definedName name="solver_rel7" localSheetId="7" hidden="1">4</definedName>
    <definedName name="solver_rel7" localSheetId="21" hidden="1">4</definedName>
    <definedName name="solver_rel7" localSheetId="25" hidden="1">4</definedName>
    <definedName name="solver_rel7" localSheetId="40" hidden="1">4</definedName>
    <definedName name="solver_rel7" localSheetId="66" hidden="1">3</definedName>
    <definedName name="solver_rel7" localSheetId="27" hidden="1">4</definedName>
    <definedName name="solver_rel7" localSheetId="24" hidden="1">4</definedName>
    <definedName name="solver_rel7" localSheetId="44" hidden="1">4</definedName>
    <definedName name="solver_rel7" localSheetId="45" hidden="1">4</definedName>
    <definedName name="solver_rel7" localSheetId="33" hidden="1">4</definedName>
    <definedName name="solver_rel7" localSheetId="15" hidden="1">4</definedName>
    <definedName name="solver_rel7" localSheetId="16" hidden="1">4</definedName>
    <definedName name="solver_rel7" localSheetId="14" hidden="1">4</definedName>
    <definedName name="solver_rel7" localSheetId="13" hidden="1">4</definedName>
    <definedName name="solver_rel7" localSheetId="12" hidden="1">4</definedName>
    <definedName name="solver_rel7" localSheetId="11" hidden="1">4</definedName>
    <definedName name="solver_rel7" localSheetId="54" hidden="1">3</definedName>
    <definedName name="solver_rel7" localSheetId="46" hidden="1">4</definedName>
    <definedName name="solver_rel7" localSheetId="3" hidden="1">1</definedName>
    <definedName name="solver_rel7" localSheetId="34" hidden="1">4</definedName>
    <definedName name="solver_rel7" localSheetId="35" hidden="1">4</definedName>
    <definedName name="solver_rel7" localSheetId="26" hidden="1">4</definedName>
    <definedName name="solver_rel7" localSheetId="49" hidden="1">4</definedName>
    <definedName name="solver_rel7" localSheetId="32" hidden="1">4</definedName>
    <definedName name="solver_rel7" localSheetId="2" hidden="1">4</definedName>
    <definedName name="solver_rel7" localSheetId="29" hidden="1">4</definedName>
    <definedName name="solver_rel7" localSheetId="10" hidden="1">4</definedName>
    <definedName name="solver_rel7" localSheetId="6" hidden="1">4</definedName>
    <definedName name="solver_rel7" localSheetId="41" hidden="1">4</definedName>
    <definedName name="solver_rel7" localSheetId="37" hidden="1">4</definedName>
    <definedName name="solver_rel70" localSheetId="54" hidden="1">3</definedName>
    <definedName name="solver_rel71" localSheetId="54" hidden="1">3</definedName>
    <definedName name="solver_rel72" localSheetId="54" hidden="1">3</definedName>
    <definedName name="solver_rel73" localSheetId="54" hidden="1">3</definedName>
    <definedName name="solver_rel74" localSheetId="54" hidden="1">3</definedName>
    <definedName name="solver_rel75" localSheetId="54" hidden="1">3</definedName>
    <definedName name="solver_rel76" localSheetId="54" hidden="1">3</definedName>
    <definedName name="solver_rel77" localSheetId="54" hidden="1">3</definedName>
    <definedName name="solver_rel78" localSheetId="54" hidden="1">3</definedName>
    <definedName name="solver_rel79" localSheetId="54" hidden="1">3</definedName>
    <definedName name="solver_rel8" localSheetId="20" hidden="1">5</definedName>
    <definedName name="solver_rel8" localSheetId="31" hidden="1">5</definedName>
    <definedName name="solver_rel8" localSheetId="17" hidden="1">5</definedName>
    <definedName name="solver_rel8" localSheetId="30" hidden="1">5</definedName>
    <definedName name="solver_rel8" localSheetId="5" hidden="1">5</definedName>
    <definedName name="solver_rel8" localSheetId="4" hidden="1">5</definedName>
    <definedName name="solver_rel8" localSheetId="43" hidden="1">5</definedName>
    <definedName name="solver_rel8" localSheetId="18" hidden="1">3</definedName>
    <definedName name="solver_rel8" localSheetId="19" hidden="1">3</definedName>
    <definedName name="solver_rel8" localSheetId="39" hidden="1">5</definedName>
    <definedName name="solver_rel8" localSheetId="36" hidden="1">5</definedName>
    <definedName name="solver_rel8" localSheetId="38" hidden="1">5</definedName>
    <definedName name="solver_rel8" localSheetId="22" hidden="1">5</definedName>
    <definedName name="solver_rel8" localSheetId="23" hidden="1">5</definedName>
    <definedName name="solver_rel8" localSheetId="28" hidden="1">5</definedName>
    <definedName name="solver_rel8" localSheetId="8" hidden="1">5</definedName>
    <definedName name="solver_rel8" localSheetId="9" hidden="1">5</definedName>
    <definedName name="solver_rel8" localSheetId="7" hidden="1">5</definedName>
    <definedName name="solver_rel8" localSheetId="21" hidden="1">5</definedName>
    <definedName name="solver_rel8" localSheetId="25" hidden="1">5</definedName>
    <definedName name="solver_rel8" localSheetId="40" hidden="1">5</definedName>
    <definedName name="solver_rel8" localSheetId="66" hidden="1">1</definedName>
    <definedName name="solver_rel8" localSheetId="27" hidden="1">5</definedName>
    <definedName name="solver_rel8" localSheetId="24" hidden="1">5</definedName>
    <definedName name="solver_rel8" localSheetId="44" hidden="1">5</definedName>
    <definedName name="solver_rel8" localSheetId="45" hidden="1">5</definedName>
    <definedName name="solver_rel8" localSheetId="33" hidden="1">5</definedName>
    <definedName name="solver_rel8" localSheetId="15" hidden="1">5</definedName>
    <definedName name="solver_rel8" localSheetId="16" hidden="1">5</definedName>
    <definedName name="solver_rel8" localSheetId="14" hidden="1">5</definedName>
    <definedName name="solver_rel8" localSheetId="13" hidden="1">5</definedName>
    <definedName name="solver_rel8" localSheetId="12" hidden="1">5</definedName>
    <definedName name="solver_rel8" localSheetId="11" hidden="1">5</definedName>
    <definedName name="solver_rel8" localSheetId="54" hidden="1">3</definedName>
    <definedName name="solver_rel8" localSheetId="46" hidden="1">5</definedName>
    <definedName name="solver_rel8" localSheetId="3" hidden="1">3</definedName>
    <definedName name="solver_rel8" localSheetId="34" hidden="1">5</definedName>
    <definedName name="solver_rel8" localSheetId="35" hidden="1">5</definedName>
    <definedName name="solver_rel8" localSheetId="26" hidden="1">5</definedName>
    <definedName name="solver_rel8" localSheetId="49" hidden="1">5</definedName>
    <definedName name="solver_rel8" localSheetId="32" hidden="1">5</definedName>
    <definedName name="solver_rel8" localSheetId="2" hidden="1">5</definedName>
    <definedName name="solver_rel8" localSheetId="29" hidden="1">5</definedName>
    <definedName name="solver_rel8" localSheetId="10" hidden="1">5</definedName>
    <definedName name="solver_rel8" localSheetId="6" hidden="1">5</definedName>
    <definedName name="solver_rel8" localSheetId="41" hidden="1">5</definedName>
    <definedName name="solver_rel8" localSheetId="37" hidden="1">5</definedName>
    <definedName name="solver_rel80" localSheetId="54" hidden="1">3</definedName>
    <definedName name="solver_rel81" localSheetId="54" hidden="1">3</definedName>
    <definedName name="solver_rel82" localSheetId="54" hidden="1">3</definedName>
    <definedName name="solver_rel83" localSheetId="54" hidden="1">3</definedName>
    <definedName name="solver_rel84" localSheetId="54" hidden="1">3</definedName>
    <definedName name="solver_rel85" localSheetId="54" hidden="1">3</definedName>
    <definedName name="solver_rel86" localSheetId="54" hidden="1">3</definedName>
    <definedName name="solver_rel87" localSheetId="54" hidden="1">3</definedName>
    <definedName name="solver_rel88" localSheetId="54" hidden="1">3</definedName>
    <definedName name="solver_rel89" localSheetId="54" hidden="1">3</definedName>
    <definedName name="solver_rel9" localSheetId="18" hidden="1">3</definedName>
    <definedName name="solver_rel9" localSheetId="19" hidden="1">1</definedName>
    <definedName name="solver_rel9" localSheetId="66" hidden="1">3</definedName>
    <definedName name="solver_rel9" localSheetId="54" hidden="1">3</definedName>
    <definedName name="solver_rel9" localSheetId="3" hidden="1">2</definedName>
    <definedName name="solver_rel90" localSheetId="54" hidden="1">3</definedName>
    <definedName name="solver_rel91" localSheetId="54" hidden="1">3</definedName>
    <definedName name="solver_rel92" localSheetId="54" hidden="1">3</definedName>
    <definedName name="solver_rel93" localSheetId="54" hidden="1">3</definedName>
    <definedName name="solver_rel94" localSheetId="54" hidden="1">3</definedName>
    <definedName name="solver_rel95" localSheetId="54" hidden="1">3</definedName>
    <definedName name="solver_rel96" localSheetId="54" hidden="1">3</definedName>
    <definedName name="solver_rel97" localSheetId="54" hidden="1">3</definedName>
    <definedName name="solver_rel98" localSheetId="54" hidden="1">3</definedName>
    <definedName name="solver_rel99" localSheetId="54" hidden="1">3</definedName>
    <definedName name="solver_rhs1" localSheetId="67" hidden="1">AutoModel!$D$20</definedName>
    <definedName name="solver_rhs1" localSheetId="20" hidden="1">'BadName!'!$J$12</definedName>
    <definedName name="solver_rhs1" localSheetId="31" hidden="1">BinIntLB!$J$11:$J$13</definedName>
    <definedName name="solver_rhs1" localSheetId="17" hidden="1">BinIntOverlap!$K$8:$K$9</definedName>
    <definedName name="solver_rhs1" localSheetId="30" hidden="1">BinLB!$J$11:$J$13</definedName>
    <definedName name="solver_rhs1" localSheetId="5" hidden="1">BlankLHS!$J$8:$J$9</definedName>
    <definedName name="solver_rhs1" localSheetId="4" hidden="1">BlankRHS!$J$8:$J$9</definedName>
    <definedName name="solver_rhs1" localSheetId="43" hidden="1">ComplexLayout!$K$8:$K$9</definedName>
    <definedName name="solver_rhs1" localSheetId="18" hidden="1">ConFormula!$K$9:$K$10</definedName>
    <definedName name="solver_rhs1" localSheetId="19" hidden="1">ConFormulaInf!$K$9:$K$10</definedName>
    <definedName name="solver_rhs1" localSheetId="39" hidden="1">ConstantLB!$J$11:$J$13</definedName>
    <definedName name="solver_rhs1" localSheetId="36" hidden="1">ConstFormulaRangeLB!$J$10:$J$12</definedName>
    <definedName name="solver_rhs1" localSheetId="38" hidden="1">ConstraintLB!$J$11:$J$13</definedName>
    <definedName name="solver_rhs1" localSheetId="22" hidden="1">DeletedConRef!$J$9:$J$10</definedName>
    <definedName name="solver_rhs1" localSheetId="23" hidden="1">DeletedObjRef!$J$9:$J$10</definedName>
    <definedName name="solver_rhs1" localSheetId="28" hidden="1">DirectLBs!$J$10:$J$12</definedName>
    <definedName name="solver_rhs1" localSheetId="8" hidden="1">ErrorLHS!$J$8:$J$9</definedName>
    <definedName name="solver_rhs1" localSheetId="9" hidden="1">ErrorObj!$J$8:$J$9</definedName>
    <definedName name="solver_rhs1" localSheetId="7" hidden="1">ErrorRHS!$J$8:$J$9</definedName>
    <definedName name="solver_rhs1" localSheetId="21" hidden="1">'EscapeSheetName(1)+2-1'!$J$8:$J$9</definedName>
    <definedName name="solver_rhs1" localSheetId="25" hidden="1">FeasConstConstraint!$L$8:$L$9</definedName>
    <definedName name="solver_rhs1" localSheetId="40" hidden="1">FormulaLB!$J$11:$J$13</definedName>
    <definedName name="solver_rhs1" localSheetId="42" hidden="1">FractionalCoeffs!$I$6</definedName>
    <definedName name="solver_rhs1" localSheetId="66" hidden="1">Highlighting!$I$7:$I$8</definedName>
    <definedName name="solver_rhs1" localSheetId="27" hidden="1">IndirectLBs!$J$10:$J$11</definedName>
    <definedName name="solver_rhs1" localSheetId="24" hidden="1">InfConstConstraint!$L$8:$L$9</definedName>
    <definedName name="solver_rhs1" localSheetId="44" hidden="1">InfModel!$J$9:$J$10</definedName>
    <definedName name="solver_rhs1" localSheetId="45" hidden="1">IterativeCalc!$J$9:$J$10</definedName>
    <definedName name="solver_rhs1" localSheetId="33" hidden="1">LargeRangeLB!$J$12:$J$14</definedName>
    <definedName name="solver_rhs1" localSheetId="15" hidden="1">MergedLHS_OK!$J$9:$J$10</definedName>
    <definedName name="solver_rhs1" localSheetId="16" hidden="1">MergedLHSMultiple_OK!$J$9:$J$10</definedName>
    <definedName name="solver_rhs1" localSheetId="14" hidden="1">MergedRHS_OK!$J$9:$J$10</definedName>
    <definedName name="solver_rhs1" localSheetId="13" hidden="1">MergedVarsBad!$J$8:$J$9</definedName>
    <definedName name="solver_rhs1" localSheetId="12" hidden="1">MergedVarsOK!$J$9:$J$10</definedName>
    <definedName name="solver_rhs1" localSheetId="11" hidden="1">MergedVarsSubset!$J$8:$J$9</definedName>
    <definedName name="solver_rhs1" localSheetId="48" hidden="1">NamedRanges!$K$8</definedName>
    <definedName name="solver_rhs1" localSheetId="60" hidden="1">NonLin!$L$40</definedName>
    <definedName name="solver_rhs1" localSheetId="61" hidden="1">NonLin2!$G$6:$G$7</definedName>
    <definedName name="solver_rhs1" localSheetId="62" hidden="1">NonLin3!$Q$10:$Q$11</definedName>
    <definedName name="solver_rhs1" localSheetId="59" hidden="1">NonLinBinary!$G$8:$G$9</definedName>
    <definedName name="solver_rhs1" localSheetId="58" hidden="1">NonLinConstraints!$K$7:$K$9</definedName>
    <definedName name="solver_rhs1" localSheetId="54" hidden="1">NonLinLarge!$J$7:$J$8</definedName>
    <definedName name="solver_rhs1" localSheetId="57" hidden="1">NonLinMinMax!$I$8</definedName>
    <definedName name="solver_rhs1" localSheetId="55" hidden="1">NonLinObj!$J$7:$J$8</definedName>
    <definedName name="solver_rhs1" localSheetId="56" hidden="1">NonLinPruning!$H$8:$H$9</definedName>
    <definedName name="solver_rhs1" localSheetId="53" hidden="1">NonLinSimple!$J$7:$J$8</definedName>
    <definedName name="solver_rhs1" localSheetId="46" hidden="1">NoObj!$J$9:$J$10</definedName>
    <definedName name="solver_rhs1" localSheetId="3" hidden="1">OverlappingVars!$J$8:$J$9</definedName>
    <definedName name="solver_rhs1" localSheetId="34" hidden="1">OverlapRangeLB!$J$12:$J$14</definedName>
    <definedName name="solver_rhs1" localSheetId="35" hidden="1">OverlapRangeLBwithFormula!$J$12:$J$14</definedName>
    <definedName name="solver_rhs1" localSheetId="26" hidden="1">ProtectedSheet!$J$8:$J$9</definedName>
    <definedName name="solver_rhs1" localSheetId="49" hidden="1">QuickSolve!$J$8</definedName>
    <definedName name="solver_rhs1" localSheetId="32" hidden="1">Relaxation!$J$11:$J$13</definedName>
    <definedName name="solver_rhs1" localSheetId="47" hidden="1">SeekObj!$I$6</definedName>
    <definedName name="solver_rhs1" localSheetId="51" hidden="1">Sensitivity!$I$8</definedName>
    <definedName name="solver_rhs1" localSheetId="52" hidden="1">SensitivityNames!$J$14:$J$16</definedName>
    <definedName name="solver_rhs1" localSheetId="2" hidden="1">SimpleLP!$J$8:$J$9</definedName>
    <definedName name="solver_rhs1" localSheetId="29" hidden="1">SingleRangeLB!$J$10:$J$12</definedName>
    <definedName name="solver_rhs1" localSheetId="50" hidden="1">SolverParameters!$J$17:$J$18</definedName>
    <definedName name="solver_rhs1" localSheetId="10" hidden="1">TextObj!$J$8:$J$9</definedName>
    <definedName name="solver_rhs1" localSheetId="6" hidden="1">TextRHS!$J$8:$J$9</definedName>
    <definedName name="solver_rhs1" localSheetId="41" hidden="1">VarConstraintLB!$J$11:$J$13</definedName>
    <definedName name="solver_rhs1" localSheetId="37" hidden="1">VariableFormulaRangeLB!$J$11:$J$13</definedName>
    <definedName name="solver_rhs10" localSheetId="19" hidden="1">5*ConFormulaInf!$I$15-1</definedName>
    <definedName name="solver_rhs10" localSheetId="54" hidden="1">NonLinLarge!$J$16</definedName>
    <definedName name="solver_rhs100" localSheetId="54" hidden="1">NonLinLarge!$J$106</definedName>
    <definedName name="solver_rhs101" localSheetId="54" hidden="1">NonLinLarge!$J$107</definedName>
    <definedName name="solver_rhs102" localSheetId="54" hidden="1">NonLinLarge!$J$108</definedName>
    <definedName name="solver_rhs103" localSheetId="54" hidden="1">NonLinLarge!$J$109</definedName>
    <definedName name="solver_rhs104" localSheetId="54" hidden="1">NonLinLarge!$J$110</definedName>
    <definedName name="solver_rhs105" localSheetId="54" hidden="1">NonLinLarge!$J$111</definedName>
    <definedName name="solver_rhs106" localSheetId="54" hidden="1">NonLinLarge!$J$112</definedName>
    <definedName name="solver_rhs107" localSheetId="54" hidden="1">NonLinLarge!$J$113</definedName>
    <definedName name="solver_rhs108" localSheetId="54" hidden="1">NonLinLarge!$J$114</definedName>
    <definedName name="solver_rhs109" localSheetId="54" hidden="1">NonLinLarge!$J$115</definedName>
    <definedName name="solver_rhs11" localSheetId="54" hidden="1">NonLinLarge!$J$17</definedName>
    <definedName name="solver_rhs110" localSheetId="54" hidden="1">NonLinLarge!$J$116</definedName>
    <definedName name="solver_rhs111" localSheetId="54" hidden="1">NonLinLarge!$J$117</definedName>
    <definedName name="solver_rhs112" localSheetId="54" hidden="1">NonLinLarge!$J$118</definedName>
    <definedName name="solver_rhs113" localSheetId="54" hidden="1">NonLinLarge!$J$119</definedName>
    <definedName name="solver_rhs114" localSheetId="54" hidden="1">NonLinLarge!$J$120</definedName>
    <definedName name="solver_rhs115" localSheetId="54" hidden="1">NonLinLarge!$J$121</definedName>
    <definedName name="solver_rhs116" localSheetId="54" hidden="1">NonLinLarge!$J$122</definedName>
    <definedName name="solver_rhs117" localSheetId="54" hidden="1">NonLinLarge!$J$123</definedName>
    <definedName name="solver_rhs118" localSheetId="54" hidden="1">NonLinLarge!$J$124</definedName>
    <definedName name="solver_rhs119" localSheetId="54" hidden="1">NonLinLarge!$J$125</definedName>
    <definedName name="solver_rhs12" localSheetId="54" hidden="1">NonLinLarge!$J$18</definedName>
    <definedName name="solver_rhs120" localSheetId="54" hidden="1">NonLinLarge!$J$126</definedName>
    <definedName name="solver_rhs121" localSheetId="54" hidden="1">NonLinLarge!$J$127</definedName>
    <definedName name="solver_rhs122" localSheetId="54" hidden="1">NonLinLarge!$J$128</definedName>
    <definedName name="solver_rhs123" localSheetId="54" hidden="1">NonLinLarge!$J$129</definedName>
    <definedName name="solver_rhs124" localSheetId="54" hidden="1">NonLinLarge!$J$130</definedName>
    <definedName name="solver_rhs125" localSheetId="54" hidden="1">NonLinLarge!$J$131</definedName>
    <definedName name="solver_rhs126" localSheetId="54" hidden="1">NonLinLarge!$J$132</definedName>
    <definedName name="solver_rhs127" localSheetId="54" hidden="1">NonLinLarge!$J$133</definedName>
    <definedName name="solver_rhs128" localSheetId="54" hidden="1">NonLinLarge!$J$134</definedName>
    <definedName name="solver_rhs129" localSheetId="54" hidden="1">NonLinLarge!$J$135</definedName>
    <definedName name="solver_rhs13" localSheetId="54" hidden="1">NonLinLarge!$J$19</definedName>
    <definedName name="solver_rhs130" localSheetId="54" hidden="1">NonLinLarge!$J$136</definedName>
    <definedName name="solver_rhs131" localSheetId="54" hidden="1">NonLinLarge!$J$137</definedName>
    <definedName name="solver_rhs132" localSheetId="54" hidden="1">NonLinLarge!$J$138</definedName>
    <definedName name="solver_rhs133" localSheetId="54" hidden="1">NonLinLarge!$J$139</definedName>
    <definedName name="solver_rhs14" localSheetId="54" hidden="1">NonLinLarge!$J$20</definedName>
    <definedName name="solver_rhs15" localSheetId="54" hidden="1">NonLinLarge!$J$21</definedName>
    <definedName name="solver_rhs16" localSheetId="54" hidden="1">NonLinLarge!$J$22</definedName>
    <definedName name="solver_rhs17" localSheetId="54" hidden="1">NonLinLarge!$J$23</definedName>
    <definedName name="solver_rhs18" localSheetId="54" hidden="1">NonLinLarge!$J$24</definedName>
    <definedName name="solver_rhs19" localSheetId="54" hidden="1">NonLinLarge!$J$25</definedName>
    <definedName name="solver_rhs2" localSheetId="67" hidden="1">AutoModel!$D$14</definedName>
    <definedName name="solver_rhs2" localSheetId="20" hidden="1">'BadName!'!$J$10</definedName>
    <definedName name="solver_rhs2" localSheetId="31" hidden="1">BinIntLB!$E$7</definedName>
    <definedName name="solver_rhs2" localSheetId="17" hidden="1">BinIntOverlap!$K$10</definedName>
    <definedName name="solver_rhs2" localSheetId="30" hidden="1">BinLB!$E$7</definedName>
    <definedName name="solver_rhs2" localSheetId="5" hidden="1">BlankLHS!$J$10</definedName>
    <definedName name="solver_rhs2" localSheetId="4" hidden="1">BlankRHS!$J$10</definedName>
    <definedName name="solver_rhs2" localSheetId="43" hidden="1">ComplexLayout!$K$10</definedName>
    <definedName name="solver_rhs2" localSheetId="18" hidden="1">ConFormula!$K$11</definedName>
    <definedName name="solver_rhs2" localSheetId="19" hidden="1">ConFormulaInf!$N$11</definedName>
    <definedName name="solver_rhs2" localSheetId="39" hidden="1">-10</definedName>
    <definedName name="solver_rhs2" localSheetId="36" hidden="1">ConstFormulaRangeLB!$D$6:$F$6</definedName>
    <definedName name="solver_rhs2" localSheetId="38" hidden="1">ConstraintLB!$J$12</definedName>
    <definedName name="solver_rhs2" localSheetId="22" hidden="1">DeletedConRef!$J$11</definedName>
    <definedName name="solver_rhs2" localSheetId="23" hidden="1">DeletedObjRef!$J$11</definedName>
    <definedName name="solver_rhs2" localSheetId="28" hidden="1">DirectLBs!$D$6:$F$6</definedName>
    <definedName name="solver_rhs2" localSheetId="8" hidden="1">ErrorLHS!$J$10</definedName>
    <definedName name="solver_rhs2" localSheetId="9" hidden="1">ErrorObj!$J$10</definedName>
    <definedName name="solver_rhs2" localSheetId="7" hidden="1">ErrorRHS!$J$10</definedName>
    <definedName name="solver_rhs2" localSheetId="21" hidden="1">'EscapeSheetName(1)+2-1'!$J$10</definedName>
    <definedName name="solver_rhs2" localSheetId="25" hidden="1">FeasConstConstraint!$L$10</definedName>
    <definedName name="solver_rhs2" localSheetId="40" hidden="1">-10*2</definedName>
    <definedName name="solver_rhs2" localSheetId="42" hidden="1">FractionalCoeffs!$I$7</definedName>
    <definedName name="solver_rhs2" localSheetId="66" hidden="1">Highlighting!$I$9</definedName>
    <definedName name="solver_rhs2" localSheetId="27" hidden="1">IndirectLBs!$J$12</definedName>
    <definedName name="solver_rhs2" localSheetId="24" hidden="1">InfConstConstraint!$L$10</definedName>
    <definedName name="solver_rhs2" localSheetId="44" hidden="1">InfModel!$J$11</definedName>
    <definedName name="solver_rhs2" localSheetId="45" hidden="1">IterativeCalc!$J$11</definedName>
    <definedName name="solver_rhs2" localSheetId="33" hidden="1">LargeRangeLB!$D$8:$H$8</definedName>
    <definedName name="solver_rhs2" localSheetId="15" hidden="1">MergedLHS_OK!$J$11</definedName>
    <definedName name="solver_rhs2" localSheetId="16" hidden="1">MergedLHSMultiple_OK!$J$11</definedName>
    <definedName name="solver_rhs2" localSheetId="14" hidden="1">MergedRHS_OK!$J$11</definedName>
    <definedName name="solver_rhs2" localSheetId="13" hidden="1">MergedVarsBad!$J$10</definedName>
    <definedName name="solver_rhs2" localSheetId="12" hidden="1">MergedVarsOK!$J$11</definedName>
    <definedName name="solver_rhs2" localSheetId="11" hidden="1">MergedVarsSubset!$J$10</definedName>
    <definedName name="solver_rhs2" localSheetId="48" hidden="1">NamedRanges!$K$9</definedName>
    <definedName name="solver_rhs2" localSheetId="60" hidden="1">NonLin!$L$41:$L$42</definedName>
    <definedName name="solver_rhs2" localSheetId="61" hidden="1">binary</definedName>
    <definedName name="solver_rhs2" localSheetId="62" hidden="1">NonLin3!$U$10:$U$11</definedName>
    <definedName name="solver_rhs2" localSheetId="59" hidden="1">binary</definedName>
    <definedName name="solver_rhs2" localSheetId="58" hidden="1">-6</definedName>
    <definedName name="solver_rhs2" localSheetId="54" hidden="1">NonLinLarge!$J$9:$J$72</definedName>
    <definedName name="solver_rhs2" localSheetId="57" hidden="1">integer</definedName>
    <definedName name="solver_rhs2" localSheetId="55" hidden="1">NonLinObj!$J$9</definedName>
    <definedName name="solver_rhs2" localSheetId="56" hidden="1">NonLinPruning!$H$10:$H$11</definedName>
    <definedName name="solver_rhs2" localSheetId="53" hidden="1">NonLinSimple!$J$9</definedName>
    <definedName name="solver_rhs2" localSheetId="46" hidden="1">NoObj!$J$11</definedName>
    <definedName name="solver_rhs2" localSheetId="3" hidden="1">OverlappingVars!$J$10</definedName>
    <definedName name="solver_rhs2" localSheetId="34" hidden="1">OverlapRangeLB!$E$8:$H$8</definedName>
    <definedName name="solver_rhs2" localSheetId="35" hidden="1">OverlapRangeLBwithFormula!$D$8:$H$8</definedName>
    <definedName name="solver_rhs2" localSheetId="26" hidden="1">ProtectedSheet!$J$10</definedName>
    <definedName name="solver_rhs2" localSheetId="49" hidden="1">QuickSolve!$J$9:$J$10</definedName>
    <definedName name="solver_rhs2" localSheetId="32" hidden="1">Relaxation!$E$7</definedName>
    <definedName name="solver_rhs2" localSheetId="47" hidden="1">SeekObj!$I$7</definedName>
    <definedName name="solver_rhs2" localSheetId="51" hidden="1">Sensitivity!$I$9</definedName>
    <definedName name="solver_rhs2" localSheetId="52" hidden="1">SensitivityNames!$D$18:$H$18</definedName>
    <definedName name="solver_rhs2" localSheetId="2" hidden="1">SimpleLP!$J$10</definedName>
    <definedName name="solver_rhs2" localSheetId="29" hidden="1">-2</definedName>
    <definedName name="solver_rhs2" localSheetId="50" hidden="1">SolverParameters!$J$19</definedName>
    <definedName name="solver_rhs2" localSheetId="10" hidden="1">TextObj!$J$10</definedName>
    <definedName name="solver_rhs2" localSheetId="6" hidden="1">TextRHS!$J$10</definedName>
    <definedName name="solver_rhs2" localSheetId="41" hidden="1">VarConstraintLB!$D$5</definedName>
    <definedName name="solver_rhs2" localSheetId="37" hidden="1">VariableFormulaRangeLB!$D$7:$F$7</definedName>
    <definedName name="solver_rhs20" localSheetId="54" hidden="1">NonLinLarge!$J$26</definedName>
    <definedName name="solver_rhs21" localSheetId="54" hidden="1">NonLinLarge!$J$27</definedName>
    <definedName name="solver_rhs22" localSheetId="54" hidden="1">NonLinLarge!$J$28</definedName>
    <definedName name="solver_rhs23" localSheetId="54" hidden="1">NonLinLarge!$J$29</definedName>
    <definedName name="solver_rhs24" localSheetId="54" hidden="1">NonLinLarge!$J$30</definedName>
    <definedName name="solver_rhs25" localSheetId="54" hidden="1">NonLinLarge!$J$31</definedName>
    <definedName name="solver_rhs26" localSheetId="54" hidden="1">NonLinLarge!$J$32</definedName>
    <definedName name="solver_rhs27" localSheetId="54" hidden="1">NonLinLarge!$J$33</definedName>
    <definedName name="solver_rhs28" localSheetId="54" hidden="1">NonLinLarge!$J$34</definedName>
    <definedName name="solver_rhs29" localSheetId="54" hidden="1">NonLinLarge!$J$35</definedName>
    <definedName name="solver_rhs3" localSheetId="67" hidden="1">AutoModel!$D$17</definedName>
    <definedName name="solver_rhs3" localSheetId="20" hidden="1">'BadName!'!$J$11</definedName>
    <definedName name="solver_rhs3" localSheetId="31" hidden="1">binary</definedName>
    <definedName name="solver_rhs3" localSheetId="17" hidden="1">BinIntOverlap!$K$11</definedName>
    <definedName name="solver_rhs3" localSheetId="30" hidden="1">binary</definedName>
    <definedName name="solver_rhs3" localSheetId="5" hidden="1">BlankLHS!$J$11</definedName>
    <definedName name="solver_rhs3" localSheetId="4" hidden="1">BlankRHS!$J$11</definedName>
    <definedName name="solver_rhs3" localSheetId="43" hidden="1">ComplexLayout!$K$11</definedName>
    <definedName name="solver_rhs3" localSheetId="18" hidden="1">ConFormula!$K$12</definedName>
    <definedName name="solver_rhs3" localSheetId="19" hidden="1">ConFormulaInf!$K$12</definedName>
    <definedName name="solver_rhs3" localSheetId="39" hidden="1">ConstantLB!$J$12</definedName>
    <definedName name="solver_rhs3" localSheetId="36" hidden="1">ConstFormulaRangeLB!$J$11</definedName>
    <definedName name="solver_rhs3" localSheetId="38" hidden="1">ConstraintLB!$J$13</definedName>
    <definedName name="solver_rhs3" localSheetId="22" hidden="1">DeletedConRef!$J$12</definedName>
    <definedName name="solver_rhs3" localSheetId="23" hidden="1">DeletedObjRef!$J$12</definedName>
    <definedName name="solver_rhs3" localSheetId="28" hidden="1">DirectLBs!$J$12</definedName>
    <definedName name="solver_rhs3" localSheetId="8" hidden="1">ErrorLHS!$J$11</definedName>
    <definedName name="solver_rhs3" localSheetId="9" hidden="1">ErrorObj!$J$11</definedName>
    <definedName name="solver_rhs3" localSheetId="7" hidden="1">ErrorRHS!$J$11</definedName>
    <definedName name="solver_rhs3" localSheetId="21" hidden="1">'EscapeSheetName(1)+2-1'!$J$11</definedName>
    <definedName name="solver_rhs3" localSheetId="25" hidden="1">FeasConstConstraint!$L$11</definedName>
    <definedName name="solver_rhs3" localSheetId="40" hidden="1">FormulaLB!$J$12</definedName>
    <definedName name="solver_rhs3" localSheetId="42" hidden="1">FractionalCoeffs!$I$8:$I$9</definedName>
    <definedName name="solver_rhs3" localSheetId="66" hidden="1">Highlighting!$I$10</definedName>
    <definedName name="solver_rhs3" localSheetId="27" hidden="1">IndirectLBs!$J$13</definedName>
    <definedName name="solver_rhs3" localSheetId="24" hidden="1">InfConstConstraint!$L$11</definedName>
    <definedName name="solver_rhs3" localSheetId="44" hidden="1">InfModel!$J$12</definedName>
    <definedName name="solver_rhs3" localSheetId="45" hidden="1">IterativeCalc!$J$12</definedName>
    <definedName name="solver_rhs3" localSheetId="33" hidden="1">LargeRangeLB!$J$13</definedName>
    <definedName name="solver_rhs3" localSheetId="15" hidden="1">MergedLHS_OK!$J$12</definedName>
    <definedName name="solver_rhs3" localSheetId="16" hidden="1">MergedLHSMultiple_OK!$J$12</definedName>
    <definedName name="solver_rhs3" localSheetId="14" hidden="1">MergedRHS_OK!$J$12</definedName>
    <definedName name="solver_rhs3" localSheetId="13" hidden="1">MergedVarsBad!$J$11</definedName>
    <definedName name="solver_rhs3" localSheetId="12" hidden="1">MergedVarsOK!$J$12</definedName>
    <definedName name="solver_rhs3" localSheetId="11" hidden="1">MergedVarsSubset!$J$11</definedName>
    <definedName name="solver_rhs3" localSheetId="48" hidden="1">NamedRanges!$K$10:$K$11</definedName>
    <definedName name="solver_rhs3" localSheetId="60" hidden="1">NonLin!$L$43</definedName>
    <definedName name="solver_rhs3" localSheetId="54" hidden="1">NonLinLarge!$J$73</definedName>
    <definedName name="solver_rhs3" localSheetId="55" hidden="1">NonLinObj!$J$10</definedName>
    <definedName name="solver_rhs3" localSheetId="56" hidden="1">NonLinPruning!$H$12:$H$18</definedName>
    <definedName name="solver_rhs3" localSheetId="53" hidden="1">NonLinSimple!$J$10</definedName>
    <definedName name="solver_rhs3" localSheetId="46" hidden="1">NoObj!$J$12</definedName>
    <definedName name="solver_rhs3" localSheetId="3" hidden="1">OverlappingVars!$J$11</definedName>
    <definedName name="solver_rhs3" localSheetId="34" hidden="1">OverlapRangeLB!$J$13</definedName>
    <definedName name="solver_rhs3" localSheetId="35" hidden="1">OverlapRangeLBwithFormula!$J$13</definedName>
    <definedName name="solver_rhs3" localSheetId="26" hidden="1">ProtectedSheet!$J$11</definedName>
    <definedName name="solver_rhs3" localSheetId="49" hidden="1">QuickSolve!$J$10</definedName>
    <definedName name="solver_rhs3" localSheetId="32" hidden="1">binary</definedName>
    <definedName name="solver_rhs3" localSheetId="47" hidden="1">SeekObj!$I$8:$I$9</definedName>
    <definedName name="solver_rhs3" localSheetId="51" hidden="1">Sensitivity!$I$10:$I$11</definedName>
    <definedName name="solver_rhs3" localSheetId="52" hidden="1">0</definedName>
    <definedName name="solver_rhs3" localSheetId="2" hidden="1">SimpleLP!$J$11</definedName>
    <definedName name="solver_rhs3" localSheetId="29" hidden="1">SingleRangeLB!$J$11</definedName>
    <definedName name="solver_rhs3" localSheetId="50" hidden="1">SolverParameters!$J$20</definedName>
    <definedName name="solver_rhs3" localSheetId="10" hidden="1">TextObj!$J$11</definedName>
    <definedName name="solver_rhs3" localSheetId="6" hidden="1">TextRHS!$J$11</definedName>
    <definedName name="solver_rhs3" localSheetId="41" hidden="1">VarConstraintLB!$J$12</definedName>
    <definedName name="solver_rhs3" localSheetId="37" hidden="1">VariableFormulaRangeLB!$J$12</definedName>
    <definedName name="solver_rhs30" localSheetId="54" hidden="1">NonLinLarge!$J$36</definedName>
    <definedName name="solver_rhs31" localSheetId="54" hidden="1">NonLinLarge!$J$37</definedName>
    <definedName name="solver_rhs32" localSheetId="54" hidden="1">NonLinLarge!$J$38</definedName>
    <definedName name="solver_rhs33" localSheetId="54" hidden="1">NonLinLarge!$J$39</definedName>
    <definedName name="solver_rhs34" localSheetId="54" hidden="1">NonLinLarge!$J$40</definedName>
    <definedName name="solver_rhs35" localSheetId="54" hidden="1">NonLinLarge!$J$41</definedName>
    <definedName name="solver_rhs36" localSheetId="54" hidden="1">NonLinLarge!$J$42</definedName>
    <definedName name="solver_rhs37" localSheetId="54" hidden="1">NonLinLarge!$J$43</definedName>
    <definedName name="solver_rhs38" localSheetId="54" hidden="1">NonLinLarge!$J$44</definedName>
    <definedName name="solver_rhs39" localSheetId="54" hidden="1">NonLinLarge!$J$45</definedName>
    <definedName name="solver_rhs4" localSheetId="67" hidden="1">AutoModel!$D$35</definedName>
    <definedName name="solver_rhs4" localSheetId="20" hidden="1">'BadName!'!$J$12</definedName>
    <definedName name="solver_rhs4" localSheetId="31" hidden="1">integer</definedName>
    <definedName name="solver_rhs4" localSheetId="17" hidden="1">binary</definedName>
    <definedName name="solver_rhs4" localSheetId="30" hidden="1">BinLB!$J$12</definedName>
    <definedName name="solver_rhs4" localSheetId="5" hidden="1">BlankLHS!$J$11</definedName>
    <definedName name="solver_rhs4" localSheetId="4" hidden="1">BlankRHS!$J$11</definedName>
    <definedName name="solver_rhs4" localSheetId="43" hidden="1">binary</definedName>
    <definedName name="solver_rhs4" localSheetId="18" hidden="1">binary</definedName>
    <definedName name="solver_rhs4" localSheetId="19" hidden="1">binary</definedName>
    <definedName name="solver_rhs4" localSheetId="39" hidden="1">ConstantLB!$J$13</definedName>
    <definedName name="solver_rhs4" localSheetId="36" hidden="1">ConstFormulaRangeLB!$J$12</definedName>
    <definedName name="solver_rhs4" localSheetId="38" hidden="1">ConstraintLB!$D$7:$F$7</definedName>
    <definedName name="solver_rhs4" localSheetId="22" hidden="1">DeletedConRef!#REF!</definedName>
    <definedName name="solver_rhs4" localSheetId="23" hidden="1">DeletedObjRef!$J$12</definedName>
    <definedName name="solver_rhs4" localSheetId="28" hidden="1">DirectLBs!$D$6:$F$6</definedName>
    <definedName name="solver_rhs4" localSheetId="8" hidden="1">ErrorLHS!$J$11</definedName>
    <definedName name="solver_rhs4" localSheetId="9" hidden="1">ErrorObj!$J$11</definedName>
    <definedName name="solver_rhs4" localSheetId="7" hidden="1">ErrorRHS!$J$11</definedName>
    <definedName name="solver_rhs4" localSheetId="21" hidden="1">'EscapeSheetName(1)+2-1'!$J$11</definedName>
    <definedName name="solver_rhs4" localSheetId="25" hidden="1">FeasConstConstraint!$L$11</definedName>
    <definedName name="solver_rhs4" localSheetId="40" hidden="1">FormulaLB!$J$13</definedName>
    <definedName name="solver_rhs4" localSheetId="42" hidden="1">FractionalCoeffs!$I$9</definedName>
    <definedName name="solver_rhs4" localSheetId="66" hidden="1">12</definedName>
    <definedName name="solver_rhs4" localSheetId="27" hidden="1">IndirectLBs!$D$6:$E$6</definedName>
    <definedName name="solver_rhs4" localSheetId="24" hidden="1">InfConstConstraint!$L$11</definedName>
    <definedName name="solver_rhs4" localSheetId="44" hidden="1">2</definedName>
    <definedName name="solver_rhs4" localSheetId="45" hidden="1">IterativeCalc!$J$12</definedName>
    <definedName name="solver_rhs4" localSheetId="33" hidden="1">LargeRangeLB!$J$14</definedName>
    <definedName name="solver_rhs4" localSheetId="15" hidden="1">MergedLHS_OK!$J$12</definedName>
    <definedName name="solver_rhs4" localSheetId="16" hidden="1">MergedLHSMultiple_OK!$J$12</definedName>
    <definedName name="solver_rhs4" localSheetId="14" hidden="1">MergedRHS_OK!$J$12</definedName>
    <definedName name="solver_rhs4" localSheetId="13" hidden="1">MergedVarsBad!$J$12</definedName>
    <definedName name="solver_rhs4" localSheetId="12" hidden="1">MergedVarsOK!$J$12</definedName>
    <definedName name="solver_rhs4" localSheetId="11" hidden="1">MergedVarsSubset!$J$12</definedName>
    <definedName name="solver_rhs4" localSheetId="48" hidden="1">NamedRanges!$K$12</definedName>
    <definedName name="solver_rhs4" localSheetId="60" hidden="1">NonLin!$L$44</definedName>
    <definedName name="solver_rhs4" localSheetId="54" hidden="1">NonLinLarge!$J$74</definedName>
    <definedName name="solver_rhs4" localSheetId="56" hidden="1">NonLinPruning!$H$11</definedName>
    <definedName name="solver_rhs4" localSheetId="46" hidden="1">NoObj!$J$12</definedName>
    <definedName name="solver_rhs4" localSheetId="3" hidden="1">OverlappingVars!$J$8:$J$9</definedName>
    <definedName name="solver_rhs4" localSheetId="34" hidden="1">OverlapRangeLB!$J$14</definedName>
    <definedName name="solver_rhs4" localSheetId="35" hidden="1">OverlapRangeLBwithFormula!$J$14</definedName>
    <definedName name="solver_rhs4" localSheetId="26" hidden="1">ProtectedSheet!$J$11</definedName>
    <definedName name="solver_rhs4" localSheetId="49" hidden="1">integer</definedName>
    <definedName name="solver_rhs4" localSheetId="32" hidden="1">integer</definedName>
    <definedName name="solver_rhs4" localSheetId="47" hidden="1">SeekObj!$I$9</definedName>
    <definedName name="solver_rhs4" localSheetId="51" hidden="1">integer</definedName>
    <definedName name="solver_rhs4" localSheetId="2" hidden="1">SimpleLP!$J$8:$J$9</definedName>
    <definedName name="solver_rhs4" localSheetId="29" hidden="1">SingleRangeLB!$J$12</definedName>
    <definedName name="solver_rhs4" localSheetId="50" hidden="1">SolverParameters!$J$20</definedName>
    <definedName name="solver_rhs4" localSheetId="10" hidden="1">TextObj!$J$11</definedName>
    <definedName name="solver_rhs4" localSheetId="6" hidden="1">TextRHS!$J$11</definedName>
    <definedName name="solver_rhs4" localSheetId="41" hidden="1">VarConstraintLB!$J$13</definedName>
    <definedName name="solver_rhs4" localSheetId="37" hidden="1">VariableFormulaRangeLB!$J$13</definedName>
    <definedName name="solver_rhs40" localSheetId="54" hidden="1">NonLinLarge!$J$46</definedName>
    <definedName name="solver_rhs41" localSheetId="54" hidden="1">NonLinLarge!$J$47</definedName>
    <definedName name="solver_rhs42" localSheetId="54" hidden="1">NonLinLarge!$J$48</definedName>
    <definedName name="solver_rhs43" localSheetId="54" hidden="1">NonLinLarge!$J$49</definedName>
    <definedName name="solver_rhs44" localSheetId="54" hidden="1">NonLinLarge!$J$50</definedName>
    <definedName name="solver_rhs45" localSheetId="54" hidden="1">NonLinLarge!$J$51</definedName>
    <definedName name="solver_rhs46" localSheetId="54" hidden="1">NonLinLarge!$J$52</definedName>
    <definedName name="solver_rhs47" localSheetId="54" hidden="1">NonLinLarge!$J$53</definedName>
    <definedName name="solver_rhs48" localSheetId="54" hidden="1">NonLinLarge!$J$54</definedName>
    <definedName name="solver_rhs49" localSheetId="54" hidden="1">NonLinLarge!$J$55</definedName>
    <definedName name="solver_rhs5" localSheetId="67" hidden="1">integer</definedName>
    <definedName name="solver_rhs5" localSheetId="20" hidden="1">2</definedName>
    <definedName name="solver_rhs5" localSheetId="31" hidden="1">BinIntLB!$J$12</definedName>
    <definedName name="solver_rhs5" localSheetId="17" hidden="1">integer</definedName>
    <definedName name="solver_rhs5" localSheetId="30" hidden="1">BinLB!$J$13</definedName>
    <definedName name="solver_rhs5" localSheetId="5" hidden="1">2</definedName>
    <definedName name="solver_rhs5" localSheetId="4" hidden="1">2</definedName>
    <definedName name="solver_rhs5" localSheetId="43" hidden="1">integer</definedName>
    <definedName name="solver_rhs5" localSheetId="18" hidden="1">integer</definedName>
    <definedName name="solver_rhs5" localSheetId="19" hidden="1">integer</definedName>
    <definedName name="solver_rhs5" localSheetId="39" hidden="1">2</definedName>
    <definedName name="solver_rhs5" localSheetId="36" hidden="1">2</definedName>
    <definedName name="solver_rhs5" localSheetId="38" hidden="1">2</definedName>
    <definedName name="solver_rhs5" localSheetId="22" hidden="1">2</definedName>
    <definedName name="solver_rhs5" localSheetId="23" hidden="1">2</definedName>
    <definedName name="solver_rhs5" localSheetId="28" hidden="1">2</definedName>
    <definedName name="solver_rhs5" localSheetId="8" hidden="1">2</definedName>
    <definedName name="solver_rhs5" localSheetId="9" hidden="1">2</definedName>
    <definedName name="solver_rhs5" localSheetId="7" hidden="1">2</definedName>
    <definedName name="solver_rhs5" localSheetId="21" hidden="1">2</definedName>
    <definedName name="solver_rhs5" localSheetId="25" hidden="1">2</definedName>
    <definedName name="solver_rhs5" localSheetId="40" hidden="1">2</definedName>
    <definedName name="solver_rhs5" localSheetId="66" hidden="1">Highlighting!$N$12</definedName>
    <definedName name="solver_rhs5" localSheetId="27" hidden="1">2</definedName>
    <definedName name="solver_rhs5" localSheetId="24" hidden="1">2</definedName>
    <definedName name="solver_rhs5" localSheetId="44" hidden="1">2</definedName>
    <definedName name="solver_rhs5" localSheetId="45" hidden="1">2</definedName>
    <definedName name="solver_rhs5" localSheetId="33" hidden="1">2</definedName>
    <definedName name="solver_rhs5" localSheetId="15" hidden="1">MergedLHS_OK!$J$10</definedName>
    <definedName name="solver_rhs5" localSheetId="16" hidden="1">MergedLHSMultiple_OK!$J$10</definedName>
    <definedName name="solver_rhs5" localSheetId="14" hidden="1">2</definedName>
    <definedName name="solver_rhs5" localSheetId="13" hidden="1">2</definedName>
    <definedName name="solver_rhs5" localSheetId="12" hidden="1">2</definedName>
    <definedName name="solver_rhs5" localSheetId="11" hidden="1">2</definedName>
    <definedName name="solver_rhs5" localSheetId="60" hidden="1">integer</definedName>
    <definedName name="solver_rhs5" localSheetId="54" hidden="1">NonLinLarge!$J$75:$J$138</definedName>
    <definedName name="solver_rhs5" localSheetId="56" hidden="1">NonLinPruning!$H$12:$H$17</definedName>
    <definedName name="solver_rhs5" localSheetId="46" hidden="1">2</definedName>
    <definedName name="solver_rhs5" localSheetId="3" hidden="1">OverlappingVars!$J$10</definedName>
    <definedName name="solver_rhs5" localSheetId="34" hidden="1">2</definedName>
    <definedName name="solver_rhs5" localSheetId="35" hidden="1">2</definedName>
    <definedName name="solver_rhs5" localSheetId="26" hidden="1">2</definedName>
    <definedName name="solver_rhs5" localSheetId="49" hidden="1">QuickSolve!$J$11</definedName>
    <definedName name="solver_rhs5" localSheetId="32" hidden="1">binary</definedName>
    <definedName name="solver_rhs5" localSheetId="2" hidden="1">SimpleLP!$J$10</definedName>
    <definedName name="solver_rhs5" localSheetId="29" hidden="1">2</definedName>
    <definedName name="solver_rhs5" localSheetId="10" hidden="1">2</definedName>
    <definedName name="solver_rhs5" localSheetId="6" hidden="1">2</definedName>
    <definedName name="solver_rhs5" localSheetId="41" hidden="1">2</definedName>
    <definedName name="solver_rhs5" localSheetId="37" hidden="1">2</definedName>
    <definedName name="solver_rhs50" localSheetId="54" hidden="1">NonLinLarge!$J$56</definedName>
    <definedName name="solver_rhs51" localSheetId="54" hidden="1">NonLinLarge!$J$57</definedName>
    <definedName name="solver_rhs52" localSheetId="54" hidden="1">NonLinLarge!$J$58</definedName>
    <definedName name="solver_rhs53" localSheetId="54" hidden="1">NonLinLarge!$J$59</definedName>
    <definedName name="solver_rhs54" localSheetId="54" hidden="1">NonLinLarge!$J$60</definedName>
    <definedName name="solver_rhs55" localSheetId="54" hidden="1">NonLinLarge!$J$61</definedName>
    <definedName name="solver_rhs56" localSheetId="54" hidden="1">NonLinLarge!$J$62</definedName>
    <definedName name="solver_rhs57" localSheetId="54" hidden="1">NonLinLarge!$J$63</definedName>
    <definedName name="solver_rhs58" localSheetId="54" hidden="1">NonLinLarge!$J$64</definedName>
    <definedName name="solver_rhs59" localSheetId="54" hidden="1">NonLinLarge!$J$65</definedName>
    <definedName name="solver_rhs6" localSheetId="67" hidden="1">integer</definedName>
    <definedName name="solver_rhs6" localSheetId="20" hidden="1">binary</definedName>
    <definedName name="solver_rhs6" localSheetId="31" hidden="1">BinIntLB!$J$13</definedName>
    <definedName name="solver_rhs6" localSheetId="17" hidden="1">BinIntOverlap!$K$11</definedName>
    <definedName name="solver_rhs6" localSheetId="30" hidden="1">binary</definedName>
    <definedName name="solver_rhs6" localSheetId="5" hidden="1">binary</definedName>
    <definedName name="solver_rhs6" localSheetId="4" hidden="1">binary</definedName>
    <definedName name="solver_rhs6" localSheetId="43" hidden="1">ComplexLayout!$U$3:$U$4</definedName>
    <definedName name="solver_rhs6" localSheetId="18" hidden="1">ConFormula!$U$4:$U$5</definedName>
    <definedName name="solver_rhs6" localSheetId="19" hidden="1">ConFormulaInf!$U$4:$U$5</definedName>
    <definedName name="solver_rhs6" localSheetId="39" hidden="1">ConstantLB!$D$7:$F$7</definedName>
    <definedName name="solver_rhs6" localSheetId="36" hidden="1">ConstFormulaRangeLB!$D$6:$F$6</definedName>
    <definedName name="solver_rhs6" localSheetId="38" hidden="1">ConstraintLB!$D$7:$F$7</definedName>
    <definedName name="solver_rhs6" localSheetId="22" hidden="1">binary</definedName>
    <definedName name="solver_rhs6" localSheetId="23" hidden="1">binary</definedName>
    <definedName name="solver_rhs6" localSheetId="28" hidden="1">DirectLBs!$D$6:$F$6</definedName>
    <definedName name="solver_rhs6" localSheetId="8" hidden="1">binary</definedName>
    <definedName name="solver_rhs6" localSheetId="9" hidden="1">binary</definedName>
    <definedName name="solver_rhs6" localSheetId="7" hidden="1">binary</definedName>
    <definedName name="solver_rhs6" localSheetId="21" hidden="1">binary</definedName>
    <definedName name="solver_rhs6" localSheetId="25" hidden="1">binary</definedName>
    <definedName name="solver_rhs6" localSheetId="40" hidden="1">FormulaLB!$D$7:$F$7</definedName>
    <definedName name="solver_rhs6" localSheetId="66" hidden="1">Highlighting!$L$12</definedName>
    <definedName name="solver_rhs6" localSheetId="27" hidden="1">IndirectLBs!$D$6:$E$6</definedName>
    <definedName name="solver_rhs6" localSheetId="24" hidden="1">binary</definedName>
    <definedName name="solver_rhs6" localSheetId="44" hidden="1">binary</definedName>
    <definedName name="solver_rhs6" localSheetId="45" hidden="1">binary</definedName>
    <definedName name="solver_rhs6" localSheetId="33" hidden="1">LargeRangeLB!$D$8:$F$8</definedName>
    <definedName name="solver_rhs6" localSheetId="15" hidden="1">binary</definedName>
    <definedName name="solver_rhs6" localSheetId="16" hidden="1">binary</definedName>
    <definedName name="solver_rhs6" localSheetId="14" hidden="1">binary</definedName>
    <definedName name="solver_rhs6" localSheetId="13" hidden="1">binary</definedName>
    <definedName name="solver_rhs6" localSheetId="12" hidden="1">binary</definedName>
    <definedName name="solver_rhs6" localSheetId="11" hidden="1">binary</definedName>
    <definedName name="solver_rhs6" localSheetId="54" hidden="1">NonLinLarge!$J$139</definedName>
    <definedName name="solver_rhs6" localSheetId="56" hidden="1">NonLinPruning!$H$18</definedName>
    <definedName name="solver_rhs6" localSheetId="46" hidden="1">binary</definedName>
    <definedName name="solver_rhs6" localSheetId="3" hidden="1">OverlappingVars!$J$11</definedName>
    <definedName name="solver_rhs6" localSheetId="34" hidden="1">OverlapRangeLB!$D$8:$F$8</definedName>
    <definedName name="solver_rhs6" localSheetId="35" hidden="1">OverlapRangeLBwithFormula!$D$8:$F$8</definedName>
    <definedName name="solver_rhs6" localSheetId="26" hidden="1">binary</definedName>
    <definedName name="solver_rhs6" localSheetId="49" hidden="1">binary</definedName>
    <definedName name="solver_rhs6" localSheetId="32" hidden="1">integer</definedName>
    <definedName name="solver_rhs6" localSheetId="2" hidden="1">SimpleLP!$J$11</definedName>
    <definedName name="solver_rhs6" localSheetId="29" hidden="1">SingleRangeLB!$D$6:$F$6</definedName>
    <definedName name="solver_rhs6" localSheetId="10" hidden="1">binary</definedName>
    <definedName name="solver_rhs6" localSheetId="6" hidden="1">binary</definedName>
    <definedName name="solver_rhs6" localSheetId="41" hidden="1">VarConstraintLB!$D$7:$F$7</definedName>
    <definedName name="solver_rhs6" localSheetId="37" hidden="1">VariableFormulaRangeLB!$D$7:$F$7</definedName>
    <definedName name="solver_rhs60" localSheetId="54" hidden="1">NonLinLarge!$J$66</definedName>
    <definedName name="solver_rhs61" localSheetId="54" hidden="1">NonLinLarge!$J$67</definedName>
    <definedName name="solver_rhs62" localSheetId="54" hidden="1">NonLinLarge!$J$68</definedName>
    <definedName name="solver_rhs63" localSheetId="54" hidden="1">NonLinLarge!$J$69</definedName>
    <definedName name="solver_rhs64" localSheetId="54" hidden="1">NonLinLarge!$J$70</definedName>
    <definedName name="solver_rhs65" localSheetId="54" hidden="1">NonLinLarge!$J$71</definedName>
    <definedName name="solver_rhs66" localSheetId="54" hidden="1">NonLinLarge!$J$72</definedName>
    <definedName name="solver_rhs67" localSheetId="54" hidden="1">NonLinLarge!$J$73</definedName>
    <definedName name="solver_rhs68" localSheetId="54" hidden="1">NonLinLarge!$J$74</definedName>
    <definedName name="solver_rhs69" localSheetId="54" hidden="1">NonLinLarge!$J$75</definedName>
    <definedName name="solver_rhs7" localSheetId="67" hidden="1">integer</definedName>
    <definedName name="solver_rhs7" localSheetId="20" hidden="1">integer</definedName>
    <definedName name="solver_rhs7" localSheetId="31" hidden="1">integer</definedName>
    <definedName name="solver_rhs7" localSheetId="17" hidden="1">integer</definedName>
    <definedName name="solver_rhs7" localSheetId="30" hidden="1">integer</definedName>
    <definedName name="solver_rhs7" localSheetId="5" hidden="1">integer</definedName>
    <definedName name="solver_rhs7" localSheetId="4" hidden="1">integer</definedName>
    <definedName name="solver_rhs7" localSheetId="43" hidden="1">ComplexLayout!$Q$7:$R$7</definedName>
    <definedName name="solver_rhs7" localSheetId="18" hidden="1">ConFormula!$Q$8:$R$8</definedName>
    <definedName name="solver_rhs7" localSheetId="19" hidden="1">ConFormulaInf!$Q$8:$R$8</definedName>
    <definedName name="solver_rhs7" localSheetId="39" hidden="1">integer</definedName>
    <definedName name="solver_rhs7" localSheetId="36" hidden="1">integer</definedName>
    <definedName name="solver_rhs7" localSheetId="38" hidden="1">integer</definedName>
    <definedName name="solver_rhs7" localSheetId="22" hidden="1">integer</definedName>
    <definedName name="solver_rhs7" localSheetId="23" hidden="1">integer</definedName>
    <definedName name="solver_rhs7" localSheetId="28" hidden="1">integer</definedName>
    <definedName name="solver_rhs7" localSheetId="8" hidden="1">integer</definedName>
    <definedName name="solver_rhs7" localSheetId="9" hidden="1">integer</definedName>
    <definedName name="solver_rhs7" localSheetId="7" hidden="1">integer</definedName>
    <definedName name="solver_rhs7" localSheetId="21" hidden="1">integer</definedName>
    <definedName name="solver_rhs7" localSheetId="25" hidden="1">integer</definedName>
    <definedName name="solver_rhs7" localSheetId="40" hidden="1">integer</definedName>
    <definedName name="solver_rhs7" localSheetId="66" hidden="1">2</definedName>
    <definedName name="solver_rhs7" localSheetId="27" hidden="1">integer</definedName>
    <definedName name="solver_rhs7" localSheetId="24" hidden="1">integer</definedName>
    <definedName name="solver_rhs7" localSheetId="44" hidden="1">integer</definedName>
    <definedName name="solver_rhs7" localSheetId="45" hidden="1">integer</definedName>
    <definedName name="solver_rhs7" localSheetId="33" hidden="1">integer</definedName>
    <definedName name="solver_rhs7" localSheetId="15" hidden="1">integer</definedName>
    <definedName name="solver_rhs7" localSheetId="16" hidden="1">integer</definedName>
    <definedName name="solver_rhs7" localSheetId="14" hidden="1">integer</definedName>
    <definedName name="solver_rhs7" localSheetId="13" hidden="1">integer</definedName>
    <definedName name="solver_rhs7" localSheetId="12" hidden="1">integer</definedName>
    <definedName name="solver_rhs7" localSheetId="11" hidden="1">integer</definedName>
    <definedName name="solver_rhs7" localSheetId="54" hidden="1">NonLinLarge!$J$13</definedName>
    <definedName name="solver_rhs7" localSheetId="46" hidden="1">integer</definedName>
    <definedName name="solver_rhs7" localSheetId="3" hidden="1">OverlappingVars!$J$8:$J$9</definedName>
    <definedName name="solver_rhs7" localSheetId="34" hidden="1">integer</definedName>
    <definedName name="solver_rhs7" localSheetId="35" hidden="1">integer</definedName>
    <definedName name="solver_rhs7" localSheetId="26" hidden="1">integer</definedName>
    <definedName name="solver_rhs7" localSheetId="49" hidden="1">integer</definedName>
    <definedName name="solver_rhs7" localSheetId="32" hidden="1">integer</definedName>
    <definedName name="solver_rhs7" localSheetId="2" hidden="1">integer</definedName>
    <definedName name="solver_rhs7" localSheetId="29" hidden="1">integer</definedName>
    <definedName name="solver_rhs7" localSheetId="10" hidden="1">integer</definedName>
    <definedName name="solver_rhs7" localSheetId="6" hidden="1">integer</definedName>
    <definedName name="solver_rhs7" localSheetId="41" hidden="1">integer</definedName>
    <definedName name="solver_rhs7" localSheetId="37" hidden="1">integer</definedName>
    <definedName name="solver_rhs70" localSheetId="54" hidden="1">NonLinLarge!$J$76</definedName>
    <definedName name="solver_rhs71" localSheetId="54" hidden="1">NonLinLarge!$J$77</definedName>
    <definedName name="solver_rhs72" localSheetId="54" hidden="1">NonLinLarge!$J$78</definedName>
    <definedName name="solver_rhs73" localSheetId="54" hidden="1">NonLinLarge!$J$79</definedName>
    <definedName name="solver_rhs74" localSheetId="54" hidden="1">NonLinLarge!$J$80</definedName>
    <definedName name="solver_rhs75" localSheetId="54" hidden="1">NonLinLarge!$J$81</definedName>
    <definedName name="solver_rhs76" localSheetId="54" hidden="1">NonLinLarge!$J$82</definedName>
    <definedName name="solver_rhs77" localSheetId="54" hidden="1">NonLinLarge!$J$83</definedName>
    <definedName name="solver_rhs78" localSheetId="54" hidden="1">NonLinLarge!$J$84</definedName>
    <definedName name="solver_rhs79" localSheetId="54" hidden="1">NonLinLarge!$J$85</definedName>
    <definedName name="solver_rhs8" localSheetId="20" hidden="1">binary</definedName>
    <definedName name="solver_rhs8" localSheetId="31" hidden="1">binary</definedName>
    <definedName name="solver_rhs8" localSheetId="17" hidden="1">binary</definedName>
    <definedName name="solver_rhs8" localSheetId="30" hidden="1">binary</definedName>
    <definedName name="solver_rhs8" localSheetId="5" hidden="1">binary</definedName>
    <definedName name="solver_rhs8" localSheetId="4" hidden="1">binary</definedName>
    <definedName name="solver_rhs8" localSheetId="43" hidden="1">binary</definedName>
    <definedName name="solver_rhs8" localSheetId="18" hidden="1">ConFormula!$I$11/4+ConFormula!$B$3</definedName>
    <definedName name="solver_rhs8" localSheetId="19" hidden="1">ConFormulaInf!$I$11/4+ConFormulaInf!$B$3</definedName>
    <definedName name="solver_rhs8" localSheetId="39" hidden="1">binary</definedName>
    <definedName name="solver_rhs8" localSheetId="36" hidden="1">binary</definedName>
    <definedName name="solver_rhs8" localSheetId="38" hidden="1">binary</definedName>
    <definedName name="solver_rhs8" localSheetId="22" hidden="1">binary</definedName>
    <definedName name="solver_rhs8" localSheetId="23" hidden="1">binary</definedName>
    <definedName name="solver_rhs8" localSheetId="28" hidden="1">binary</definedName>
    <definedName name="solver_rhs8" localSheetId="8" hidden="1">binary</definedName>
    <definedName name="solver_rhs8" localSheetId="9" hidden="1">binary</definedName>
    <definedName name="solver_rhs8" localSheetId="7" hidden="1">binary</definedName>
    <definedName name="solver_rhs8" localSheetId="21" hidden="1">binary</definedName>
    <definedName name="solver_rhs8" localSheetId="25" hidden="1">binary</definedName>
    <definedName name="solver_rhs8" localSheetId="40" hidden="1">binary</definedName>
    <definedName name="solver_rhs8" localSheetId="66" hidden="1">Highlighting!$L$10:$N$10</definedName>
    <definedName name="solver_rhs8" localSheetId="27" hidden="1">binary</definedName>
    <definedName name="solver_rhs8" localSheetId="24" hidden="1">binary</definedName>
    <definedName name="solver_rhs8" localSheetId="44" hidden="1">binary</definedName>
    <definedName name="solver_rhs8" localSheetId="45" hidden="1">binary</definedName>
    <definedName name="solver_rhs8" localSheetId="33" hidden="1">binary</definedName>
    <definedName name="solver_rhs8" localSheetId="15" hidden="1">binary</definedName>
    <definedName name="solver_rhs8" localSheetId="16" hidden="1">binary</definedName>
    <definedName name="solver_rhs8" localSheetId="14" hidden="1">binary</definedName>
    <definedName name="solver_rhs8" localSheetId="13" hidden="1">binary</definedName>
    <definedName name="solver_rhs8" localSheetId="12" hidden="1">binary</definedName>
    <definedName name="solver_rhs8" localSheetId="11" hidden="1">binary</definedName>
    <definedName name="solver_rhs8" localSheetId="54" hidden="1">NonLinLarge!$J$14</definedName>
    <definedName name="solver_rhs8" localSheetId="46" hidden="1">binary</definedName>
    <definedName name="solver_rhs8" localSheetId="3" hidden="1">OverlappingVars!$J$10</definedName>
    <definedName name="solver_rhs8" localSheetId="34" hidden="1">binary</definedName>
    <definedName name="solver_rhs8" localSheetId="35" hidden="1">binary</definedName>
    <definedName name="solver_rhs8" localSheetId="26" hidden="1">binary</definedName>
    <definedName name="solver_rhs8" localSheetId="49" hidden="1">binary</definedName>
    <definedName name="solver_rhs8" localSheetId="32" hidden="1">binary</definedName>
    <definedName name="solver_rhs8" localSheetId="2" hidden="1">binary</definedName>
    <definedName name="solver_rhs8" localSheetId="29" hidden="1">binary</definedName>
    <definedName name="solver_rhs8" localSheetId="10" hidden="1">binary</definedName>
    <definedName name="solver_rhs8" localSheetId="6" hidden="1">binary</definedName>
    <definedName name="solver_rhs8" localSheetId="41" hidden="1">binary</definedName>
    <definedName name="solver_rhs8" localSheetId="37" hidden="1">binary</definedName>
    <definedName name="solver_rhs80" localSheetId="54" hidden="1">NonLinLarge!$J$86</definedName>
    <definedName name="solver_rhs81" localSheetId="54" hidden="1">NonLinLarge!$J$87</definedName>
    <definedName name="solver_rhs82" localSheetId="54" hidden="1">NonLinLarge!$J$88</definedName>
    <definedName name="solver_rhs83" localSheetId="54" hidden="1">NonLinLarge!$J$89</definedName>
    <definedName name="solver_rhs84" localSheetId="54" hidden="1">NonLinLarge!$J$90</definedName>
    <definedName name="solver_rhs85" localSheetId="54" hidden="1">NonLinLarge!$J$91</definedName>
    <definedName name="solver_rhs86" localSheetId="54" hidden="1">NonLinLarge!$J$92</definedName>
    <definedName name="solver_rhs87" localSheetId="54" hidden="1">NonLinLarge!$J$93</definedName>
    <definedName name="solver_rhs88" localSheetId="54" hidden="1">NonLinLarge!$J$94</definedName>
    <definedName name="solver_rhs89" localSheetId="54" hidden="1">NonLinLarge!$J$95</definedName>
    <definedName name="solver_rhs9" localSheetId="18" hidden="1">ConFormula!$I$11/4+ConFormula!$B$3</definedName>
    <definedName name="solver_rhs9" localSheetId="19" hidden="1">5*ConFormulaInf!$I$15-1</definedName>
    <definedName name="solver_rhs9" localSheetId="66" hidden="1">Highlighting!#REF!</definedName>
    <definedName name="solver_rhs9" localSheetId="54" hidden="1">NonLinLarge!$J$15</definedName>
    <definedName name="solver_rhs9" localSheetId="3" hidden="1">OverlappingVars!$J$11</definedName>
    <definedName name="solver_rhs90" localSheetId="54" hidden="1">NonLinLarge!$J$96</definedName>
    <definedName name="solver_rhs91" localSheetId="54" hidden="1">NonLinLarge!$J$97</definedName>
    <definedName name="solver_rhs92" localSheetId="54" hidden="1">NonLinLarge!$J$98</definedName>
    <definedName name="solver_rhs93" localSheetId="54" hidden="1">NonLinLarge!$J$99</definedName>
    <definedName name="solver_rhs94" localSheetId="54" hidden="1">NonLinLarge!$J$100</definedName>
    <definedName name="solver_rhs95" localSheetId="54" hidden="1">NonLinLarge!$J$101</definedName>
    <definedName name="solver_rhs96" localSheetId="54" hidden="1">NonLinLarge!$J$102</definedName>
    <definedName name="solver_rhs97" localSheetId="54" hidden="1">NonLinLarge!$J$103</definedName>
    <definedName name="solver_rhs98" localSheetId="54" hidden="1">NonLinLarge!$J$104</definedName>
    <definedName name="solver_rhs99" localSheetId="54" hidden="1">NonLinLarge!$J$105</definedName>
    <definedName name="solver_rlx" localSheetId="20" hidden="1">2</definedName>
    <definedName name="solver_rlx" localSheetId="31" hidden="1">2</definedName>
    <definedName name="solver_rlx" localSheetId="17" hidden="1">2</definedName>
    <definedName name="solver_rlx" localSheetId="30" hidden="1">2</definedName>
    <definedName name="solver_rlx" localSheetId="5" hidden="1">2</definedName>
    <definedName name="solver_rlx" localSheetId="4" hidden="1">2</definedName>
    <definedName name="solver_rlx" localSheetId="43" hidden="1">2</definedName>
    <definedName name="solver_rlx" localSheetId="18" hidden="1">2</definedName>
    <definedName name="solver_rlx" localSheetId="19" hidden="1">2</definedName>
    <definedName name="solver_rlx" localSheetId="39" hidden="1">2</definedName>
    <definedName name="solver_rlx" localSheetId="36" hidden="1">2</definedName>
    <definedName name="solver_rlx" localSheetId="38" hidden="1">2</definedName>
    <definedName name="solver_rlx" localSheetId="22" hidden="1">2</definedName>
    <definedName name="solver_rlx" localSheetId="28" hidden="1">2</definedName>
    <definedName name="solver_rlx" localSheetId="8" hidden="1">2</definedName>
    <definedName name="solver_rlx" localSheetId="7" hidden="1">2</definedName>
    <definedName name="solver_rlx" localSheetId="21" hidden="1">2</definedName>
    <definedName name="solver_rlx" localSheetId="25" hidden="1">2</definedName>
    <definedName name="solver_rlx" localSheetId="40" hidden="1">2</definedName>
    <definedName name="solver_rlx" localSheetId="42" hidden="1">2</definedName>
    <definedName name="solver_rlx" localSheetId="27" hidden="1">2</definedName>
    <definedName name="solver_rlx" localSheetId="24" hidden="1">2</definedName>
    <definedName name="solver_rlx" localSheetId="44" hidden="1">2</definedName>
    <definedName name="solver_rlx" localSheetId="45" hidden="1">2</definedName>
    <definedName name="solver_rlx" localSheetId="33" hidden="1">2</definedName>
    <definedName name="solver_rlx" localSheetId="15" hidden="1">2</definedName>
    <definedName name="solver_rlx" localSheetId="16" hidden="1">2</definedName>
    <definedName name="solver_rlx" localSheetId="14" hidden="1">2</definedName>
    <definedName name="solver_rlx" localSheetId="12" hidden="1">2</definedName>
    <definedName name="solver_rlx" localSheetId="48" hidden="1">2</definedName>
    <definedName name="solver_rlx" localSheetId="60" hidden="1">2</definedName>
    <definedName name="solver_rlx" localSheetId="61" hidden="1">2</definedName>
    <definedName name="solver_rlx" localSheetId="62" hidden="1">2</definedName>
    <definedName name="solver_rlx" localSheetId="64" hidden="1">2</definedName>
    <definedName name="solver_rlx" localSheetId="65" hidden="1">2</definedName>
    <definedName name="solver_rlx" localSheetId="59" hidden="1">2</definedName>
    <definedName name="solver_rlx" localSheetId="58" hidden="1">2</definedName>
    <definedName name="solver_rlx" localSheetId="54" hidden="1">2</definedName>
    <definedName name="solver_rlx" localSheetId="57" hidden="1">2</definedName>
    <definedName name="solver_rlx" localSheetId="55" hidden="1">2</definedName>
    <definedName name="solver_rlx" localSheetId="56" hidden="1">2</definedName>
    <definedName name="solver_rlx" localSheetId="53" hidden="1">2</definedName>
    <definedName name="solver_rlx" localSheetId="46" hidden="1">2</definedName>
    <definedName name="solver_rlx" localSheetId="3" hidden="1">2</definedName>
    <definedName name="solver_rlx" localSheetId="34" hidden="1">2</definedName>
    <definedName name="solver_rlx" localSheetId="35" hidden="1">2</definedName>
    <definedName name="solver_rlx" localSheetId="49" hidden="1">2</definedName>
    <definedName name="solver_rlx" localSheetId="32" hidden="1">1</definedName>
    <definedName name="solver_rlx" localSheetId="1" hidden="1">2</definedName>
    <definedName name="solver_rlx" localSheetId="47" hidden="1">2</definedName>
    <definedName name="solver_rlx" localSheetId="51" hidden="1">2</definedName>
    <definedName name="solver_rlx" localSheetId="52" hidden="1">2</definedName>
    <definedName name="solver_rlx" localSheetId="2" hidden="1">2</definedName>
    <definedName name="solver_rlx" localSheetId="29" hidden="1">2</definedName>
    <definedName name="solver_rlx" localSheetId="50" hidden="1">2</definedName>
    <definedName name="solver_rlx" localSheetId="6" hidden="1">2</definedName>
    <definedName name="solver_rlx" localSheetId="41" hidden="1">2</definedName>
    <definedName name="solver_rlx" localSheetId="37" hidden="1">2</definedName>
    <definedName name="solver_rsd" localSheetId="31" hidden="1">0</definedName>
    <definedName name="solver_rsd" localSheetId="30" hidden="1">0</definedName>
    <definedName name="solver_rsd" localSheetId="39" hidden="1">0</definedName>
    <definedName name="solver_rsd" localSheetId="36" hidden="1">0</definedName>
    <definedName name="solver_rsd" localSheetId="40" hidden="1">0</definedName>
    <definedName name="solver_rsd" localSheetId="33" hidden="1">0</definedName>
    <definedName name="solver_rsd" localSheetId="63" hidden="1">0</definedName>
    <definedName name="solver_rsd" localSheetId="64" hidden="1">0</definedName>
    <definedName name="solver_rsd" localSheetId="56" hidden="1">0</definedName>
    <definedName name="solver_rsd" localSheetId="34" hidden="1">0</definedName>
    <definedName name="solver_rsd" localSheetId="35" hidden="1">0</definedName>
    <definedName name="solver_rsd" localSheetId="32" hidden="1">0</definedName>
    <definedName name="solver_rsd" localSheetId="2" hidden="1">0</definedName>
    <definedName name="solver_rsd" localSheetId="29" hidden="1">0</definedName>
    <definedName name="solver_rsd" localSheetId="41" hidden="1">0</definedName>
    <definedName name="solver_rsd" localSheetId="37" hidden="1">0</definedName>
    <definedName name="solver_scl" localSheetId="67" hidden="1">2</definedName>
    <definedName name="solver_scl" localSheetId="20" hidden="1">2</definedName>
    <definedName name="solver_scl" localSheetId="31" hidden="1">2</definedName>
    <definedName name="solver_scl" localSheetId="17" hidden="1">2</definedName>
    <definedName name="solver_scl" localSheetId="30" hidden="1">2</definedName>
    <definedName name="solver_scl" localSheetId="5" hidden="1">2</definedName>
    <definedName name="solver_scl" localSheetId="4" hidden="1">2</definedName>
    <definedName name="solver_scl" localSheetId="43" hidden="1">2</definedName>
    <definedName name="solver_scl" localSheetId="18" hidden="1">2</definedName>
    <definedName name="solver_scl" localSheetId="19" hidden="1">2</definedName>
    <definedName name="solver_scl" localSheetId="39" hidden="1">2</definedName>
    <definedName name="solver_scl" localSheetId="36" hidden="1">2</definedName>
    <definedName name="solver_scl" localSheetId="38" hidden="1">2</definedName>
    <definedName name="solver_scl" localSheetId="22" hidden="1">2</definedName>
    <definedName name="solver_scl" localSheetId="23" hidden="1">2</definedName>
    <definedName name="solver_scl" localSheetId="28" hidden="1">2</definedName>
    <definedName name="solver_scl" localSheetId="8" hidden="1">2</definedName>
    <definedName name="solver_scl" localSheetId="9" hidden="1">2</definedName>
    <definedName name="solver_scl" localSheetId="7" hidden="1">2</definedName>
    <definedName name="solver_scl" localSheetId="21" hidden="1">2</definedName>
    <definedName name="solver_scl" localSheetId="25" hidden="1">2</definedName>
    <definedName name="solver_scl" localSheetId="40" hidden="1">2</definedName>
    <definedName name="solver_scl" localSheetId="42" hidden="1">2</definedName>
    <definedName name="solver_scl" localSheetId="66" hidden="1">2</definedName>
    <definedName name="solver_scl" localSheetId="27" hidden="1">2</definedName>
    <definedName name="solver_scl" localSheetId="24" hidden="1">2</definedName>
    <definedName name="solver_scl" localSheetId="44" hidden="1">2</definedName>
    <definedName name="solver_scl" localSheetId="45" hidden="1">2</definedName>
    <definedName name="solver_scl" localSheetId="33" hidden="1">2</definedName>
    <definedName name="solver_scl" localSheetId="15" hidden="1">2</definedName>
    <definedName name="solver_scl" localSheetId="16" hidden="1">2</definedName>
    <definedName name="solver_scl" localSheetId="14" hidden="1">2</definedName>
    <definedName name="solver_scl" localSheetId="13" hidden="1">2</definedName>
    <definedName name="solver_scl" localSheetId="12" hidden="1">2</definedName>
    <definedName name="solver_scl" localSheetId="11" hidden="1">2</definedName>
    <definedName name="solver_scl" localSheetId="48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3" hidden="1">2</definedName>
    <definedName name="solver_scl" localSheetId="64" hidden="1">2</definedName>
    <definedName name="solver_scl" localSheetId="65" hidden="1">2</definedName>
    <definedName name="solver_scl" localSheetId="59" hidden="1">2</definedName>
    <definedName name="solver_scl" localSheetId="58" hidden="1">2</definedName>
    <definedName name="solver_scl" localSheetId="54" hidden="1">2</definedName>
    <definedName name="solver_scl" localSheetId="57" hidden="1">2</definedName>
    <definedName name="solver_scl" localSheetId="55" hidden="1">2</definedName>
    <definedName name="solver_scl" localSheetId="56" hidden="1">1</definedName>
    <definedName name="solver_scl" localSheetId="53" hidden="1">2</definedName>
    <definedName name="solver_scl" localSheetId="46" hidden="1">2</definedName>
    <definedName name="solver_scl" localSheetId="3" hidden="1">2</definedName>
    <definedName name="solver_scl" localSheetId="34" hidden="1">2</definedName>
    <definedName name="solver_scl" localSheetId="35" hidden="1">2</definedName>
    <definedName name="solver_scl" localSheetId="26" hidden="1">2</definedName>
    <definedName name="solver_scl" localSheetId="49" hidden="1">2</definedName>
    <definedName name="solver_scl" localSheetId="32" hidden="1">2</definedName>
    <definedName name="solver_scl" localSheetId="1" hidden="1">2</definedName>
    <definedName name="solver_scl" localSheetId="47" hidden="1">2</definedName>
    <definedName name="solver_scl" localSheetId="51" hidden="1">2</definedName>
    <definedName name="solver_scl" localSheetId="52" hidden="1">2</definedName>
    <definedName name="solver_scl" localSheetId="2" hidden="1">2</definedName>
    <definedName name="solver_scl" localSheetId="29" hidden="1">2</definedName>
    <definedName name="solver_scl" localSheetId="50" hidden="1">2</definedName>
    <definedName name="solver_scl" localSheetId="10" hidden="1">2</definedName>
    <definedName name="solver_scl" localSheetId="6" hidden="1">2</definedName>
    <definedName name="solver_scl" localSheetId="41" hidden="1">2</definedName>
    <definedName name="solver_scl" localSheetId="37" hidden="1">2</definedName>
    <definedName name="solver_sho" localSheetId="20" hidden="1">2</definedName>
    <definedName name="solver_sho" localSheetId="31" hidden="1">2</definedName>
    <definedName name="solver_sho" localSheetId="17" hidden="1">2</definedName>
    <definedName name="solver_sho" localSheetId="30" hidden="1">2</definedName>
    <definedName name="solver_sho" localSheetId="5" hidden="1">2</definedName>
    <definedName name="solver_sho" localSheetId="4" hidden="1">2</definedName>
    <definedName name="solver_sho" localSheetId="43" hidden="1">2</definedName>
    <definedName name="solver_sho" localSheetId="18" hidden="1">2</definedName>
    <definedName name="solver_sho" localSheetId="19" hidden="1">2</definedName>
    <definedName name="solver_sho" localSheetId="39" hidden="1">2</definedName>
    <definedName name="solver_sho" localSheetId="36" hidden="1">2</definedName>
    <definedName name="solver_sho" localSheetId="38" hidden="1">2</definedName>
    <definedName name="solver_sho" localSheetId="22" hidden="1">2</definedName>
    <definedName name="solver_sho" localSheetId="28" hidden="1">2</definedName>
    <definedName name="solver_sho" localSheetId="8" hidden="1">2</definedName>
    <definedName name="solver_sho" localSheetId="7" hidden="1">2</definedName>
    <definedName name="solver_sho" localSheetId="21" hidden="1">2</definedName>
    <definedName name="solver_sho" localSheetId="25" hidden="1">2</definedName>
    <definedName name="solver_sho" localSheetId="40" hidden="1">2</definedName>
    <definedName name="solver_sho" localSheetId="42" hidden="1">2</definedName>
    <definedName name="solver_sho" localSheetId="66" hidden="1">2</definedName>
    <definedName name="solver_sho" localSheetId="27" hidden="1">2</definedName>
    <definedName name="solver_sho" localSheetId="24" hidden="1">2</definedName>
    <definedName name="solver_sho" localSheetId="44" hidden="1">2</definedName>
    <definedName name="solver_sho" localSheetId="45" hidden="1">2</definedName>
    <definedName name="solver_sho" localSheetId="33" hidden="1">2</definedName>
    <definedName name="solver_sho" localSheetId="15" hidden="1">2</definedName>
    <definedName name="solver_sho" localSheetId="16" hidden="1">2</definedName>
    <definedName name="solver_sho" localSheetId="14" hidden="1">2</definedName>
    <definedName name="solver_sho" localSheetId="12" hidden="1">2</definedName>
    <definedName name="solver_sho" localSheetId="48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65" hidden="1">2</definedName>
    <definedName name="solver_sho" localSheetId="59" hidden="1">2</definedName>
    <definedName name="solver_sho" localSheetId="58" hidden="1">2</definedName>
    <definedName name="solver_sho" localSheetId="54" hidden="1">2</definedName>
    <definedName name="solver_sho" localSheetId="57" hidden="1">2</definedName>
    <definedName name="solver_sho" localSheetId="55" hidden="1">2</definedName>
    <definedName name="solver_sho" localSheetId="56" hidden="1">2</definedName>
    <definedName name="solver_sho" localSheetId="53" hidden="1">2</definedName>
    <definedName name="solver_sho" localSheetId="46" hidden="1">2</definedName>
    <definedName name="solver_sho" localSheetId="3" hidden="1">2</definedName>
    <definedName name="solver_sho" localSheetId="34" hidden="1">2</definedName>
    <definedName name="solver_sho" localSheetId="35" hidden="1">2</definedName>
    <definedName name="solver_sho" localSheetId="49" hidden="1">2</definedName>
    <definedName name="solver_sho" localSheetId="32" hidden="1">2</definedName>
    <definedName name="solver_sho" localSheetId="1" hidden="1">2</definedName>
    <definedName name="solver_sho" localSheetId="47" hidden="1">2</definedName>
    <definedName name="solver_sho" localSheetId="51" hidden="1">2</definedName>
    <definedName name="solver_sho" localSheetId="52" hidden="1">2</definedName>
    <definedName name="solver_sho" localSheetId="2" hidden="1">2</definedName>
    <definedName name="solver_sho" localSheetId="29" hidden="1">2</definedName>
    <definedName name="solver_sho" localSheetId="50" hidden="1">2</definedName>
    <definedName name="solver_sho" localSheetId="6" hidden="1">2</definedName>
    <definedName name="solver_sho" localSheetId="41" hidden="1">2</definedName>
    <definedName name="solver_sho" localSheetId="37" hidden="1">2</definedName>
    <definedName name="solver_ssz" localSheetId="31" hidden="1">100</definedName>
    <definedName name="solver_ssz" localSheetId="30" hidden="1">100</definedName>
    <definedName name="solver_ssz" localSheetId="39" hidden="1">100</definedName>
    <definedName name="solver_ssz" localSheetId="36" hidden="1">100</definedName>
    <definedName name="solver_ssz" localSheetId="40" hidden="1">100</definedName>
    <definedName name="solver_ssz" localSheetId="33" hidden="1">100</definedName>
    <definedName name="solver_ssz" localSheetId="63" hidden="1">100</definedName>
    <definedName name="solver_ssz" localSheetId="64" hidden="1">100</definedName>
    <definedName name="solver_ssz" localSheetId="56" hidden="1">100</definedName>
    <definedName name="solver_ssz" localSheetId="34" hidden="1">100</definedName>
    <definedName name="solver_ssz" localSheetId="35" hidden="1">100</definedName>
    <definedName name="solver_ssz" localSheetId="32" hidden="1">100</definedName>
    <definedName name="solver_ssz" localSheetId="2" hidden="1">100</definedName>
    <definedName name="solver_ssz" localSheetId="29" hidden="1">100</definedName>
    <definedName name="solver_ssz" localSheetId="41" hidden="1">100</definedName>
    <definedName name="solver_ssz" localSheetId="37" hidden="1">100</definedName>
    <definedName name="solver_tim" localSheetId="20" hidden="1">9999999999</definedName>
    <definedName name="solver_tim" localSheetId="31" hidden="1">999999999</definedName>
    <definedName name="solver_tim" localSheetId="17" hidden="1">999999999</definedName>
    <definedName name="solver_tim" localSheetId="30" hidden="1">999999999</definedName>
    <definedName name="solver_tim" localSheetId="5" hidden="1">999999999</definedName>
    <definedName name="solver_tim" localSheetId="4" hidden="1">999999999</definedName>
    <definedName name="solver_tim" localSheetId="43" hidden="1">999999999</definedName>
    <definedName name="solver_tim" localSheetId="18" hidden="1">999999999</definedName>
    <definedName name="solver_tim" localSheetId="19" hidden="1">999999999</definedName>
    <definedName name="solver_tim" localSheetId="39" hidden="1">999999999</definedName>
    <definedName name="solver_tim" localSheetId="36" hidden="1">999999999</definedName>
    <definedName name="solver_tim" localSheetId="38" hidden="1">999999999</definedName>
    <definedName name="solver_tim" localSheetId="22" hidden="1">999999999</definedName>
    <definedName name="solver_tim" localSheetId="28" hidden="1">999999999</definedName>
    <definedName name="solver_tim" localSheetId="8" hidden="1">999999999</definedName>
    <definedName name="solver_tim" localSheetId="7" hidden="1">999999999</definedName>
    <definedName name="solver_tim" localSheetId="21" hidden="1">999999999</definedName>
    <definedName name="solver_tim" localSheetId="25" hidden="1">999999999</definedName>
    <definedName name="solver_tim" localSheetId="40" hidden="1">999999999</definedName>
    <definedName name="solver_tim" localSheetId="42" hidden="1">999999999</definedName>
    <definedName name="solver_tim" localSheetId="66" hidden="1">100</definedName>
    <definedName name="solver_tim" localSheetId="27" hidden="1">999999999</definedName>
    <definedName name="solver_tim" localSheetId="24" hidden="1">999999999</definedName>
    <definedName name="solver_tim" localSheetId="44" hidden="1">999999999</definedName>
    <definedName name="solver_tim" localSheetId="45" hidden="1">999999999</definedName>
    <definedName name="solver_tim" localSheetId="33" hidden="1">999999999</definedName>
    <definedName name="solver_tim" localSheetId="15" hidden="1">999999999</definedName>
    <definedName name="solver_tim" localSheetId="16" hidden="1">999999999</definedName>
    <definedName name="solver_tim" localSheetId="14" hidden="1">999999999</definedName>
    <definedName name="solver_tim" localSheetId="12" hidden="1">999999999</definedName>
    <definedName name="solver_tim" localSheetId="48" hidden="1">999999999</definedName>
    <definedName name="solver_tim" localSheetId="60" hidden="1">999999999</definedName>
    <definedName name="solver_tim" localSheetId="61" hidden="1">999999999</definedName>
    <definedName name="solver_tim" localSheetId="62" hidden="1">999999999</definedName>
    <definedName name="solver_tim" localSheetId="64" hidden="1">999999999</definedName>
    <definedName name="solver_tim" localSheetId="65" hidden="1">999999999</definedName>
    <definedName name="solver_tim" localSheetId="59" hidden="1">999999999</definedName>
    <definedName name="solver_tim" localSheetId="58" hidden="1">999999999</definedName>
    <definedName name="solver_tim" localSheetId="54" hidden="1">999999999</definedName>
    <definedName name="solver_tim" localSheetId="57" hidden="1">999999999</definedName>
    <definedName name="solver_tim" localSheetId="55" hidden="1">999999999</definedName>
    <definedName name="solver_tim" localSheetId="56" hidden="1">999999999</definedName>
    <definedName name="solver_tim" localSheetId="53" hidden="1">999999999</definedName>
    <definedName name="solver_tim" localSheetId="46" hidden="1">999999999</definedName>
    <definedName name="solver_tim" localSheetId="3" hidden="1">999999999</definedName>
    <definedName name="solver_tim" localSheetId="34" hidden="1">999999999</definedName>
    <definedName name="solver_tim" localSheetId="35" hidden="1">999999999</definedName>
    <definedName name="solver_tim" localSheetId="49" hidden="1">999999999</definedName>
    <definedName name="solver_tim" localSheetId="32" hidden="1">999999999</definedName>
    <definedName name="solver_tim" localSheetId="1" hidden="1">9999999999</definedName>
    <definedName name="solver_tim" localSheetId="47" hidden="1">999999999</definedName>
    <definedName name="solver_tim" localSheetId="51" hidden="1">999999999</definedName>
    <definedName name="solver_tim" localSheetId="52" hidden="1">999999999</definedName>
    <definedName name="solver_tim" localSheetId="2" hidden="1">999999999</definedName>
    <definedName name="solver_tim" localSheetId="29" hidden="1">999999999</definedName>
    <definedName name="solver_tim" localSheetId="50" hidden="1">999999999</definedName>
    <definedName name="solver_tim" localSheetId="6" hidden="1">999999999</definedName>
    <definedName name="solver_tim" localSheetId="41" hidden="1">999999999</definedName>
    <definedName name="solver_tim" localSheetId="37" hidden="1">999999999</definedName>
    <definedName name="solver_tol" localSheetId="20" hidden="1">0.05</definedName>
    <definedName name="solver_tol" localSheetId="31" hidden="1">0.05</definedName>
    <definedName name="solver_tol" localSheetId="17" hidden="1">0.05</definedName>
    <definedName name="solver_tol" localSheetId="30" hidden="1">0.05</definedName>
    <definedName name="solver_tol" localSheetId="5" hidden="1">0.05</definedName>
    <definedName name="solver_tol" localSheetId="4" hidden="1">0.05</definedName>
    <definedName name="solver_tol" localSheetId="43" hidden="1">0.05</definedName>
    <definedName name="solver_tol" localSheetId="18" hidden="1">0.05</definedName>
    <definedName name="solver_tol" localSheetId="19" hidden="1">0.05</definedName>
    <definedName name="solver_tol" localSheetId="39" hidden="1">0.05</definedName>
    <definedName name="solver_tol" localSheetId="36" hidden="1">0.05</definedName>
    <definedName name="solver_tol" localSheetId="38" hidden="1">0.05</definedName>
    <definedName name="solver_tol" localSheetId="22" hidden="1">0.05</definedName>
    <definedName name="solver_tol" localSheetId="28" hidden="1">0.05</definedName>
    <definedName name="solver_tol" localSheetId="8" hidden="1">0.05</definedName>
    <definedName name="solver_tol" localSheetId="7" hidden="1">0.05</definedName>
    <definedName name="solver_tol" localSheetId="21" hidden="1">0.05</definedName>
    <definedName name="solver_tol" localSheetId="25" hidden="1">0.05</definedName>
    <definedName name="solver_tol" localSheetId="40" hidden="1">0.05</definedName>
    <definedName name="solver_tol" localSheetId="42" hidden="1">0.05</definedName>
    <definedName name="solver_tol" localSheetId="66" hidden="1">0.05</definedName>
    <definedName name="solver_tol" localSheetId="27" hidden="1">0.05</definedName>
    <definedName name="solver_tol" localSheetId="24" hidden="1">0.05</definedName>
    <definedName name="solver_tol" localSheetId="44" hidden="1">0.05</definedName>
    <definedName name="solver_tol" localSheetId="45" hidden="1">0.05</definedName>
    <definedName name="solver_tol" localSheetId="33" hidden="1">0.05</definedName>
    <definedName name="solver_tol" localSheetId="15" hidden="1">0.05</definedName>
    <definedName name="solver_tol" localSheetId="16" hidden="1">0.05</definedName>
    <definedName name="solver_tol" localSheetId="14" hidden="1">0.05</definedName>
    <definedName name="solver_tol" localSheetId="12" hidden="1">0.05</definedName>
    <definedName name="solver_tol" localSheetId="48" hidden="1">0.05</definedName>
    <definedName name="solver_tol" localSheetId="60" hidden="1">0.01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65" hidden="1">0.05</definedName>
    <definedName name="solver_tol" localSheetId="59" hidden="1">0.05</definedName>
    <definedName name="solver_tol" localSheetId="58" hidden="1">0.05</definedName>
    <definedName name="solver_tol" localSheetId="54" hidden="1">0.05</definedName>
    <definedName name="solver_tol" localSheetId="57" hidden="1">0.05</definedName>
    <definedName name="solver_tol" localSheetId="55" hidden="1">0.05</definedName>
    <definedName name="solver_tol" localSheetId="56" hidden="1">0.05</definedName>
    <definedName name="solver_tol" localSheetId="53" hidden="1">0.05</definedName>
    <definedName name="solver_tol" localSheetId="46" hidden="1">0.05</definedName>
    <definedName name="solver_tol" localSheetId="3" hidden="1">0.05</definedName>
    <definedName name="solver_tol" localSheetId="34" hidden="1">0.05</definedName>
    <definedName name="solver_tol" localSheetId="35" hidden="1">0.05</definedName>
    <definedName name="solver_tol" localSheetId="49" hidden="1">0.05</definedName>
    <definedName name="solver_tol" localSheetId="32" hidden="1">0.05</definedName>
    <definedName name="solver_tol" localSheetId="1" hidden="1">0.05</definedName>
    <definedName name="solver_tol" localSheetId="47" hidden="1">0.05</definedName>
    <definedName name="solver_tol" localSheetId="51" hidden="1">0.05</definedName>
    <definedName name="solver_tol" localSheetId="52" hidden="1">0.05</definedName>
    <definedName name="solver_tol" localSheetId="2" hidden="1">0.05</definedName>
    <definedName name="solver_tol" localSheetId="29" hidden="1">0.05</definedName>
    <definedName name="solver_tol" localSheetId="50" hidden="1">0.05</definedName>
    <definedName name="solver_tol" localSheetId="6" hidden="1">0.05</definedName>
    <definedName name="solver_tol" localSheetId="41" hidden="1">0.05</definedName>
    <definedName name="solver_tol" localSheetId="37" hidden="1">0.05</definedName>
    <definedName name="solver_typ" localSheetId="67" hidden="1">2</definedName>
    <definedName name="solver_typ" localSheetId="20" hidden="1">2</definedName>
    <definedName name="solver_typ" localSheetId="31" hidden="1">2</definedName>
    <definedName name="solver_typ" localSheetId="17" hidden="1">2</definedName>
    <definedName name="solver_typ" localSheetId="30" hidden="1">2</definedName>
    <definedName name="solver_typ" localSheetId="5" hidden="1">2</definedName>
    <definedName name="solver_typ" localSheetId="4" hidden="1">2</definedName>
    <definedName name="solver_typ" localSheetId="43" hidden="1">2</definedName>
    <definedName name="solver_typ" localSheetId="18" hidden="1">2</definedName>
    <definedName name="solver_typ" localSheetId="19" hidden="1">2</definedName>
    <definedName name="solver_typ" localSheetId="39" hidden="1">2</definedName>
    <definedName name="solver_typ" localSheetId="36" hidden="1">2</definedName>
    <definedName name="solver_typ" localSheetId="38" hidden="1">2</definedName>
    <definedName name="solver_typ" localSheetId="22" hidden="1">2</definedName>
    <definedName name="solver_typ" localSheetId="23" hidden="1">2</definedName>
    <definedName name="solver_typ" localSheetId="28" hidden="1">2</definedName>
    <definedName name="solver_typ" localSheetId="8" hidden="1">2</definedName>
    <definedName name="solver_typ" localSheetId="9" hidden="1">2</definedName>
    <definedName name="solver_typ" localSheetId="7" hidden="1">2</definedName>
    <definedName name="solver_typ" localSheetId="21" hidden="1">2</definedName>
    <definedName name="solver_typ" localSheetId="25" hidden="1">2</definedName>
    <definedName name="solver_typ" localSheetId="40" hidden="1">2</definedName>
    <definedName name="solver_typ" localSheetId="42" hidden="1">2</definedName>
    <definedName name="solver_typ" localSheetId="66" hidden="1">2</definedName>
    <definedName name="solver_typ" localSheetId="27" hidden="1">2</definedName>
    <definedName name="solver_typ" localSheetId="24" hidden="1">2</definedName>
    <definedName name="solver_typ" localSheetId="44" hidden="1">2</definedName>
    <definedName name="solver_typ" localSheetId="45" hidden="1">2</definedName>
    <definedName name="solver_typ" localSheetId="33" hidden="1">2</definedName>
    <definedName name="solver_typ" localSheetId="15" hidden="1">2</definedName>
    <definedName name="solver_typ" localSheetId="16" hidden="1">2</definedName>
    <definedName name="solver_typ" localSheetId="14" hidden="1">2</definedName>
    <definedName name="solver_typ" localSheetId="13" hidden="1">2</definedName>
    <definedName name="solver_typ" localSheetId="12" hidden="1">2</definedName>
    <definedName name="solver_typ" localSheetId="11" hidden="1">2</definedName>
    <definedName name="solver_typ" localSheetId="48" hidden="1">2</definedName>
    <definedName name="solver_typ" localSheetId="60" hidden="1">2</definedName>
    <definedName name="solver_typ" localSheetId="61" hidden="1">2</definedName>
    <definedName name="solver_typ" localSheetId="62" hidden="1">2</definedName>
    <definedName name="solver_typ" localSheetId="63" hidden="1">2</definedName>
    <definedName name="solver_typ" localSheetId="64" hidden="1">2</definedName>
    <definedName name="solver_typ" localSheetId="65" hidden="1">2</definedName>
    <definedName name="solver_typ" localSheetId="59" hidden="1">2</definedName>
    <definedName name="solver_typ" localSheetId="58" hidden="1">2</definedName>
    <definedName name="solver_typ" localSheetId="54" hidden="1">2</definedName>
    <definedName name="solver_typ" localSheetId="57" hidden="1">1</definedName>
    <definedName name="solver_typ" localSheetId="55" hidden="1">2</definedName>
    <definedName name="solver_typ" localSheetId="56" hidden="1">1</definedName>
    <definedName name="solver_typ" localSheetId="53" hidden="1">2</definedName>
    <definedName name="solver_typ" localSheetId="46" hidden="1">2</definedName>
    <definedName name="solver_typ" localSheetId="3" hidden="1">2</definedName>
    <definedName name="solver_typ" localSheetId="34" hidden="1">2</definedName>
    <definedName name="solver_typ" localSheetId="35" hidden="1">2</definedName>
    <definedName name="solver_typ" localSheetId="49" hidden="1">2</definedName>
    <definedName name="solver_typ" localSheetId="32" hidden="1">2</definedName>
    <definedName name="solver_typ" localSheetId="1" hidden="1">1</definedName>
    <definedName name="solver_typ" localSheetId="47" hidden="1">3</definedName>
    <definedName name="solver_typ" localSheetId="51" hidden="1">1</definedName>
    <definedName name="solver_typ" localSheetId="52" hidden="1">2</definedName>
    <definedName name="solver_typ" localSheetId="2" hidden="1">2</definedName>
    <definedName name="solver_typ" localSheetId="29" hidden="1">2</definedName>
    <definedName name="solver_typ" localSheetId="50" hidden="1">2</definedName>
    <definedName name="solver_typ" localSheetId="10" hidden="1">2</definedName>
    <definedName name="solver_typ" localSheetId="6" hidden="1">2</definedName>
    <definedName name="solver_typ" localSheetId="41" hidden="1">2</definedName>
    <definedName name="solver_typ" localSheetId="37" hidden="1">2</definedName>
    <definedName name="solver_val" localSheetId="20" hidden="1">0</definedName>
    <definedName name="solver_val" localSheetId="31" hidden="1">0</definedName>
    <definedName name="solver_val" localSheetId="17" hidden="1">0</definedName>
    <definedName name="solver_val" localSheetId="30" hidden="1">0</definedName>
    <definedName name="solver_val" localSheetId="5" hidden="1">0</definedName>
    <definedName name="solver_val" localSheetId="4" hidden="1">0</definedName>
    <definedName name="solver_val" localSheetId="43" hidden="1">0</definedName>
    <definedName name="solver_val" localSheetId="18" hidden="1">0</definedName>
    <definedName name="solver_val" localSheetId="19" hidden="1">0</definedName>
    <definedName name="solver_val" localSheetId="39" hidden="1">0</definedName>
    <definedName name="solver_val" localSheetId="36" hidden="1">0</definedName>
    <definedName name="solver_val" localSheetId="38" hidden="1">0</definedName>
    <definedName name="solver_val" localSheetId="22" hidden="1">0</definedName>
    <definedName name="solver_val" localSheetId="23" hidden="1">0</definedName>
    <definedName name="solver_val" localSheetId="28" hidden="1">0</definedName>
    <definedName name="solver_val" localSheetId="8" hidden="1">0</definedName>
    <definedName name="solver_val" localSheetId="9" hidden="1">0</definedName>
    <definedName name="solver_val" localSheetId="7" hidden="1">0</definedName>
    <definedName name="solver_val" localSheetId="21" hidden="1">0</definedName>
    <definedName name="solver_val" localSheetId="25" hidden="1">0</definedName>
    <definedName name="solver_val" localSheetId="40" hidden="1">0</definedName>
    <definedName name="solver_val" localSheetId="42" hidden="1">0</definedName>
    <definedName name="solver_val" localSheetId="66" hidden="1">0</definedName>
    <definedName name="solver_val" localSheetId="27" hidden="1">0</definedName>
    <definedName name="solver_val" localSheetId="24" hidden="1">0</definedName>
    <definedName name="solver_val" localSheetId="44" hidden="1">0</definedName>
    <definedName name="solver_val" localSheetId="45" hidden="1">0</definedName>
    <definedName name="solver_val" localSheetId="33" hidden="1">0</definedName>
    <definedName name="solver_val" localSheetId="15" hidden="1">0</definedName>
    <definedName name="solver_val" localSheetId="16" hidden="1">0</definedName>
    <definedName name="solver_val" localSheetId="14" hidden="1">0</definedName>
    <definedName name="solver_val" localSheetId="13" hidden="1">0</definedName>
    <definedName name="solver_val" localSheetId="12" hidden="1">0</definedName>
    <definedName name="solver_val" localSheetId="11" hidden="1">0</definedName>
    <definedName name="solver_val" localSheetId="48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3" hidden="1">0</definedName>
    <definedName name="solver_val" localSheetId="64" hidden="1">0</definedName>
    <definedName name="solver_val" localSheetId="65" hidden="1">0</definedName>
    <definedName name="solver_val" localSheetId="59" hidden="1">0</definedName>
    <definedName name="solver_val" localSheetId="58" hidden="1">0</definedName>
    <definedName name="solver_val" localSheetId="54" hidden="1">0</definedName>
    <definedName name="solver_val" localSheetId="57" hidden="1">0</definedName>
    <definedName name="solver_val" localSheetId="55" hidden="1">0</definedName>
    <definedName name="solver_val" localSheetId="56" hidden="1">0</definedName>
    <definedName name="solver_val" localSheetId="53" hidden="1">0</definedName>
    <definedName name="solver_val" localSheetId="46" hidden="1">0</definedName>
    <definedName name="solver_val" localSheetId="3" hidden="1">0</definedName>
    <definedName name="solver_val" localSheetId="34" hidden="1">0</definedName>
    <definedName name="solver_val" localSheetId="35" hidden="1">0</definedName>
    <definedName name="solver_val" localSheetId="49" hidden="1">0</definedName>
    <definedName name="solver_val" localSheetId="32" hidden="1">0</definedName>
    <definedName name="solver_val" localSheetId="1" hidden="1">0</definedName>
    <definedName name="solver_val" localSheetId="47" hidden="1">50</definedName>
    <definedName name="solver_val" localSheetId="51" hidden="1">0</definedName>
    <definedName name="solver_val" localSheetId="52" hidden="1">0</definedName>
    <definedName name="solver_val" localSheetId="2" hidden="1">0</definedName>
    <definedName name="solver_val" localSheetId="29" hidden="1">0</definedName>
    <definedName name="solver_val" localSheetId="50" hidden="1">0</definedName>
    <definedName name="solver_val" localSheetId="10" hidden="1">0</definedName>
    <definedName name="solver_val" localSheetId="6" hidden="1">0</definedName>
    <definedName name="solver_val" localSheetId="41" hidden="1">0</definedName>
    <definedName name="solver_val" localSheetId="37" hidden="1">0</definedName>
    <definedName name="solver_ver" localSheetId="31" hidden="1">3</definedName>
    <definedName name="solver_ver" localSheetId="30" hidden="1">3</definedName>
    <definedName name="solver_ver" localSheetId="39" hidden="1">3</definedName>
    <definedName name="solver_ver" localSheetId="36" hidden="1">3</definedName>
    <definedName name="solver_ver" localSheetId="40" hidden="1">3</definedName>
    <definedName name="solver_ver" localSheetId="33" hidden="1">3</definedName>
    <definedName name="solver_ver" localSheetId="63" hidden="1">3</definedName>
    <definedName name="solver_ver" localSheetId="64" hidden="1">3</definedName>
    <definedName name="solver_ver" localSheetId="58" hidden="1">3</definedName>
    <definedName name="solver_ver" localSheetId="56" hidden="1">3</definedName>
    <definedName name="solver_ver" localSheetId="46" hidden="1">3</definedName>
    <definedName name="solver_ver" localSheetId="34" hidden="1">3</definedName>
    <definedName name="solver_ver" localSheetId="35" hidden="1">3</definedName>
    <definedName name="solver_ver" localSheetId="32" hidden="1">3</definedName>
    <definedName name="solver_ver" localSheetId="2" hidden="1">3</definedName>
    <definedName name="solver_ver" localSheetId="29" hidden="1">3</definedName>
    <definedName name="solver_ver" localSheetId="41" hidden="1">3</definedName>
    <definedName name="solver_ver" localSheetId="37" hidden="1">3</definedName>
    <definedName name="TestType">Data!$D$1:$D$2</definedName>
    <definedName name="uhj">NonLinMinMax!$B$1</definedName>
    <definedName name="wa" localSheetId="63">#REF!</definedName>
    <definedName name="wa" localSheetId="64">#REF!</definedName>
    <definedName name="wa" localSheetId="65">#REF!</definedName>
    <definedName name="wa">NonLin3!$P$3</definedName>
    <definedName name="wb" localSheetId="63">#REF!</definedName>
    <definedName name="wb" localSheetId="64">#REF!</definedName>
    <definedName name="wb" localSheetId="65">#REF!</definedName>
    <definedName name="wb">NonLin3!$P$4</definedName>
    <definedName name="wc" localSheetId="63">#REF!</definedName>
    <definedName name="wc" localSheetId="64">#REF!</definedName>
    <definedName name="wc" localSheetId="65">#REF!</definedName>
    <definedName name="wc">NonLin3!$P$5</definedName>
    <definedName name="wd" localSheetId="63">#REF!</definedName>
    <definedName name="wd" localSheetId="64">#REF!</definedName>
    <definedName name="wd" localSheetId="65">#REF!</definedName>
    <definedName name="wd">NonLin3!$P$6</definedName>
    <definedName name="x" localSheetId="21">#REF!</definedName>
    <definedName name="x" localSheetId="62">NonLin3!$C$34:$AQ$34</definedName>
    <definedName name="x" localSheetId="65">NonLin6!$E$6</definedName>
    <definedName name="x" localSheetId="32">#REF!</definedName>
    <definedName name="x" localSheetId="47">#REF!</definedName>
    <definedName name="x">#REF!</definedName>
    <definedName name="xa" localSheetId="63">#REF!</definedName>
    <definedName name="xa" localSheetId="64">#REF!</definedName>
    <definedName name="xa" localSheetId="65">#REF!</definedName>
    <definedName name="xa">NonLin3!$N$3</definedName>
    <definedName name="xb" localSheetId="63">#REF!</definedName>
    <definedName name="xb" localSheetId="64">#REF!</definedName>
    <definedName name="xb" localSheetId="65">#REF!</definedName>
    <definedName name="xb">NonLin3!$N$4</definedName>
    <definedName name="xc" localSheetId="63">#REF!</definedName>
    <definedName name="xc" localSheetId="64">#REF!</definedName>
    <definedName name="xc" localSheetId="65">#REF!</definedName>
    <definedName name="xc">NonLin3!$N$5</definedName>
    <definedName name="xd" localSheetId="63">#REF!</definedName>
    <definedName name="xd" localSheetId="64">#REF!</definedName>
    <definedName name="xd" localSheetId="65">#REF!</definedName>
    <definedName name="xd">NonLin3!$N$6</definedName>
    <definedName name="xstep" localSheetId="21">#REF!</definedName>
    <definedName name="xstep" localSheetId="32">#REF!</definedName>
    <definedName name="xstep" localSheetId="47">#REF!</definedName>
    <definedName name="xstep">#REF!</definedName>
    <definedName name="y" localSheetId="21">#REF!</definedName>
    <definedName name="y" localSheetId="62">NonLin3!$B$35:$B$75</definedName>
    <definedName name="y" localSheetId="65">NonLin6!$E$7</definedName>
    <definedName name="y" localSheetId="32">#REF!</definedName>
    <definedName name="y" localSheetId="47">#REF!</definedName>
    <definedName name="y">#REF!</definedName>
    <definedName name="ya" localSheetId="63">#REF!</definedName>
    <definedName name="ya" localSheetId="64">#REF!</definedName>
    <definedName name="ya" localSheetId="65">#REF!</definedName>
    <definedName name="ya">NonLin3!$O$3</definedName>
    <definedName name="yb" localSheetId="63">#REF!</definedName>
    <definedName name="yb" localSheetId="64">#REF!</definedName>
    <definedName name="yb" localSheetId="65">#REF!</definedName>
    <definedName name="yb">NonLin3!$O$4</definedName>
    <definedName name="yc" localSheetId="63">#REF!</definedName>
    <definedName name="yc" localSheetId="64">#REF!</definedName>
    <definedName name="yc" localSheetId="65">#REF!</definedName>
    <definedName name="yc">NonLin3!$O$5</definedName>
    <definedName name="yd" localSheetId="63">#REF!</definedName>
    <definedName name="yd" localSheetId="64">#REF!</definedName>
    <definedName name="yd" localSheetId="65">#REF!</definedName>
    <definedName name="yd">NonLin3!$O$6</definedName>
    <definedName name="ystep" localSheetId="21">#REF!</definedName>
    <definedName name="ystep" localSheetId="32">#REF!</definedName>
    <definedName name="ystep" localSheetId="47">#REF!</definedName>
    <definedName name="ystep">#REF!</definedName>
  </definedNames>
  <calcPr calcId="152511" calcOnSave="0"/>
</workbook>
</file>

<file path=xl/calcChain.xml><?xml version="1.0" encoding="utf-8"?>
<calcChain xmlns="http://schemas.openxmlformats.org/spreadsheetml/2006/main">
  <c r="A66" i="60" l="1"/>
  <c r="A65" i="60"/>
  <c r="A64" i="60"/>
  <c r="S13" i="75"/>
  <c r="A63" i="60"/>
  <c r="F4" i="68"/>
  <c r="A62" i="60"/>
  <c r="I39" i="3"/>
  <c r="A61" i="60"/>
  <c r="C6" i="95"/>
  <c r="A60" i="60"/>
  <c r="I6" i="71"/>
  <c r="A59" i="60"/>
  <c r="G6" i="70"/>
  <c r="A58" i="60"/>
  <c r="F6" i="69"/>
  <c r="A57" i="60"/>
  <c r="H5" i="19"/>
  <c r="A56" i="60"/>
  <c r="H5" i="38"/>
  <c r="A55" i="60"/>
  <c r="H5" i="20"/>
  <c r="A54" i="60"/>
  <c r="D20" i="77"/>
  <c r="A53" i="60"/>
  <c r="G6" i="65"/>
  <c r="A52" i="60"/>
  <c r="H15" i="2"/>
  <c r="A51" i="60"/>
  <c r="H6" i="4"/>
  <c r="A50" i="60"/>
  <c r="I6" i="66"/>
  <c r="A49" i="60"/>
  <c r="G4" i="92"/>
  <c r="A48" i="60"/>
  <c r="A47" i="60"/>
  <c r="H7" i="57"/>
  <c r="A46" i="60"/>
  <c r="H7" i="11"/>
  <c r="A45" i="60"/>
  <c r="A44" i="60"/>
  <c r="G4" i="90"/>
  <c r="A43" i="60"/>
  <c r="H9" i="54"/>
  <c r="A42" i="60"/>
  <c r="H9" i="53"/>
  <c r="A41" i="60"/>
  <c r="H9" i="52"/>
  <c r="A40" i="60"/>
  <c r="H9" i="51"/>
  <c r="A39" i="60"/>
  <c r="H9" i="50"/>
  <c r="A38" i="60"/>
  <c r="H8" i="49"/>
  <c r="A37" i="60"/>
  <c r="H10" i="48"/>
  <c r="A36" i="60"/>
  <c r="H10" i="47"/>
  <c r="A35" i="60"/>
  <c r="H10" i="46"/>
  <c r="A34" i="60"/>
  <c r="H9" i="98"/>
  <c r="A33" i="60"/>
  <c r="H9" i="45"/>
  <c r="A32" i="60"/>
  <c r="H9" i="44"/>
  <c r="A31" i="60"/>
  <c r="H8" i="43"/>
  <c r="A30" i="60"/>
  <c r="H8" i="42"/>
  <c r="A29" i="60"/>
  <c r="H8" i="23"/>
  <c r="A28" i="60"/>
  <c r="A27" i="60"/>
  <c r="J6" i="41"/>
  <c r="A26" i="60"/>
  <c r="J6" i="14"/>
  <c r="A25" i="60"/>
  <c r="A24" i="60"/>
  <c r="H7" i="12"/>
  <c r="A23" i="60"/>
  <c r="H6" i="94"/>
  <c r="A22" i="60"/>
  <c r="A21" i="60"/>
  <c r="A20" i="60"/>
  <c r="A19" i="60"/>
  <c r="I6" i="6"/>
  <c r="A18" i="60"/>
  <c r="H7" i="35"/>
  <c r="A17" i="60"/>
  <c r="H7" i="34"/>
  <c r="A16" i="60"/>
  <c r="H7" i="33"/>
  <c r="A15" i="60"/>
  <c r="A14" i="60"/>
  <c r="H7" i="31"/>
  <c r="A13" i="60"/>
  <c r="A12" i="60"/>
  <c r="A11" i="60"/>
  <c r="A10" i="60"/>
  <c r="H6" i="27"/>
  <c r="A9" i="60"/>
  <c r="H6" i="26"/>
  <c r="A8" i="60"/>
  <c r="H6" i="25"/>
  <c r="A7" i="60"/>
  <c r="H6" i="32"/>
  <c r="A6" i="60"/>
  <c r="H6" i="24"/>
  <c r="A5" i="60"/>
  <c r="H6" i="22"/>
  <c r="A4" i="60"/>
  <c r="H6" i="1"/>
  <c r="A3" i="60"/>
  <c r="H6" i="18"/>
  <c r="D34" i="75" l="1"/>
  <c r="E34" i="75" s="1"/>
  <c r="F34" i="75" s="1"/>
  <c r="G34" i="75" s="1"/>
  <c r="H34" i="75" s="1"/>
  <c r="I34" i="75" s="1"/>
  <c r="J34" i="75" s="1"/>
  <c r="K34" i="75" s="1"/>
  <c r="L34" i="75" s="1"/>
  <c r="M34" i="75" s="1"/>
  <c r="N34" i="75" s="1"/>
  <c r="O34" i="75" s="1"/>
  <c r="P34" i="75" s="1"/>
  <c r="Q34" i="75" s="1"/>
  <c r="R34" i="75" s="1"/>
  <c r="S34" i="75" s="1"/>
  <c r="T34" i="75" s="1"/>
  <c r="U34" i="75" s="1"/>
  <c r="V34" i="75" s="1"/>
  <c r="W34" i="75" s="1"/>
  <c r="X34" i="75" s="1"/>
  <c r="Y34" i="75" s="1"/>
  <c r="Z34" i="75" s="1"/>
  <c r="AA34" i="75" s="1"/>
  <c r="AB34" i="75" s="1"/>
  <c r="AC34" i="75" s="1"/>
  <c r="AD34" i="75" s="1"/>
  <c r="AE34" i="75" s="1"/>
  <c r="AF34" i="75" s="1"/>
  <c r="AG34" i="75" s="1"/>
  <c r="AH34" i="75" s="1"/>
  <c r="AI34" i="75" s="1"/>
  <c r="AJ34" i="75" s="1"/>
  <c r="AK34" i="75" s="1"/>
  <c r="AL34" i="75" s="1"/>
  <c r="AM34" i="75" s="1"/>
  <c r="AN34" i="75" s="1"/>
  <c r="AO34" i="75" s="1"/>
  <c r="AP34" i="75" s="1"/>
  <c r="AQ34" i="75" s="1"/>
  <c r="B36" i="75"/>
  <c r="B37" i="75" s="1"/>
  <c r="B38" i="75" s="1"/>
  <c r="B39" i="75" s="1"/>
  <c r="B40" i="75" s="1"/>
  <c r="B41" i="75" s="1"/>
  <c r="B42" i="75" s="1"/>
  <c r="B43" i="75" s="1"/>
  <c r="B44" i="75" s="1"/>
  <c r="B45" i="75" s="1"/>
  <c r="B46" i="75" s="1"/>
  <c r="B47" i="75" s="1"/>
  <c r="B48" i="75" s="1"/>
  <c r="B49" i="75" s="1"/>
  <c r="B50" i="75" s="1"/>
  <c r="B51" i="75" s="1"/>
  <c r="B52" i="75" s="1"/>
  <c r="B53" i="75" s="1"/>
  <c r="B54" i="75" s="1"/>
  <c r="B55" i="75" s="1"/>
  <c r="B56" i="75" s="1"/>
  <c r="B57" i="75" s="1"/>
  <c r="B58" i="75" s="1"/>
  <c r="B59" i="75" s="1"/>
  <c r="B60" i="75" s="1"/>
  <c r="B61" i="75" s="1"/>
  <c r="B62" i="75" s="1"/>
  <c r="B63" i="75" s="1"/>
  <c r="B64" i="75" s="1"/>
  <c r="B65" i="75" s="1"/>
  <c r="B66" i="75" s="1"/>
  <c r="B67" i="75" s="1"/>
  <c r="B68" i="75" s="1"/>
  <c r="B69" i="75" s="1"/>
  <c r="B70" i="75" s="1"/>
  <c r="B71" i="75" s="1"/>
  <c r="B72" i="75" s="1"/>
  <c r="B73" i="75" s="1"/>
  <c r="B74" i="75" s="1"/>
  <c r="B75" i="75" s="1"/>
  <c r="J26" i="69" l="1"/>
  <c r="D23" i="98" l="1"/>
  <c r="D19" i="98"/>
  <c r="A10" i="98"/>
  <c r="A9" i="98"/>
  <c r="F19" i="98" l="1"/>
  <c r="H11" i="98"/>
  <c r="E19" i="98"/>
  <c r="H12" i="98"/>
  <c r="H13" i="98"/>
  <c r="A6" i="98" l="1"/>
  <c r="D33" i="40" l="1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D21" i="95"/>
  <c r="A6" i="95"/>
  <c r="D21" i="94"/>
  <c r="F17" i="94"/>
  <c r="E17" i="94"/>
  <c r="D17" i="94"/>
  <c r="H11" i="94"/>
  <c r="H10" i="94"/>
  <c r="A10" i="94"/>
  <c r="H9" i="94"/>
  <c r="A9" i="94"/>
  <c r="H8" i="94"/>
  <c r="A6" i="94"/>
  <c r="G13" i="92"/>
  <c r="F13" i="92"/>
  <c r="E13" i="92"/>
  <c r="D13" i="92"/>
  <c r="A10" i="92"/>
  <c r="G9" i="92"/>
  <c r="A9" i="92"/>
  <c r="G8" i="92"/>
  <c r="G7" i="92"/>
  <c r="G6" i="92"/>
  <c r="G13" i="90"/>
  <c r="F13" i="90"/>
  <c r="E13" i="90"/>
  <c r="D13" i="90"/>
  <c r="A10" i="90"/>
  <c r="G9" i="90"/>
  <c r="A9" i="90"/>
  <c r="G8" i="90"/>
  <c r="G7" i="90"/>
  <c r="G6" i="90"/>
  <c r="C13" i="88"/>
  <c r="E13" i="88" s="1"/>
  <c r="F13" i="88" s="1"/>
  <c r="D12" i="88"/>
  <c r="C12" i="88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J6" i="87"/>
  <c r="A6" i="87"/>
  <c r="P5" i="87"/>
  <c r="O5" i="87"/>
  <c r="N5" i="87"/>
  <c r="J5" i="87"/>
  <c r="J4" i="87"/>
  <c r="P3" i="87"/>
  <c r="O3" i="87"/>
  <c r="J3" i="87"/>
  <c r="P2" i="87"/>
  <c r="O2" i="87"/>
  <c r="N2" i="87"/>
  <c r="J2" i="87"/>
  <c r="D12" i="85"/>
  <c r="D14" i="85" s="1"/>
  <c r="A10" i="85"/>
  <c r="A9" i="85"/>
  <c r="D8" i="85"/>
  <c r="D13" i="85" s="1"/>
  <c r="D24" i="77"/>
  <c r="A6" i="77" s="1"/>
  <c r="H17" i="77"/>
  <c r="G17" i="77"/>
  <c r="F17" i="77"/>
  <c r="E17" i="77"/>
  <c r="D17" i="77"/>
  <c r="I16" i="77"/>
  <c r="I15" i="77"/>
  <c r="I14" i="77"/>
  <c r="A10" i="77"/>
  <c r="A9" i="77"/>
  <c r="A10" i="75"/>
  <c r="A9" i="75"/>
  <c r="P4" i="75"/>
  <c r="P3" i="75"/>
  <c r="I16" i="71"/>
  <c r="A6" i="71" s="1"/>
  <c r="A10" i="71"/>
  <c r="A9" i="71"/>
  <c r="I8" i="71"/>
  <c r="I9" i="71" s="1"/>
  <c r="I7" i="71"/>
  <c r="E12" i="70"/>
  <c r="D12" i="70"/>
  <c r="A10" i="70"/>
  <c r="A9" i="70"/>
  <c r="G8" i="70"/>
  <c r="G12" i="70"/>
  <c r="F22" i="69"/>
  <c r="A6" i="69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7" i="68"/>
  <c r="E6" i="68"/>
  <c r="F11" i="68"/>
  <c r="H16" i="66"/>
  <c r="G16" i="66"/>
  <c r="F16" i="66"/>
  <c r="E16" i="66"/>
  <c r="D16" i="66"/>
  <c r="I12" i="66"/>
  <c r="I11" i="66"/>
  <c r="I10" i="66"/>
  <c r="A10" i="66"/>
  <c r="I9" i="66"/>
  <c r="A9" i="66"/>
  <c r="I8" i="66"/>
  <c r="I16" i="66"/>
  <c r="F15" i="65"/>
  <c r="E15" i="65"/>
  <c r="D15" i="65"/>
  <c r="G11" i="65"/>
  <c r="C11" i="65"/>
  <c r="G10" i="65"/>
  <c r="A10" i="65"/>
  <c r="G9" i="65"/>
  <c r="A9" i="65"/>
  <c r="G8" i="65"/>
  <c r="G15" i="65"/>
  <c r="F24" i="2"/>
  <c r="E24" i="2"/>
  <c r="D24" i="2"/>
  <c r="H20" i="2"/>
  <c r="H19" i="2"/>
  <c r="H18" i="2"/>
  <c r="H17" i="2"/>
  <c r="H24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H12" i="59"/>
  <c r="H11" i="59"/>
  <c r="H10" i="59"/>
  <c r="A10" i="59"/>
  <c r="H9" i="59"/>
  <c r="A9" i="59"/>
  <c r="F18" i="57"/>
  <c r="E18" i="57"/>
  <c r="D18" i="57"/>
  <c r="H12" i="57"/>
  <c r="H11" i="57"/>
  <c r="H10" i="57"/>
  <c r="A10" i="57"/>
  <c r="H9" i="57"/>
  <c r="A9" i="57"/>
  <c r="D22" i="57"/>
  <c r="D23" i="54"/>
  <c r="F19" i="54"/>
  <c r="E19" i="54"/>
  <c r="D19" i="54"/>
  <c r="H13" i="54"/>
  <c r="H12" i="54"/>
  <c r="H11" i="54"/>
  <c r="A10" i="54"/>
  <c r="A9" i="54"/>
  <c r="D23" i="53"/>
  <c r="F19" i="53"/>
  <c r="E19" i="53"/>
  <c r="D19" i="53"/>
  <c r="H13" i="53"/>
  <c r="H12" i="53"/>
  <c r="H11" i="53"/>
  <c r="A10" i="53"/>
  <c r="A9" i="53"/>
  <c r="D23" i="52"/>
  <c r="F19" i="52"/>
  <c r="E19" i="52"/>
  <c r="D19" i="52"/>
  <c r="H13" i="52"/>
  <c r="H12" i="52"/>
  <c r="H11" i="52"/>
  <c r="A10" i="52"/>
  <c r="A9" i="52"/>
  <c r="D23" i="51"/>
  <c r="F19" i="51"/>
  <c r="E19" i="51"/>
  <c r="D19" i="51"/>
  <c r="H13" i="51"/>
  <c r="H12" i="51"/>
  <c r="H11" i="51"/>
  <c r="A10" i="51"/>
  <c r="A9" i="51"/>
  <c r="D23" i="50"/>
  <c r="F19" i="50"/>
  <c r="E19" i="50"/>
  <c r="D19" i="50"/>
  <c r="H13" i="50"/>
  <c r="H12" i="50"/>
  <c r="H11" i="50"/>
  <c r="A10" i="50"/>
  <c r="A9" i="50"/>
  <c r="F7" i="50"/>
  <c r="E7" i="50"/>
  <c r="D7" i="50"/>
  <c r="D22" i="49"/>
  <c r="F18" i="49"/>
  <c r="E18" i="49"/>
  <c r="D18" i="49"/>
  <c r="H12" i="49"/>
  <c r="H11" i="49"/>
  <c r="H10" i="49"/>
  <c r="A10" i="49"/>
  <c r="A9" i="49"/>
  <c r="D6" i="49"/>
  <c r="E6" i="49" s="1"/>
  <c r="F6" i="49" s="1"/>
  <c r="D24" i="48"/>
  <c r="F20" i="48"/>
  <c r="E20" i="48"/>
  <c r="D20" i="48"/>
  <c r="H14" i="48"/>
  <c r="H13" i="48"/>
  <c r="H12" i="48"/>
  <c r="A10" i="48"/>
  <c r="A9" i="48"/>
  <c r="H6" i="48"/>
  <c r="D24" i="47"/>
  <c r="F20" i="47"/>
  <c r="E20" i="47"/>
  <c r="D20" i="47"/>
  <c r="H14" i="47"/>
  <c r="H13" i="47"/>
  <c r="H12" i="47"/>
  <c r="A10" i="47"/>
  <c r="A9" i="47"/>
  <c r="D24" i="46"/>
  <c r="F20" i="46"/>
  <c r="E20" i="46"/>
  <c r="D20" i="46"/>
  <c r="H14" i="46"/>
  <c r="H13" i="46"/>
  <c r="H12" i="46"/>
  <c r="A10" i="46"/>
  <c r="A9" i="46"/>
  <c r="D23" i="45"/>
  <c r="F19" i="45"/>
  <c r="E19" i="45"/>
  <c r="D19" i="45"/>
  <c r="H13" i="45"/>
  <c r="H12" i="45"/>
  <c r="H11" i="45"/>
  <c r="A10" i="45"/>
  <c r="A9" i="45"/>
  <c r="D23" i="44"/>
  <c r="F19" i="44"/>
  <c r="E19" i="44"/>
  <c r="D19" i="44"/>
  <c r="H13" i="44"/>
  <c r="H12" i="44"/>
  <c r="H11" i="44"/>
  <c r="A10" i="44"/>
  <c r="A9" i="44"/>
  <c r="D22" i="43"/>
  <c r="F18" i="43"/>
  <c r="E18" i="43"/>
  <c r="D18" i="43"/>
  <c r="H12" i="43"/>
  <c r="H11" i="43"/>
  <c r="H10" i="43"/>
  <c r="A10" i="43"/>
  <c r="A9" i="43"/>
  <c r="E6" i="43"/>
  <c r="D22" i="42"/>
  <c r="F18" i="42"/>
  <c r="E18" i="42"/>
  <c r="D18" i="42"/>
  <c r="H12" i="42"/>
  <c r="H11" i="42"/>
  <c r="H10" i="42"/>
  <c r="A10" i="42"/>
  <c r="A9" i="42"/>
  <c r="D23" i="23"/>
  <c r="F19" i="23"/>
  <c r="E19" i="23"/>
  <c r="D19" i="23"/>
  <c r="H13" i="23"/>
  <c r="H12" i="23"/>
  <c r="H11" i="23"/>
  <c r="H10" i="23"/>
  <c r="A10" i="23"/>
  <c r="A9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A10" i="38"/>
  <c r="H9" i="38"/>
  <c r="A9" i="38"/>
  <c r="H8" i="38"/>
  <c r="H7" i="38"/>
  <c r="L3" i="38"/>
  <c r="K3" i="38"/>
  <c r="J3" i="38"/>
  <c r="I3" i="38"/>
  <c r="D20" i="20"/>
  <c r="F16" i="20"/>
  <c r="E16" i="20"/>
  <c r="D16" i="20"/>
  <c r="H10" i="20"/>
  <c r="A10" i="20"/>
  <c r="H9" i="20"/>
  <c r="A9" i="20"/>
  <c r="H8" i="20"/>
  <c r="H7" i="20"/>
  <c r="D20" i="19"/>
  <c r="F16" i="19"/>
  <c r="E16" i="19"/>
  <c r="D16" i="19"/>
  <c r="H10" i="19"/>
  <c r="A10" i="19"/>
  <c r="H9" i="19"/>
  <c r="A9" i="19"/>
  <c r="H8" i="19"/>
  <c r="H7" i="19"/>
  <c r="H39" i="3"/>
  <c r="G39" i="3"/>
  <c r="F39" i="3"/>
  <c r="I38" i="3"/>
  <c r="H38" i="3"/>
  <c r="G38" i="3"/>
  <c r="F38" i="3"/>
  <c r="E38" i="3"/>
  <c r="K37" i="3"/>
  <c r="A6" i="3" s="1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D21" i="41"/>
  <c r="F17" i="41"/>
  <c r="E17" i="41"/>
  <c r="D17" i="41"/>
  <c r="J11" i="41"/>
  <c r="J10" i="41"/>
  <c r="A10" i="41"/>
  <c r="J9" i="41"/>
  <c r="A9" i="41"/>
  <c r="J8" i="41"/>
  <c r="J11" i="14"/>
  <c r="J10" i="14"/>
  <c r="A10" i="14"/>
  <c r="J9" i="14"/>
  <c r="A9" i="14"/>
  <c r="J8" i="14"/>
  <c r="H12" i="55"/>
  <c r="H11" i="55"/>
  <c r="H10" i="55"/>
  <c r="A10" i="55"/>
  <c r="H9" i="55"/>
  <c r="A9" i="55"/>
  <c r="H12" i="12"/>
  <c r="H11" i="12"/>
  <c r="H10" i="12"/>
  <c r="A10" i="12"/>
  <c r="H9" i="12"/>
  <c r="A9" i="12"/>
  <c r="H12" i="11"/>
  <c r="H11" i="1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A10" i="9"/>
  <c r="I9" i="9"/>
  <c r="A9" i="9"/>
  <c r="R6" i="9"/>
  <c r="Q6" i="9"/>
  <c r="S5" i="9"/>
  <c r="K9" i="9" s="1"/>
  <c r="S4" i="9"/>
  <c r="I7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A10" i="8"/>
  <c r="I9" i="8"/>
  <c r="A9" i="8"/>
  <c r="R6" i="8"/>
  <c r="Q6" i="8"/>
  <c r="S5" i="8"/>
  <c r="K9" i="8" s="1"/>
  <c r="S4" i="8"/>
  <c r="I7" i="8" s="1"/>
  <c r="N37" i="7"/>
  <c r="N38" i="7" s="1"/>
  <c r="K33" i="7"/>
  <c r="K34" i="7" s="1"/>
  <c r="K35" i="7" s="1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I10" i="7"/>
  <c r="A10" i="7"/>
  <c r="I9" i="7"/>
  <c r="A9" i="7"/>
  <c r="I8" i="7"/>
  <c r="R5" i="7"/>
  <c r="Q5" i="7"/>
  <c r="S4" i="7"/>
  <c r="K8" i="7" s="1"/>
  <c r="S3" i="7"/>
  <c r="I6" i="7" s="1"/>
  <c r="D21" i="6"/>
  <c r="G17" i="6"/>
  <c r="F17" i="6"/>
  <c r="E17" i="6"/>
  <c r="D17" i="6"/>
  <c r="I11" i="6"/>
  <c r="I10" i="6"/>
  <c r="A10" i="6"/>
  <c r="I9" i="6"/>
  <c r="A9" i="6"/>
  <c r="I8" i="6"/>
  <c r="D22" i="35"/>
  <c r="F18" i="35"/>
  <c r="E18" i="35"/>
  <c r="D18" i="35"/>
  <c r="H12" i="35"/>
  <c r="A10" i="35"/>
  <c r="H9" i="35"/>
  <c r="A9" i="35"/>
  <c r="D22" i="34"/>
  <c r="F18" i="34"/>
  <c r="E18" i="34"/>
  <c r="D18" i="34"/>
  <c r="H12" i="34"/>
  <c r="H11" i="34"/>
  <c r="G10" i="34"/>
  <c r="A10" i="34"/>
  <c r="H9" i="34"/>
  <c r="A9" i="34"/>
  <c r="D22" i="33"/>
  <c r="F18" i="33"/>
  <c r="E18" i="33"/>
  <c r="D18" i="33"/>
  <c r="H12" i="33"/>
  <c r="H11" i="33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D22" i="31"/>
  <c r="F18" i="31"/>
  <c r="E18" i="31"/>
  <c r="D18" i="31"/>
  <c r="H12" i="31"/>
  <c r="H11" i="3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H10" i="29"/>
  <c r="A10" i="29"/>
  <c r="H9" i="29"/>
  <c r="A9" i="29"/>
  <c r="H8" i="29"/>
  <c r="F17" i="28"/>
  <c r="E17" i="28"/>
  <c r="D17" i="28"/>
  <c r="H11" i="28"/>
  <c r="H10" i="28"/>
  <c r="A10" i="28"/>
  <c r="H9" i="28"/>
  <c r="A9" i="28"/>
  <c r="H8" i="28"/>
  <c r="H6" i="28"/>
  <c r="D21" i="28" s="1"/>
  <c r="D21" i="27"/>
  <c r="F17" i="27"/>
  <c r="E17" i="27"/>
  <c r="D17" i="27"/>
  <c r="H11" i="27"/>
  <c r="H10" i="27"/>
  <c r="A10" i="27"/>
  <c r="H9" i="27"/>
  <c r="A9" i="27"/>
  <c r="H8" i="27"/>
  <c r="D21" i="26"/>
  <c r="F17" i="26"/>
  <c r="E17" i="26"/>
  <c r="D17" i="26"/>
  <c r="H11" i="26"/>
  <c r="J10" i="26"/>
  <c r="H10" i="26"/>
  <c r="A10" i="26"/>
  <c r="H9" i="26"/>
  <c r="A9" i="26"/>
  <c r="H8" i="26"/>
  <c r="D21" i="25"/>
  <c r="F17" i="25"/>
  <c r="E17" i="25"/>
  <c r="D17" i="25"/>
  <c r="H11" i="25"/>
  <c r="H10" i="25"/>
  <c r="A10" i="25"/>
  <c r="H9" i="25"/>
  <c r="A9" i="25"/>
  <c r="H8" i="25"/>
  <c r="D21" i="32"/>
  <c r="F17" i="32"/>
  <c r="E17" i="32"/>
  <c r="D17" i="32"/>
  <c r="H11" i="32"/>
  <c r="A10" i="32"/>
  <c r="H9" i="32"/>
  <c r="A9" i="32"/>
  <c r="H8" i="32"/>
  <c r="A6" i="32"/>
  <c r="D21" i="24"/>
  <c r="F17" i="24"/>
  <c r="E17" i="24"/>
  <c r="D17" i="24"/>
  <c r="H11" i="24"/>
  <c r="H10" i="24"/>
  <c r="A10" i="24"/>
  <c r="H9" i="24"/>
  <c r="A9" i="24"/>
  <c r="H8" i="24"/>
  <c r="A6" i="24"/>
  <c r="D21" i="22"/>
  <c r="F17" i="22"/>
  <c r="E17" i="22"/>
  <c r="D17" i="22"/>
  <c r="H11" i="22"/>
  <c r="H10" i="22"/>
  <c r="A10" i="22"/>
  <c r="H9" i="22"/>
  <c r="A9" i="22"/>
  <c r="H8" i="22"/>
  <c r="D21" i="1"/>
  <c r="F17" i="1"/>
  <c r="E17" i="1"/>
  <c r="D17" i="1"/>
  <c r="H11" i="1"/>
  <c r="H10" i="1"/>
  <c r="A10" i="1"/>
  <c r="H9" i="1"/>
  <c r="A9" i="1"/>
  <c r="H8" i="1"/>
  <c r="A6" i="1"/>
  <c r="J7" i="87" l="1"/>
  <c r="J24" i="87" s="1"/>
  <c r="D16" i="85"/>
  <c r="D17" i="85" s="1"/>
  <c r="A6" i="85" s="1"/>
  <c r="D35" i="75"/>
  <c r="H35" i="75"/>
  <c r="L35" i="75"/>
  <c r="P35" i="75"/>
  <c r="T35" i="75"/>
  <c r="X35" i="75"/>
  <c r="AB35" i="75"/>
  <c r="AF35" i="75"/>
  <c r="AJ35" i="75"/>
  <c r="AN35" i="75"/>
  <c r="E36" i="75"/>
  <c r="I36" i="75"/>
  <c r="M36" i="75"/>
  <c r="Q36" i="75"/>
  <c r="U36" i="75"/>
  <c r="Y36" i="75"/>
  <c r="AC36" i="75"/>
  <c r="AG36" i="75"/>
  <c r="AK36" i="75"/>
  <c r="AO36" i="75"/>
  <c r="F37" i="75"/>
  <c r="J37" i="75"/>
  <c r="N37" i="75"/>
  <c r="R37" i="75"/>
  <c r="V37" i="75"/>
  <c r="Z37" i="75"/>
  <c r="AD37" i="75"/>
  <c r="AH37" i="75"/>
  <c r="AL37" i="75"/>
  <c r="AP37" i="75"/>
  <c r="C38" i="75"/>
  <c r="G38" i="75"/>
  <c r="K38" i="75"/>
  <c r="O38" i="75"/>
  <c r="S38" i="75"/>
  <c r="W38" i="75"/>
  <c r="AA38" i="75"/>
  <c r="AE38" i="75"/>
  <c r="AI38" i="75"/>
  <c r="AM38" i="75"/>
  <c r="AQ38" i="75"/>
  <c r="D39" i="75"/>
  <c r="H39" i="75"/>
  <c r="L39" i="75"/>
  <c r="P39" i="75"/>
  <c r="T39" i="75"/>
  <c r="X39" i="75"/>
  <c r="AB39" i="75"/>
  <c r="AF39" i="75"/>
  <c r="AJ39" i="75"/>
  <c r="AN39" i="75"/>
  <c r="E40" i="75"/>
  <c r="I40" i="75"/>
  <c r="M40" i="75"/>
  <c r="Q40" i="75"/>
  <c r="U40" i="75"/>
  <c r="Y40" i="75"/>
  <c r="AC40" i="75"/>
  <c r="AG40" i="75"/>
  <c r="AK40" i="75"/>
  <c r="AO40" i="75"/>
  <c r="F41" i="75"/>
  <c r="J41" i="75"/>
  <c r="N41" i="75"/>
  <c r="R41" i="75"/>
  <c r="V41" i="75"/>
  <c r="Z41" i="75"/>
  <c r="AD41" i="75"/>
  <c r="AH41" i="75"/>
  <c r="AL41" i="75"/>
  <c r="AP41" i="75"/>
  <c r="C42" i="75"/>
  <c r="G42" i="75"/>
  <c r="E35" i="75"/>
  <c r="I35" i="75"/>
  <c r="M35" i="75"/>
  <c r="Q35" i="75"/>
  <c r="U35" i="75"/>
  <c r="Y35" i="75"/>
  <c r="AC35" i="75"/>
  <c r="AG35" i="75"/>
  <c r="AK35" i="75"/>
  <c r="AO35" i="75"/>
  <c r="F36" i="75"/>
  <c r="J36" i="75"/>
  <c r="N36" i="75"/>
  <c r="R36" i="75"/>
  <c r="V36" i="75"/>
  <c r="Z36" i="75"/>
  <c r="AD36" i="75"/>
  <c r="AH36" i="75"/>
  <c r="AL36" i="75"/>
  <c r="AP36" i="75"/>
  <c r="C37" i="75"/>
  <c r="G37" i="75"/>
  <c r="K37" i="75"/>
  <c r="O37" i="75"/>
  <c r="S37" i="75"/>
  <c r="W37" i="75"/>
  <c r="AA37" i="75"/>
  <c r="AE37" i="75"/>
  <c r="AI37" i="75"/>
  <c r="AM37" i="75"/>
  <c r="AQ37" i="75"/>
  <c r="D38" i="75"/>
  <c r="H38" i="75"/>
  <c r="L38" i="75"/>
  <c r="P38" i="75"/>
  <c r="T38" i="75"/>
  <c r="X38" i="75"/>
  <c r="AB38" i="75"/>
  <c r="AF38" i="75"/>
  <c r="AJ38" i="75"/>
  <c r="AN38" i="75"/>
  <c r="E39" i="75"/>
  <c r="I39" i="75"/>
  <c r="M39" i="75"/>
  <c r="Q39" i="75"/>
  <c r="U39" i="75"/>
  <c r="Y39" i="75"/>
  <c r="AC39" i="75"/>
  <c r="AG39" i="75"/>
  <c r="AK39" i="75"/>
  <c r="AO39" i="75"/>
  <c r="F40" i="75"/>
  <c r="J40" i="75"/>
  <c r="N40" i="75"/>
  <c r="R40" i="75"/>
  <c r="V40" i="75"/>
  <c r="Z40" i="75"/>
  <c r="AD40" i="75"/>
  <c r="AH40" i="75"/>
  <c r="AL40" i="75"/>
  <c r="AP40" i="75"/>
  <c r="C41" i="75"/>
  <c r="G41" i="75"/>
  <c r="K41" i="75"/>
  <c r="O41" i="75"/>
  <c r="S41" i="75"/>
  <c r="W41" i="75"/>
  <c r="AA41" i="75"/>
  <c r="AE41" i="75"/>
  <c r="AI41" i="75"/>
  <c r="AM41" i="75"/>
  <c r="AQ41" i="75"/>
  <c r="D42" i="75"/>
  <c r="F35" i="75"/>
  <c r="J35" i="75"/>
  <c r="N35" i="75"/>
  <c r="R35" i="75"/>
  <c r="V35" i="75"/>
  <c r="Z35" i="75"/>
  <c r="AD35" i="75"/>
  <c r="AH35" i="75"/>
  <c r="AL35" i="75"/>
  <c r="AP35" i="75"/>
  <c r="C36" i="75"/>
  <c r="G36" i="75"/>
  <c r="K36" i="75"/>
  <c r="O36" i="75"/>
  <c r="S36" i="75"/>
  <c r="W36" i="75"/>
  <c r="AA36" i="75"/>
  <c r="AE36" i="75"/>
  <c r="AI36" i="75"/>
  <c r="AM36" i="75"/>
  <c r="AQ36" i="75"/>
  <c r="D37" i="75"/>
  <c r="H37" i="75"/>
  <c r="L37" i="75"/>
  <c r="P37" i="75"/>
  <c r="T37" i="75"/>
  <c r="X37" i="75"/>
  <c r="AB37" i="75"/>
  <c r="AF37" i="75"/>
  <c r="AJ37" i="75"/>
  <c r="AN37" i="75"/>
  <c r="E38" i="75"/>
  <c r="I38" i="75"/>
  <c r="M38" i="75"/>
  <c r="Q38" i="75"/>
  <c r="U38" i="75"/>
  <c r="Y38" i="75"/>
  <c r="AC38" i="75"/>
  <c r="AG38" i="75"/>
  <c r="AK38" i="75"/>
  <c r="AO38" i="75"/>
  <c r="F39" i="75"/>
  <c r="J39" i="75"/>
  <c r="N39" i="75"/>
  <c r="R39" i="75"/>
  <c r="V39" i="75"/>
  <c r="Z39" i="75"/>
  <c r="AD39" i="75"/>
  <c r="AH39" i="75"/>
  <c r="AL39" i="75"/>
  <c r="AP39" i="75"/>
  <c r="C40" i="75"/>
  <c r="G40" i="75"/>
  <c r="K40" i="75"/>
  <c r="K35" i="75"/>
  <c r="AA35" i="75"/>
  <c r="AQ35" i="75"/>
  <c r="L36" i="75"/>
  <c r="AB36" i="75"/>
  <c r="M37" i="75"/>
  <c r="AC37" i="75"/>
  <c r="R38" i="75"/>
  <c r="AH38" i="75"/>
  <c r="G39" i="75"/>
  <c r="W39" i="75"/>
  <c r="AM39" i="75"/>
  <c r="L40" i="75"/>
  <c r="T40" i="75"/>
  <c r="AB40" i="75"/>
  <c r="AJ40" i="75"/>
  <c r="I41" i="75"/>
  <c r="Q41" i="75"/>
  <c r="Y41" i="75"/>
  <c r="AG41" i="75"/>
  <c r="AO41" i="75"/>
  <c r="F42" i="75"/>
  <c r="K42" i="75"/>
  <c r="O42" i="75"/>
  <c r="S42" i="75"/>
  <c r="W42" i="75"/>
  <c r="AA42" i="75"/>
  <c r="AE42" i="75"/>
  <c r="AI42" i="75"/>
  <c r="AM42" i="75"/>
  <c r="AQ42" i="75"/>
  <c r="D43" i="75"/>
  <c r="H43" i="75"/>
  <c r="L43" i="75"/>
  <c r="P43" i="75"/>
  <c r="T43" i="75"/>
  <c r="X43" i="75"/>
  <c r="AB43" i="75"/>
  <c r="AF43" i="75"/>
  <c r="AJ43" i="75"/>
  <c r="AN43" i="75"/>
  <c r="E44" i="75"/>
  <c r="I44" i="75"/>
  <c r="M44" i="75"/>
  <c r="Q44" i="75"/>
  <c r="U44" i="75"/>
  <c r="Y44" i="75"/>
  <c r="AC44" i="75"/>
  <c r="AG44" i="75"/>
  <c r="AK44" i="75"/>
  <c r="AO44" i="75"/>
  <c r="F45" i="75"/>
  <c r="J45" i="75"/>
  <c r="N45" i="75"/>
  <c r="R45" i="75"/>
  <c r="V45" i="75"/>
  <c r="Z45" i="75"/>
  <c r="AD45" i="75"/>
  <c r="AH45" i="75"/>
  <c r="AL45" i="75"/>
  <c r="AP45" i="75"/>
  <c r="C46" i="75"/>
  <c r="G46" i="75"/>
  <c r="K46" i="75"/>
  <c r="O46" i="75"/>
  <c r="S46" i="75"/>
  <c r="W46" i="75"/>
  <c r="AA46" i="75"/>
  <c r="AE46" i="75"/>
  <c r="AI46" i="75"/>
  <c r="AM46" i="75"/>
  <c r="AQ46" i="75"/>
  <c r="D47" i="75"/>
  <c r="H47" i="75"/>
  <c r="L47" i="75"/>
  <c r="P47" i="75"/>
  <c r="T47" i="75"/>
  <c r="X47" i="75"/>
  <c r="AB47" i="75"/>
  <c r="AF47" i="75"/>
  <c r="AJ47" i="75"/>
  <c r="AN47" i="75"/>
  <c r="E48" i="75"/>
  <c r="I48" i="75"/>
  <c r="M48" i="75"/>
  <c r="Q48" i="75"/>
  <c r="U48" i="75"/>
  <c r="Y48" i="75"/>
  <c r="AC48" i="75"/>
  <c r="AG48" i="75"/>
  <c r="AK48" i="75"/>
  <c r="AO48" i="75"/>
  <c r="F49" i="75"/>
  <c r="J49" i="75"/>
  <c r="N49" i="75"/>
  <c r="R49" i="75"/>
  <c r="V49" i="75"/>
  <c r="Z49" i="75"/>
  <c r="AD49" i="75"/>
  <c r="AH49" i="75"/>
  <c r="AL49" i="75"/>
  <c r="AP49" i="75"/>
  <c r="C50" i="75"/>
  <c r="G50" i="75"/>
  <c r="K50" i="75"/>
  <c r="O50" i="75"/>
  <c r="S50" i="75"/>
  <c r="W50" i="75"/>
  <c r="AA50" i="75"/>
  <c r="AE50" i="75"/>
  <c r="AI50" i="75"/>
  <c r="AM50" i="75"/>
  <c r="AQ50" i="75"/>
  <c r="D51" i="75"/>
  <c r="H51" i="75"/>
  <c r="L51" i="75"/>
  <c r="P51" i="75"/>
  <c r="T51" i="75"/>
  <c r="X51" i="75"/>
  <c r="AB51" i="75"/>
  <c r="AF51" i="75"/>
  <c r="AJ51" i="75"/>
  <c r="AN51" i="75"/>
  <c r="E52" i="75"/>
  <c r="I52" i="75"/>
  <c r="M52" i="75"/>
  <c r="Q52" i="75"/>
  <c r="U52" i="75"/>
  <c r="Y52" i="75"/>
  <c r="AC52" i="75"/>
  <c r="AG52" i="75"/>
  <c r="AK52" i="75"/>
  <c r="AO52" i="75"/>
  <c r="F53" i="75"/>
  <c r="J53" i="75"/>
  <c r="N53" i="75"/>
  <c r="R53" i="75"/>
  <c r="V53" i="75"/>
  <c r="Z53" i="75"/>
  <c r="AD53" i="75"/>
  <c r="AH53" i="75"/>
  <c r="AL53" i="75"/>
  <c r="AP53" i="75"/>
  <c r="C54" i="75"/>
  <c r="G54" i="75"/>
  <c r="K54" i="75"/>
  <c r="O54" i="75"/>
  <c r="S54" i="75"/>
  <c r="W54" i="75"/>
  <c r="AA54" i="75"/>
  <c r="AE54" i="75"/>
  <c r="AI54" i="75"/>
  <c r="O35" i="75"/>
  <c r="AE35" i="75"/>
  <c r="P36" i="75"/>
  <c r="AF36" i="75"/>
  <c r="Q37" i="75"/>
  <c r="AG37" i="75"/>
  <c r="F38" i="75"/>
  <c r="V38" i="75"/>
  <c r="AL38" i="75"/>
  <c r="K39" i="75"/>
  <c r="AA39" i="75"/>
  <c r="AQ39" i="75"/>
  <c r="O40" i="75"/>
  <c r="W40" i="75"/>
  <c r="AE40" i="75"/>
  <c r="AM40" i="75"/>
  <c r="D41" i="75"/>
  <c r="L41" i="75"/>
  <c r="T41" i="75"/>
  <c r="AB41" i="75"/>
  <c r="AJ41" i="75"/>
  <c r="H42" i="75"/>
  <c r="L42" i="75"/>
  <c r="P42" i="75"/>
  <c r="T42" i="75"/>
  <c r="X42" i="75"/>
  <c r="AB42" i="75"/>
  <c r="AF42" i="75"/>
  <c r="AJ42" i="75"/>
  <c r="AN42" i="75"/>
  <c r="E43" i="75"/>
  <c r="I43" i="75"/>
  <c r="M43" i="75"/>
  <c r="Q43" i="75"/>
  <c r="U43" i="75"/>
  <c r="Y43" i="75"/>
  <c r="AC43" i="75"/>
  <c r="AG43" i="75"/>
  <c r="AK43" i="75"/>
  <c r="AO43" i="75"/>
  <c r="F44" i="75"/>
  <c r="J44" i="75"/>
  <c r="N44" i="75"/>
  <c r="R44" i="75"/>
  <c r="V44" i="75"/>
  <c r="Z44" i="75"/>
  <c r="AD44" i="75"/>
  <c r="AH44" i="75"/>
  <c r="AL44" i="75"/>
  <c r="AP44" i="75"/>
  <c r="C45" i="75"/>
  <c r="G45" i="75"/>
  <c r="K45" i="75"/>
  <c r="O45" i="75"/>
  <c r="S45" i="75"/>
  <c r="W45" i="75"/>
  <c r="AA45" i="75"/>
  <c r="AE45" i="75"/>
  <c r="AI45" i="75"/>
  <c r="AM45" i="75"/>
  <c r="AQ45" i="75"/>
  <c r="D46" i="75"/>
  <c r="H46" i="75"/>
  <c r="L46" i="75"/>
  <c r="P46" i="75"/>
  <c r="T46" i="75"/>
  <c r="X46" i="75"/>
  <c r="AB46" i="75"/>
  <c r="AF46" i="75"/>
  <c r="AJ46" i="75"/>
  <c r="AN46" i="75"/>
  <c r="E47" i="75"/>
  <c r="I47" i="75"/>
  <c r="M47" i="75"/>
  <c r="Q47" i="75"/>
  <c r="U47" i="75"/>
  <c r="Y47" i="75"/>
  <c r="AC47" i="75"/>
  <c r="AG47" i="75"/>
  <c r="AK47" i="75"/>
  <c r="AO47" i="75"/>
  <c r="F48" i="75"/>
  <c r="J48" i="75"/>
  <c r="N48" i="75"/>
  <c r="R48" i="75"/>
  <c r="V48" i="75"/>
  <c r="Z48" i="75"/>
  <c r="AD48" i="75"/>
  <c r="AH48" i="75"/>
  <c r="AL48" i="75"/>
  <c r="AP48" i="75"/>
  <c r="C49" i="75"/>
  <c r="G49" i="75"/>
  <c r="K49" i="75"/>
  <c r="O49" i="75"/>
  <c r="S49" i="75"/>
  <c r="W49" i="75"/>
  <c r="AA49" i="75"/>
  <c r="AE49" i="75"/>
  <c r="AI49" i="75"/>
  <c r="AM49" i="75"/>
  <c r="AQ49" i="75"/>
  <c r="D50" i="75"/>
  <c r="H50" i="75"/>
  <c r="L50" i="75"/>
  <c r="P50" i="75"/>
  <c r="T50" i="75"/>
  <c r="X50" i="75"/>
  <c r="AB50" i="75"/>
  <c r="AF50" i="75"/>
  <c r="AJ50" i="75"/>
  <c r="AN50" i="75"/>
  <c r="E51" i="75"/>
  <c r="I51" i="75"/>
  <c r="M51" i="75"/>
  <c r="Q51" i="75"/>
  <c r="U51" i="75"/>
  <c r="Y51" i="75"/>
  <c r="AC51" i="75"/>
  <c r="AG51" i="75"/>
  <c r="AK51" i="75"/>
  <c r="AO51" i="75"/>
  <c r="F52" i="75"/>
  <c r="J52" i="75"/>
  <c r="N52" i="75"/>
  <c r="R52" i="75"/>
  <c r="V52" i="75"/>
  <c r="Z52" i="75"/>
  <c r="AD52" i="75"/>
  <c r="AH52" i="75"/>
  <c r="AL52" i="75"/>
  <c r="AP52" i="75"/>
  <c r="C53" i="75"/>
  <c r="G53" i="75"/>
  <c r="K53" i="75"/>
  <c r="O53" i="75"/>
  <c r="S53" i="75"/>
  <c r="W53" i="75"/>
  <c r="AA53" i="75"/>
  <c r="AE53" i="75"/>
  <c r="AI53" i="75"/>
  <c r="AM53" i="75"/>
  <c r="AQ53" i="75"/>
  <c r="D54" i="75"/>
  <c r="H54" i="75"/>
  <c r="L54" i="75"/>
  <c r="P54" i="75"/>
  <c r="T54" i="75"/>
  <c r="X54" i="75"/>
  <c r="AB54" i="75"/>
  <c r="AF54" i="75"/>
  <c r="AJ54" i="75"/>
  <c r="S35" i="75"/>
  <c r="AI35" i="75"/>
  <c r="D36" i="75"/>
  <c r="T36" i="75"/>
  <c r="AJ36" i="75"/>
  <c r="E37" i="75"/>
  <c r="U37" i="75"/>
  <c r="AK37" i="75"/>
  <c r="J38" i="75"/>
  <c r="Z38" i="75"/>
  <c r="AP38" i="75"/>
  <c r="O39" i="75"/>
  <c r="AE39" i="75"/>
  <c r="D40" i="75"/>
  <c r="P40" i="75"/>
  <c r="X40" i="75"/>
  <c r="AF40" i="75"/>
  <c r="AN40" i="75"/>
  <c r="E41" i="75"/>
  <c r="M41" i="75"/>
  <c r="U41" i="75"/>
  <c r="AC41" i="75"/>
  <c r="AK41" i="75"/>
  <c r="I42" i="75"/>
  <c r="M42" i="75"/>
  <c r="Q42" i="75"/>
  <c r="U42" i="75"/>
  <c r="Y42" i="75"/>
  <c r="AC42" i="75"/>
  <c r="AG42" i="75"/>
  <c r="AK42" i="75"/>
  <c r="AO42" i="75"/>
  <c r="F43" i="75"/>
  <c r="J43" i="75"/>
  <c r="N43" i="75"/>
  <c r="R43" i="75"/>
  <c r="V43" i="75"/>
  <c r="Z43" i="75"/>
  <c r="AD43" i="75"/>
  <c r="AH43" i="75"/>
  <c r="AL43" i="75"/>
  <c r="AP43" i="75"/>
  <c r="C44" i="75"/>
  <c r="G44" i="75"/>
  <c r="K44" i="75"/>
  <c r="O44" i="75"/>
  <c r="S44" i="75"/>
  <c r="W44" i="75"/>
  <c r="AA44" i="75"/>
  <c r="AE44" i="75"/>
  <c r="AI44" i="75"/>
  <c r="AM44" i="75"/>
  <c r="AQ44" i="75"/>
  <c r="D45" i="75"/>
  <c r="H45" i="75"/>
  <c r="L45" i="75"/>
  <c r="P45" i="75"/>
  <c r="T45" i="75"/>
  <c r="X45" i="75"/>
  <c r="AB45" i="75"/>
  <c r="AF45" i="75"/>
  <c r="AJ45" i="75"/>
  <c r="AN45" i="75"/>
  <c r="E46" i="75"/>
  <c r="I46" i="75"/>
  <c r="M46" i="75"/>
  <c r="Q46" i="75"/>
  <c r="U46" i="75"/>
  <c r="Y46" i="75"/>
  <c r="AC46" i="75"/>
  <c r="AG46" i="75"/>
  <c r="AK46" i="75"/>
  <c r="AO46" i="75"/>
  <c r="F47" i="75"/>
  <c r="J47" i="75"/>
  <c r="N47" i="75"/>
  <c r="R47" i="75"/>
  <c r="V47" i="75"/>
  <c r="Z47" i="75"/>
  <c r="AD47" i="75"/>
  <c r="AH47" i="75"/>
  <c r="S39" i="75"/>
  <c r="AA40" i="75"/>
  <c r="P41" i="75"/>
  <c r="R42" i="75"/>
  <c r="AH42" i="75"/>
  <c r="C43" i="75"/>
  <c r="S43" i="75"/>
  <c r="AI43" i="75"/>
  <c r="H44" i="75"/>
  <c r="X44" i="75"/>
  <c r="AN44" i="75"/>
  <c r="M45" i="75"/>
  <c r="AC45" i="75"/>
  <c r="R46" i="75"/>
  <c r="AH46" i="75"/>
  <c r="G47" i="75"/>
  <c r="W47" i="75"/>
  <c r="AL47" i="75"/>
  <c r="C48" i="75"/>
  <c r="K48" i="75"/>
  <c r="S48" i="75"/>
  <c r="AA48" i="75"/>
  <c r="AI48" i="75"/>
  <c r="AQ48" i="75"/>
  <c r="H49" i="75"/>
  <c r="P49" i="75"/>
  <c r="X49" i="75"/>
  <c r="AF49" i="75"/>
  <c r="AN49" i="75"/>
  <c r="E50" i="75"/>
  <c r="M50" i="75"/>
  <c r="U50" i="75"/>
  <c r="AC50" i="75"/>
  <c r="AK50" i="75"/>
  <c r="J51" i="75"/>
  <c r="R51" i="75"/>
  <c r="Z51" i="75"/>
  <c r="AH51" i="75"/>
  <c r="AP51" i="75"/>
  <c r="G52" i="75"/>
  <c r="O52" i="75"/>
  <c r="W52" i="75"/>
  <c r="AE52" i="75"/>
  <c r="AM52" i="75"/>
  <c r="D53" i="75"/>
  <c r="L53" i="75"/>
  <c r="T53" i="75"/>
  <c r="AB53" i="75"/>
  <c r="AJ53" i="75"/>
  <c r="I54" i="75"/>
  <c r="Q54" i="75"/>
  <c r="Y54" i="75"/>
  <c r="AG54" i="75"/>
  <c r="AM54" i="75"/>
  <c r="AQ54" i="75"/>
  <c r="D55" i="75"/>
  <c r="H55" i="75"/>
  <c r="L55" i="75"/>
  <c r="P55" i="75"/>
  <c r="T55" i="75"/>
  <c r="X55" i="75"/>
  <c r="AB55" i="75"/>
  <c r="AF55" i="75"/>
  <c r="AJ55" i="75"/>
  <c r="AN55" i="75"/>
  <c r="E56" i="75"/>
  <c r="I56" i="75"/>
  <c r="M56" i="75"/>
  <c r="Q56" i="75"/>
  <c r="U56" i="75"/>
  <c r="Y56" i="75"/>
  <c r="AC56" i="75"/>
  <c r="AG56" i="75"/>
  <c r="AK56" i="75"/>
  <c r="AO56" i="75"/>
  <c r="F57" i="75"/>
  <c r="J57" i="75"/>
  <c r="N57" i="75"/>
  <c r="R57" i="75"/>
  <c r="V57" i="75"/>
  <c r="Z57" i="75"/>
  <c r="AD57" i="75"/>
  <c r="AH57" i="75"/>
  <c r="AL57" i="75"/>
  <c r="AP57" i="75"/>
  <c r="C58" i="75"/>
  <c r="G58" i="75"/>
  <c r="K58" i="75"/>
  <c r="O58" i="75"/>
  <c r="S58" i="75"/>
  <c r="W58" i="75"/>
  <c r="AA58" i="75"/>
  <c r="AE58" i="75"/>
  <c r="AI58" i="75"/>
  <c r="AM58" i="75"/>
  <c r="AQ58" i="75"/>
  <c r="D59" i="75"/>
  <c r="H59" i="75"/>
  <c r="L59" i="75"/>
  <c r="P59" i="75"/>
  <c r="T59" i="75"/>
  <c r="X59" i="75"/>
  <c r="AB59" i="75"/>
  <c r="AF59" i="75"/>
  <c r="AJ59" i="75"/>
  <c r="AN59" i="75"/>
  <c r="E60" i="75"/>
  <c r="I60" i="75"/>
  <c r="M60" i="75"/>
  <c r="Q60" i="75"/>
  <c r="U60" i="75"/>
  <c r="Y60" i="75"/>
  <c r="AC60" i="75"/>
  <c r="AG60" i="75"/>
  <c r="AK60" i="75"/>
  <c r="AO60" i="75"/>
  <c r="F61" i="75"/>
  <c r="J61" i="75"/>
  <c r="N61" i="75"/>
  <c r="R61" i="75"/>
  <c r="V61" i="75"/>
  <c r="Z61" i="75"/>
  <c r="AD61" i="75"/>
  <c r="AH61" i="75"/>
  <c r="AL61" i="75"/>
  <c r="AP61" i="75"/>
  <c r="C62" i="75"/>
  <c r="G62" i="75"/>
  <c r="G35" i="75"/>
  <c r="H36" i="75"/>
  <c r="I37" i="75"/>
  <c r="N38" i="75"/>
  <c r="AI39" i="75"/>
  <c r="AI40" i="75"/>
  <c r="X41" i="75"/>
  <c r="E42" i="75"/>
  <c r="V42" i="75"/>
  <c r="AL42" i="75"/>
  <c r="G43" i="75"/>
  <c r="W43" i="75"/>
  <c r="AM43" i="75"/>
  <c r="L44" i="75"/>
  <c r="AB44" i="75"/>
  <c r="Q45" i="75"/>
  <c r="AG45" i="75"/>
  <c r="F46" i="75"/>
  <c r="V46" i="75"/>
  <c r="AL46" i="75"/>
  <c r="K47" i="75"/>
  <c r="AA47" i="75"/>
  <c r="AM47" i="75"/>
  <c r="D48" i="75"/>
  <c r="L48" i="75"/>
  <c r="T48" i="75"/>
  <c r="AB48" i="75"/>
  <c r="AJ48" i="75"/>
  <c r="I49" i="75"/>
  <c r="Q49" i="75"/>
  <c r="Y49" i="75"/>
  <c r="AG49" i="75"/>
  <c r="AO49" i="75"/>
  <c r="F50" i="75"/>
  <c r="N50" i="75"/>
  <c r="V50" i="75"/>
  <c r="AD50" i="75"/>
  <c r="AL50" i="75"/>
  <c r="C51" i="75"/>
  <c r="K51" i="75"/>
  <c r="S51" i="75"/>
  <c r="AA51" i="75"/>
  <c r="AI51" i="75"/>
  <c r="AQ51" i="75"/>
  <c r="H52" i="75"/>
  <c r="P52" i="75"/>
  <c r="X52" i="75"/>
  <c r="AF52" i="75"/>
  <c r="AN52" i="75"/>
  <c r="E53" i="75"/>
  <c r="M53" i="75"/>
  <c r="U53" i="75"/>
  <c r="AC53" i="75"/>
  <c r="AK53" i="75"/>
  <c r="J54" i="75"/>
  <c r="R54" i="75"/>
  <c r="Z54" i="75"/>
  <c r="AH54" i="75"/>
  <c r="AN54" i="75"/>
  <c r="E55" i="75"/>
  <c r="I55" i="75"/>
  <c r="M55" i="75"/>
  <c r="Q55" i="75"/>
  <c r="U55" i="75"/>
  <c r="Y55" i="75"/>
  <c r="AC55" i="75"/>
  <c r="AG55" i="75"/>
  <c r="AK55" i="75"/>
  <c r="AO55" i="75"/>
  <c r="F56" i="75"/>
  <c r="J56" i="75"/>
  <c r="N56" i="75"/>
  <c r="R56" i="75"/>
  <c r="V56" i="75"/>
  <c r="Z56" i="75"/>
  <c r="AD56" i="75"/>
  <c r="AH56" i="75"/>
  <c r="AL56" i="75"/>
  <c r="AP56" i="75"/>
  <c r="C57" i="75"/>
  <c r="G57" i="75"/>
  <c r="K57" i="75"/>
  <c r="O57" i="75"/>
  <c r="S57" i="75"/>
  <c r="W57" i="75"/>
  <c r="AA57" i="75"/>
  <c r="AE57" i="75"/>
  <c r="AI57" i="75"/>
  <c r="AM57" i="75"/>
  <c r="AQ57" i="75"/>
  <c r="D58" i="75"/>
  <c r="H58" i="75"/>
  <c r="L58" i="75"/>
  <c r="P58" i="75"/>
  <c r="T58" i="75"/>
  <c r="X58" i="75"/>
  <c r="AB58" i="75"/>
  <c r="AF58" i="75"/>
  <c r="AJ58" i="75"/>
  <c r="AN58" i="75"/>
  <c r="E59" i="75"/>
  <c r="I59" i="75"/>
  <c r="M59" i="75"/>
  <c r="Q59" i="75"/>
  <c r="U59" i="75"/>
  <c r="Y59" i="75"/>
  <c r="AC59" i="75"/>
  <c r="AG59" i="75"/>
  <c r="AK59" i="75"/>
  <c r="AO59" i="75"/>
  <c r="F60" i="75"/>
  <c r="J60" i="75"/>
  <c r="N60" i="75"/>
  <c r="R60" i="75"/>
  <c r="V60" i="75"/>
  <c r="Z60" i="75"/>
  <c r="AD60" i="75"/>
  <c r="AH60" i="75"/>
  <c r="AL60" i="75"/>
  <c r="AP60" i="75"/>
  <c r="C61" i="75"/>
  <c r="G61" i="75"/>
  <c r="K61" i="75"/>
  <c r="O61" i="75"/>
  <c r="S61" i="75"/>
  <c r="W61" i="75"/>
  <c r="AA61" i="75"/>
  <c r="AE61" i="75"/>
  <c r="AI61" i="75"/>
  <c r="AM61" i="75"/>
  <c r="AQ61" i="75"/>
  <c r="D62" i="75"/>
  <c r="H62" i="75"/>
  <c r="L62" i="75"/>
  <c r="P62" i="75"/>
  <c r="T62" i="75"/>
  <c r="X62" i="75"/>
  <c r="AB62" i="75"/>
  <c r="AF62" i="75"/>
  <c r="AJ62" i="75"/>
  <c r="AN62" i="75"/>
  <c r="E63" i="75"/>
  <c r="I63" i="75"/>
  <c r="M63" i="75"/>
  <c r="Q63" i="75"/>
  <c r="U63" i="75"/>
  <c r="Y63" i="75"/>
  <c r="AC63" i="75"/>
  <c r="AG63" i="75"/>
  <c r="AK63" i="75"/>
  <c r="AO63" i="75"/>
  <c r="F64" i="75"/>
  <c r="J64" i="75"/>
  <c r="N64" i="75"/>
  <c r="R64" i="75"/>
  <c r="V64" i="75"/>
  <c r="Z64" i="75"/>
  <c r="AD64" i="75"/>
  <c r="AH64" i="75"/>
  <c r="AL64" i="75"/>
  <c r="AP64" i="75"/>
  <c r="W35" i="75"/>
  <c r="X36" i="75"/>
  <c r="Y37" i="75"/>
  <c r="AD38" i="75"/>
  <c r="H40" i="75"/>
  <c r="AQ40" i="75"/>
  <c r="AF41" i="75"/>
  <c r="J42" i="75"/>
  <c r="Z42" i="75"/>
  <c r="AP42" i="75"/>
  <c r="K43" i="75"/>
  <c r="AA43" i="75"/>
  <c r="AQ43" i="75"/>
  <c r="P44" i="75"/>
  <c r="AF44" i="75"/>
  <c r="E45" i="75"/>
  <c r="U45" i="75"/>
  <c r="AK45" i="75"/>
  <c r="J46" i="75"/>
  <c r="Z46" i="75"/>
  <c r="AP46" i="75"/>
  <c r="O47" i="75"/>
  <c r="AE47" i="75"/>
  <c r="AP47" i="75"/>
  <c r="G48" i="75"/>
  <c r="O48" i="75"/>
  <c r="W48" i="75"/>
  <c r="AE48" i="75"/>
  <c r="AM48" i="75"/>
  <c r="D49" i="75"/>
  <c r="L49" i="75"/>
  <c r="T49" i="75"/>
  <c r="AB49" i="75"/>
  <c r="AJ49" i="75"/>
  <c r="AM35" i="75"/>
  <c r="AO37" i="75"/>
  <c r="H41" i="75"/>
  <c r="AD42" i="75"/>
  <c r="D44" i="75"/>
  <c r="Y45" i="75"/>
  <c r="C47" i="75"/>
  <c r="H48" i="75"/>
  <c r="AN48" i="75"/>
  <c r="AC49" i="75"/>
  <c r="J50" i="75"/>
  <c r="Z50" i="75"/>
  <c r="AP50" i="75"/>
  <c r="O51" i="75"/>
  <c r="AE51" i="75"/>
  <c r="D52" i="75"/>
  <c r="T52" i="75"/>
  <c r="AJ52" i="75"/>
  <c r="I53" i="75"/>
  <c r="Y53" i="75"/>
  <c r="AO53" i="75"/>
  <c r="N54" i="75"/>
  <c r="AD54" i="75"/>
  <c r="AP54" i="75"/>
  <c r="G55" i="75"/>
  <c r="O55" i="75"/>
  <c r="W55" i="75"/>
  <c r="AE55" i="75"/>
  <c r="AM55" i="75"/>
  <c r="D56" i="75"/>
  <c r="L56" i="75"/>
  <c r="T56" i="75"/>
  <c r="AB56" i="75"/>
  <c r="AJ56" i="75"/>
  <c r="I57" i="75"/>
  <c r="Q57" i="75"/>
  <c r="Y57" i="75"/>
  <c r="AG57" i="75"/>
  <c r="AO57" i="75"/>
  <c r="F58" i="75"/>
  <c r="N58" i="75"/>
  <c r="V58" i="75"/>
  <c r="AD58" i="75"/>
  <c r="AL58" i="75"/>
  <c r="C59" i="75"/>
  <c r="K59" i="75"/>
  <c r="S59" i="75"/>
  <c r="AA59" i="75"/>
  <c r="AI59" i="75"/>
  <c r="AQ59" i="75"/>
  <c r="H60" i="75"/>
  <c r="P60" i="75"/>
  <c r="X60" i="75"/>
  <c r="AF60" i="75"/>
  <c r="AN60" i="75"/>
  <c r="E61" i="75"/>
  <c r="M61" i="75"/>
  <c r="U61" i="75"/>
  <c r="AC61" i="75"/>
  <c r="AK61" i="75"/>
  <c r="J62" i="75"/>
  <c r="O62" i="75"/>
  <c r="U62" i="75"/>
  <c r="Z62" i="75"/>
  <c r="AE62" i="75"/>
  <c r="AK62" i="75"/>
  <c r="AP62" i="75"/>
  <c r="D63" i="75"/>
  <c r="J63" i="75"/>
  <c r="O63" i="75"/>
  <c r="T63" i="75"/>
  <c r="Z63" i="75"/>
  <c r="AE63" i="75"/>
  <c r="AJ63" i="75"/>
  <c r="AP63" i="75"/>
  <c r="D64" i="75"/>
  <c r="I64" i="75"/>
  <c r="O64" i="75"/>
  <c r="T64" i="75"/>
  <c r="Y64" i="75"/>
  <c r="AE64" i="75"/>
  <c r="AJ64" i="75"/>
  <c r="AO64" i="75"/>
  <c r="C65" i="75"/>
  <c r="G65" i="75"/>
  <c r="K65" i="75"/>
  <c r="O65" i="75"/>
  <c r="S65" i="75"/>
  <c r="W65" i="75"/>
  <c r="AA65" i="75"/>
  <c r="AE65" i="75"/>
  <c r="AI65" i="75"/>
  <c r="AM65" i="75"/>
  <c r="AQ65" i="75"/>
  <c r="D66" i="75"/>
  <c r="H66" i="75"/>
  <c r="L66" i="75"/>
  <c r="P66" i="75"/>
  <c r="T66" i="75"/>
  <c r="X66" i="75"/>
  <c r="AB66" i="75"/>
  <c r="AF66" i="75"/>
  <c r="AJ66" i="75"/>
  <c r="AN66" i="75"/>
  <c r="E67" i="75"/>
  <c r="I67" i="75"/>
  <c r="M67" i="75"/>
  <c r="Q67" i="75"/>
  <c r="U67" i="75"/>
  <c r="Y67" i="75"/>
  <c r="AC67" i="75"/>
  <c r="AG67" i="75"/>
  <c r="AK67" i="75"/>
  <c r="AO67" i="75"/>
  <c r="F68" i="75"/>
  <c r="J68" i="75"/>
  <c r="N68" i="75"/>
  <c r="R68" i="75"/>
  <c r="V68" i="75"/>
  <c r="Z68" i="75"/>
  <c r="AD68" i="75"/>
  <c r="AH68" i="75"/>
  <c r="AL68" i="75"/>
  <c r="AP68" i="75"/>
  <c r="C69" i="75"/>
  <c r="G69" i="75"/>
  <c r="K69" i="75"/>
  <c r="O69" i="75"/>
  <c r="S69" i="75"/>
  <c r="W69" i="75"/>
  <c r="AA69" i="75"/>
  <c r="AE69" i="75"/>
  <c r="AI69" i="75"/>
  <c r="AM69" i="75"/>
  <c r="AQ69" i="75"/>
  <c r="D70" i="75"/>
  <c r="H70" i="75"/>
  <c r="L70" i="75"/>
  <c r="P70" i="75"/>
  <c r="T70" i="75"/>
  <c r="X70" i="75"/>
  <c r="AB70" i="75"/>
  <c r="AF70" i="75"/>
  <c r="AJ70" i="75"/>
  <c r="AN70" i="75"/>
  <c r="E71" i="75"/>
  <c r="I71" i="75"/>
  <c r="M71" i="75"/>
  <c r="Q71" i="75"/>
  <c r="U71" i="75"/>
  <c r="Y71" i="75"/>
  <c r="AC71" i="75"/>
  <c r="AG71" i="75"/>
  <c r="AK71" i="75"/>
  <c r="AO71" i="75"/>
  <c r="F72" i="75"/>
  <c r="J72" i="75"/>
  <c r="N72" i="75"/>
  <c r="R72" i="75"/>
  <c r="V72" i="75"/>
  <c r="Z72" i="75"/>
  <c r="AD72" i="75"/>
  <c r="AH72" i="75"/>
  <c r="AL72" i="75"/>
  <c r="AN41" i="75"/>
  <c r="T44" i="75"/>
  <c r="AO45" i="75"/>
  <c r="S47" i="75"/>
  <c r="P48" i="75"/>
  <c r="E49" i="75"/>
  <c r="AK49" i="75"/>
  <c r="Q50" i="75"/>
  <c r="AG50" i="75"/>
  <c r="F51" i="75"/>
  <c r="V51" i="75"/>
  <c r="AL51" i="75"/>
  <c r="K52" i="75"/>
  <c r="AA52" i="75"/>
  <c r="AQ52" i="75"/>
  <c r="P53" i="75"/>
  <c r="AF53" i="75"/>
  <c r="E54" i="75"/>
  <c r="U54" i="75"/>
  <c r="AK54" i="75"/>
  <c r="J55" i="75"/>
  <c r="R55" i="75"/>
  <c r="Z55" i="75"/>
  <c r="AH55" i="75"/>
  <c r="AP55" i="75"/>
  <c r="G56" i="75"/>
  <c r="O56" i="75"/>
  <c r="W56" i="75"/>
  <c r="AE56" i="75"/>
  <c r="AM56" i="75"/>
  <c r="D57" i="75"/>
  <c r="L57" i="75"/>
  <c r="T57" i="75"/>
  <c r="AB57" i="75"/>
  <c r="AJ57" i="75"/>
  <c r="I58" i="75"/>
  <c r="Q58" i="75"/>
  <c r="Y58" i="75"/>
  <c r="AG58" i="75"/>
  <c r="AO58" i="75"/>
  <c r="F59" i="75"/>
  <c r="N59" i="75"/>
  <c r="V59" i="75"/>
  <c r="AD59" i="75"/>
  <c r="AL59" i="75"/>
  <c r="C60" i="75"/>
  <c r="K60" i="75"/>
  <c r="S60" i="75"/>
  <c r="AA60" i="75"/>
  <c r="AI60" i="75"/>
  <c r="AQ60" i="75"/>
  <c r="H61" i="75"/>
  <c r="P61" i="75"/>
  <c r="X61" i="75"/>
  <c r="AF61" i="75"/>
  <c r="AN61" i="75"/>
  <c r="E62" i="75"/>
  <c r="K62" i="75"/>
  <c r="Q62" i="75"/>
  <c r="V62" i="75"/>
  <c r="AA62" i="75"/>
  <c r="AG62" i="75"/>
  <c r="AL62" i="75"/>
  <c r="AQ62" i="75"/>
  <c r="F63" i="75"/>
  <c r="K63" i="75"/>
  <c r="P63" i="75"/>
  <c r="V63" i="75"/>
  <c r="AA63" i="75"/>
  <c r="AF63" i="75"/>
  <c r="AL63" i="75"/>
  <c r="AQ63" i="75"/>
  <c r="E64" i="75"/>
  <c r="K64" i="75"/>
  <c r="P64" i="75"/>
  <c r="U64" i="75"/>
  <c r="AA64" i="75"/>
  <c r="AF64" i="75"/>
  <c r="AK64" i="75"/>
  <c r="AQ64" i="75"/>
  <c r="D65" i="75"/>
  <c r="H65" i="75"/>
  <c r="L65" i="75"/>
  <c r="P65" i="75"/>
  <c r="T65" i="75"/>
  <c r="X65" i="75"/>
  <c r="AB65" i="75"/>
  <c r="AF65" i="75"/>
  <c r="AJ65" i="75"/>
  <c r="AN65" i="75"/>
  <c r="E66" i="75"/>
  <c r="I66" i="75"/>
  <c r="M66" i="75"/>
  <c r="Q66" i="75"/>
  <c r="U66" i="75"/>
  <c r="Y66" i="75"/>
  <c r="AC66" i="75"/>
  <c r="AG66" i="75"/>
  <c r="AK66" i="75"/>
  <c r="AO66" i="75"/>
  <c r="F67" i="75"/>
  <c r="J67" i="75"/>
  <c r="N67" i="75"/>
  <c r="R67" i="75"/>
  <c r="V67" i="75"/>
  <c r="Z67" i="75"/>
  <c r="AD67" i="75"/>
  <c r="AH67" i="75"/>
  <c r="AL67" i="75"/>
  <c r="AP67" i="75"/>
  <c r="C68" i="75"/>
  <c r="G68" i="75"/>
  <c r="K68" i="75"/>
  <c r="O68" i="75"/>
  <c r="S68" i="75"/>
  <c r="W68" i="75"/>
  <c r="AA68" i="75"/>
  <c r="AE68" i="75"/>
  <c r="AI68" i="75"/>
  <c r="AM68" i="75"/>
  <c r="AQ68" i="75"/>
  <c r="D69" i="75"/>
  <c r="H69" i="75"/>
  <c r="L69" i="75"/>
  <c r="P69" i="75"/>
  <c r="T69" i="75"/>
  <c r="X69" i="75"/>
  <c r="AB69" i="75"/>
  <c r="AF69" i="75"/>
  <c r="AJ69" i="75"/>
  <c r="AN69" i="75"/>
  <c r="E70" i="75"/>
  <c r="I70" i="75"/>
  <c r="M70" i="75"/>
  <c r="Q70" i="75"/>
  <c r="U70" i="75"/>
  <c r="Y70" i="75"/>
  <c r="AC70" i="75"/>
  <c r="AG70" i="75"/>
  <c r="AK70" i="75"/>
  <c r="AO70" i="75"/>
  <c r="F71" i="75"/>
  <c r="J71" i="75"/>
  <c r="N71" i="75"/>
  <c r="R71" i="75"/>
  <c r="V71" i="75"/>
  <c r="Z71" i="75"/>
  <c r="AD71" i="75"/>
  <c r="AH71" i="75"/>
  <c r="AL71" i="75"/>
  <c r="AP71" i="75"/>
  <c r="C72" i="75"/>
  <c r="G72" i="75"/>
  <c r="K72" i="75"/>
  <c r="O72" i="75"/>
  <c r="S72" i="75"/>
  <c r="W72" i="75"/>
  <c r="AA72" i="75"/>
  <c r="AE72" i="75"/>
  <c r="AI72" i="75"/>
  <c r="AM72" i="75"/>
  <c r="AQ72" i="75"/>
  <c r="AN36" i="75"/>
  <c r="C39" i="75"/>
  <c r="O43" i="75"/>
  <c r="AJ44" i="75"/>
  <c r="N46" i="75"/>
  <c r="AI47" i="75"/>
  <c r="X48" i="75"/>
  <c r="M49" i="75"/>
  <c r="R50" i="75"/>
  <c r="AH50" i="75"/>
  <c r="G51" i="75"/>
  <c r="W51" i="75"/>
  <c r="AM51" i="75"/>
  <c r="L52" i="75"/>
  <c r="AB52" i="75"/>
  <c r="I45" i="75"/>
  <c r="U49" i="75"/>
  <c r="AO50" i="75"/>
  <c r="S52" i="75"/>
  <c r="Q53" i="75"/>
  <c r="F54" i="75"/>
  <c r="AL54" i="75"/>
  <c r="F55" i="75"/>
  <c r="V55" i="75"/>
  <c r="AL55" i="75"/>
  <c r="K56" i="75"/>
  <c r="AA56" i="75"/>
  <c r="AQ56" i="75"/>
  <c r="P57" i="75"/>
  <c r="AF57" i="75"/>
  <c r="E58" i="75"/>
  <c r="U58" i="75"/>
  <c r="AK58" i="75"/>
  <c r="J59" i="75"/>
  <c r="Z59" i="75"/>
  <c r="AP59" i="75"/>
  <c r="O60" i="75"/>
  <c r="AE60" i="75"/>
  <c r="D61" i="75"/>
  <c r="T61" i="75"/>
  <c r="AJ61" i="75"/>
  <c r="I62" i="75"/>
  <c r="S62" i="75"/>
  <c r="AD62" i="75"/>
  <c r="AO62" i="75"/>
  <c r="H63" i="75"/>
  <c r="S63" i="75"/>
  <c r="AD63" i="75"/>
  <c r="AN63" i="75"/>
  <c r="H64" i="75"/>
  <c r="S64" i="75"/>
  <c r="AC64" i="75"/>
  <c r="AN64" i="75"/>
  <c r="F65" i="75"/>
  <c r="N65" i="75"/>
  <c r="V65" i="75"/>
  <c r="AD65" i="75"/>
  <c r="AL65" i="75"/>
  <c r="C66" i="75"/>
  <c r="K66" i="75"/>
  <c r="S66" i="75"/>
  <c r="AA66" i="75"/>
  <c r="AI66" i="75"/>
  <c r="AQ66" i="75"/>
  <c r="H67" i="75"/>
  <c r="P67" i="75"/>
  <c r="X67" i="75"/>
  <c r="AF67" i="75"/>
  <c r="AN67" i="75"/>
  <c r="E68" i="75"/>
  <c r="M68" i="75"/>
  <c r="U68" i="75"/>
  <c r="AC68" i="75"/>
  <c r="AK68" i="75"/>
  <c r="J69" i="75"/>
  <c r="R69" i="75"/>
  <c r="Z69" i="75"/>
  <c r="AH69" i="75"/>
  <c r="AP69" i="75"/>
  <c r="G70" i="75"/>
  <c r="O70" i="75"/>
  <c r="W70" i="75"/>
  <c r="AE70" i="75"/>
  <c r="AM70" i="75"/>
  <c r="D71" i="75"/>
  <c r="L71" i="75"/>
  <c r="T71" i="75"/>
  <c r="AB71" i="75"/>
  <c r="AJ71" i="75"/>
  <c r="I72" i="75"/>
  <c r="Q72" i="75"/>
  <c r="Y72" i="75"/>
  <c r="AG72" i="75"/>
  <c r="AO72" i="75"/>
  <c r="C73" i="75"/>
  <c r="G73" i="75"/>
  <c r="K73" i="75"/>
  <c r="O73" i="75"/>
  <c r="S73" i="75"/>
  <c r="W73" i="75"/>
  <c r="AA73" i="75"/>
  <c r="AE73" i="75"/>
  <c r="AI73" i="75"/>
  <c r="AM73" i="75"/>
  <c r="AQ73" i="75"/>
  <c r="D74" i="75"/>
  <c r="H74" i="75"/>
  <c r="L74" i="75"/>
  <c r="P74" i="75"/>
  <c r="T74" i="75"/>
  <c r="X74" i="75"/>
  <c r="AB74" i="75"/>
  <c r="AF74" i="75"/>
  <c r="AJ74" i="75"/>
  <c r="AN74" i="75"/>
  <c r="E75" i="75"/>
  <c r="I75" i="75"/>
  <c r="M75" i="75"/>
  <c r="Q75" i="75"/>
  <c r="U75" i="75"/>
  <c r="Y75" i="75"/>
  <c r="AC75" i="75"/>
  <c r="AG75" i="75"/>
  <c r="AK75" i="75"/>
  <c r="AO75" i="75"/>
  <c r="I50" i="75"/>
  <c r="V54" i="75"/>
  <c r="AD55" i="75"/>
  <c r="AI56" i="75"/>
  <c r="H57" i="75"/>
  <c r="AN57" i="75"/>
  <c r="R59" i="75"/>
  <c r="G60" i="75"/>
  <c r="AM60" i="75"/>
  <c r="AB61" i="75"/>
  <c r="N62" i="75"/>
  <c r="AI62" i="75"/>
  <c r="N63" i="75"/>
  <c r="AI63" i="75"/>
  <c r="X64" i="75"/>
  <c r="Z65" i="75"/>
  <c r="AP65" i="75"/>
  <c r="O66" i="75"/>
  <c r="AE66" i="75"/>
  <c r="D67" i="75"/>
  <c r="T67" i="75"/>
  <c r="AJ67" i="75"/>
  <c r="I68" i="75"/>
  <c r="Q68" i="75"/>
  <c r="AG68" i="75"/>
  <c r="F69" i="75"/>
  <c r="V69" i="75"/>
  <c r="AD69" i="75"/>
  <c r="C70" i="75"/>
  <c r="AA70" i="75"/>
  <c r="AQ70" i="75"/>
  <c r="P71" i="75"/>
  <c r="AF71" i="75"/>
  <c r="E72" i="75"/>
  <c r="U72" i="75"/>
  <c r="AK72" i="75"/>
  <c r="E73" i="75"/>
  <c r="I73" i="75"/>
  <c r="Q73" i="75"/>
  <c r="Y73" i="75"/>
  <c r="AG73" i="75"/>
  <c r="AO73" i="75"/>
  <c r="F74" i="75"/>
  <c r="N74" i="75"/>
  <c r="V74" i="75"/>
  <c r="AD74" i="75"/>
  <c r="AL74" i="75"/>
  <c r="C75" i="75"/>
  <c r="K75" i="75"/>
  <c r="S75" i="75"/>
  <c r="AE75" i="75"/>
  <c r="AM75" i="75"/>
  <c r="S40" i="75"/>
  <c r="AE43" i="75"/>
  <c r="AF48" i="75"/>
  <c r="Y50" i="75"/>
  <c r="C52" i="75"/>
  <c r="AN53" i="75"/>
  <c r="AC54" i="75"/>
  <c r="C55" i="75"/>
  <c r="S55" i="75"/>
  <c r="AI55" i="75"/>
  <c r="H56" i="75"/>
  <c r="X56" i="75"/>
  <c r="M57" i="75"/>
  <c r="AH58" i="75"/>
  <c r="W59" i="75"/>
  <c r="L60" i="75"/>
  <c r="AG61" i="75"/>
  <c r="AC62" i="75"/>
  <c r="AM62" i="75"/>
  <c r="R63" i="75"/>
  <c r="AM63" i="75"/>
  <c r="Q64" i="75"/>
  <c r="AM64" i="75"/>
  <c r="M65" i="75"/>
  <c r="AC65" i="75"/>
  <c r="R66" i="75"/>
  <c r="AH66" i="75"/>
  <c r="G67" i="75"/>
  <c r="W67" i="75"/>
  <c r="AM67" i="75"/>
  <c r="L68" i="75"/>
  <c r="AB68" i="75"/>
  <c r="Q69" i="75"/>
  <c r="AG69" i="75"/>
  <c r="F70" i="75"/>
  <c r="AD70" i="75"/>
  <c r="C71" i="75"/>
  <c r="S71" i="75"/>
  <c r="AI71" i="75"/>
  <c r="H72" i="75"/>
  <c r="X72" i="75"/>
  <c r="AN72" i="75"/>
  <c r="F73" i="75"/>
  <c r="N73" i="75"/>
  <c r="V73" i="75"/>
  <c r="AD73" i="75"/>
  <c r="AL73" i="75"/>
  <c r="C74" i="75"/>
  <c r="K74" i="75"/>
  <c r="S74" i="75"/>
  <c r="AA74" i="75"/>
  <c r="AI74" i="75"/>
  <c r="AQ74" i="75"/>
  <c r="H75" i="75"/>
  <c r="P75" i="75"/>
  <c r="T75" i="75"/>
  <c r="AB75" i="75"/>
  <c r="AJ75" i="75"/>
  <c r="N42" i="75"/>
  <c r="AD46" i="75"/>
  <c r="N51" i="75"/>
  <c r="AI52" i="75"/>
  <c r="X53" i="75"/>
  <c r="M54" i="75"/>
  <c r="AO54" i="75"/>
  <c r="K55" i="75"/>
  <c r="AA55" i="75"/>
  <c r="AQ55" i="75"/>
  <c r="P56" i="75"/>
  <c r="AF56" i="75"/>
  <c r="E57" i="75"/>
  <c r="U57" i="75"/>
  <c r="AK57" i="75"/>
  <c r="J58" i="75"/>
  <c r="Z58" i="75"/>
  <c r="AP58" i="75"/>
  <c r="O59" i="75"/>
  <c r="AE59" i="75"/>
  <c r="D60" i="75"/>
  <c r="T60" i="75"/>
  <c r="AJ60" i="75"/>
  <c r="I61" i="75"/>
  <c r="Y61" i="75"/>
  <c r="AO61" i="75"/>
  <c r="M62" i="75"/>
  <c r="W62" i="75"/>
  <c r="AH62" i="75"/>
  <c r="L63" i="75"/>
  <c r="W63" i="75"/>
  <c r="AH63" i="75"/>
  <c r="L64" i="75"/>
  <c r="W64" i="75"/>
  <c r="AG64" i="75"/>
  <c r="I65" i="75"/>
  <c r="Q65" i="75"/>
  <c r="Y65" i="75"/>
  <c r="AG65" i="75"/>
  <c r="AO65" i="75"/>
  <c r="F66" i="75"/>
  <c r="N66" i="75"/>
  <c r="V66" i="75"/>
  <c r="AD66" i="75"/>
  <c r="AL66" i="75"/>
  <c r="C67" i="75"/>
  <c r="K67" i="75"/>
  <c r="S67" i="75"/>
  <c r="AA67" i="75"/>
  <c r="AI67" i="75"/>
  <c r="AQ67" i="75"/>
  <c r="H68" i="75"/>
  <c r="P68" i="75"/>
  <c r="X68" i="75"/>
  <c r="AF68" i="75"/>
  <c r="AN68" i="75"/>
  <c r="E69" i="75"/>
  <c r="M69" i="75"/>
  <c r="U69" i="75"/>
  <c r="AC69" i="75"/>
  <c r="AK69" i="75"/>
  <c r="J70" i="75"/>
  <c r="R70" i="75"/>
  <c r="Z70" i="75"/>
  <c r="AH70" i="75"/>
  <c r="AP70" i="75"/>
  <c r="G71" i="75"/>
  <c r="O71" i="75"/>
  <c r="W71" i="75"/>
  <c r="AE71" i="75"/>
  <c r="AM71" i="75"/>
  <c r="D72" i="75"/>
  <c r="L72" i="75"/>
  <c r="T72" i="75"/>
  <c r="AB72" i="75"/>
  <c r="AJ72" i="75"/>
  <c r="AP72" i="75"/>
  <c r="D73" i="75"/>
  <c r="H73" i="75"/>
  <c r="L73" i="75"/>
  <c r="P73" i="75"/>
  <c r="T73" i="75"/>
  <c r="X73" i="75"/>
  <c r="AB73" i="75"/>
  <c r="AF73" i="75"/>
  <c r="AJ73" i="75"/>
  <c r="AN73" i="75"/>
  <c r="E74" i="75"/>
  <c r="I74" i="75"/>
  <c r="M74" i="75"/>
  <c r="Q74" i="75"/>
  <c r="U74" i="75"/>
  <c r="Y74" i="75"/>
  <c r="AC74" i="75"/>
  <c r="AG74" i="75"/>
  <c r="AK74" i="75"/>
  <c r="AO74" i="75"/>
  <c r="F75" i="75"/>
  <c r="J75" i="75"/>
  <c r="N75" i="75"/>
  <c r="R75" i="75"/>
  <c r="V75" i="75"/>
  <c r="Z75" i="75"/>
  <c r="AD75" i="75"/>
  <c r="AH75" i="75"/>
  <c r="AL75" i="75"/>
  <c r="AP75" i="75"/>
  <c r="AQ47" i="75"/>
  <c r="AD51" i="75"/>
  <c r="AG53" i="75"/>
  <c r="N55" i="75"/>
  <c r="C56" i="75"/>
  <c r="S56" i="75"/>
  <c r="X57" i="75"/>
  <c r="M58" i="75"/>
  <c r="AC58" i="75"/>
  <c r="AH59" i="75"/>
  <c r="W60" i="75"/>
  <c r="L61" i="75"/>
  <c r="Y62" i="75"/>
  <c r="C63" i="75"/>
  <c r="X63" i="75"/>
  <c r="C64" i="75"/>
  <c r="M64" i="75"/>
  <c r="AI64" i="75"/>
  <c r="J65" i="75"/>
  <c r="R65" i="75"/>
  <c r="AH65" i="75"/>
  <c r="G66" i="75"/>
  <c r="W66" i="75"/>
  <c r="AM66" i="75"/>
  <c r="L67" i="75"/>
  <c r="AB67" i="75"/>
  <c r="Y68" i="75"/>
  <c r="AO68" i="75"/>
  <c r="N69" i="75"/>
  <c r="AL69" i="75"/>
  <c r="K70" i="75"/>
  <c r="S70" i="75"/>
  <c r="AI70" i="75"/>
  <c r="H71" i="75"/>
  <c r="X71" i="75"/>
  <c r="AN71" i="75"/>
  <c r="M72" i="75"/>
  <c r="AC72" i="75"/>
  <c r="M73" i="75"/>
  <c r="U73" i="75"/>
  <c r="AC73" i="75"/>
  <c r="AK73" i="75"/>
  <c r="J74" i="75"/>
  <c r="R74" i="75"/>
  <c r="Z74" i="75"/>
  <c r="AH74" i="75"/>
  <c r="AP74" i="75"/>
  <c r="G75" i="75"/>
  <c r="O75" i="75"/>
  <c r="W75" i="75"/>
  <c r="AA75" i="75"/>
  <c r="AI75" i="75"/>
  <c r="AQ75" i="75"/>
  <c r="H53" i="75"/>
  <c r="AN56" i="75"/>
  <c r="AC57" i="75"/>
  <c r="R58" i="75"/>
  <c r="G59" i="75"/>
  <c r="AM59" i="75"/>
  <c r="AB60" i="75"/>
  <c r="Q61" i="75"/>
  <c r="F62" i="75"/>
  <c r="R62" i="75"/>
  <c r="G63" i="75"/>
  <c r="AB63" i="75"/>
  <c r="G64" i="75"/>
  <c r="AB64" i="75"/>
  <c r="E65" i="75"/>
  <c r="U65" i="75"/>
  <c r="AK65" i="75"/>
  <c r="J66" i="75"/>
  <c r="Z66" i="75"/>
  <c r="AP66" i="75"/>
  <c r="O67" i="75"/>
  <c r="AE67" i="75"/>
  <c r="D68" i="75"/>
  <c r="T68" i="75"/>
  <c r="AJ68" i="75"/>
  <c r="I69" i="75"/>
  <c r="Y69" i="75"/>
  <c r="AO69" i="75"/>
  <c r="N70" i="75"/>
  <c r="V70" i="75"/>
  <c r="AL70" i="75"/>
  <c r="K71" i="75"/>
  <c r="AA71" i="75"/>
  <c r="AQ71" i="75"/>
  <c r="P72" i="75"/>
  <c r="AF72" i="75"/>
  <c r="J73" i="75"/>
  <c r="R73" i="75"/>
  <c r="Z73" i="75"/>
  <c r="AH73" i="75"/>
  <c r="AP73" i="75"/>
  <c r="G74" i="75"/>
  <c r="O74" i="75"/>
  <c r="W74" i="75"/>
  <c r="AE74" i="75"/>
  <c r="AM74" i="75"/>
  <c r="D75" i="75"/>
  <c r="L75" i="75"/>
  <c r="X75" i="75"/>
  <c r="AF75" i="75"/>
  <c r="AN75" i="75"/>
  <c r="E12" i="88"/>
  <c r="F12" i="88" s="1"/>
  <c r="F15" i="88" s="1"/>
  <c r="E39" i="3"/>
  <c r="J43" i="3" s="1"/>
  <c r="O43" i="3" s="1"/>
  <c r="H20" i="4"/>
  <c r="A6" i="70"/>
  <c r="A6" i="90"/>
  <c r="H16" i="4"/>
  <c r="A6" i="54"/>
  <c r="A6" i="53"/>
  <c r="A6" i="51"/>
  <c r="A6" i="49"/>
  <c r="A6" i="47"/>
  <c r="A6" i="43"/>
  <c r="A6" i="42"/>
  <c r="A6" i="23"/>
  <c r="A6" i="19"/>
  <c r="A6" i="41"/>
  <c r="D22" i="9"/>
  <c r="F16" i="9"/>
  <c r="D22" i="8"/>
  <c r="A6" i="8" s="1"/>
  <c r="F16" i="8"/>
  <c r="D21" i="7"/>
  <c r="A6" i="7" s="1"/>
  <c r="A6" i="34"/>
  <c r="A6" i="33"/>
  <c r="A6" i="22"/>
  <c r="A6" i="92"/>
  <c r="A6" i="68"/>
  <c r="A6" i="66"/>
  <c r="A6" i="2"/>
  <c r="A6" i="57"/>
  <c r="K36" i="7"/>
  <c r="K38" i="7"/>
  <c r="L38" i="7"/>
  <c r="A6" i="65"/>
  <c r="A6" i="20"/>
  <c r="A6" i="45"/>
  <c r="A6" i="48"/>
  <c r="A6" i="50"/>
  <c r="A6" i="31"/>
  <c r="A6" i="6"/>
  <c r="F15" i="7"/>
  <c r="A6" i="44"/>
  <c r="A6" i="52"/>
  <c r="A6" i="46"/>
  <c r="A6" i="38"/>
  <c r="C77" i="75" l="1"/>
  <c r="AS70" i="75" s="1"/>
  <c r="F16" i="88"/>
  <c r="A6" i="88" s="1"/>
  <c r="J44" i="3"/>
  <c r="O44" i="3" s="1"/>
  <c r="J40" i="3"/>
  <c r="O40" i="3" s="1"/>
  <c r="J41" i="3"/>
  <c r="O41" i="3" s="1"/>
  <c r="J42" i="3"/>
  <c r="O42" i="3" s="1"/>
  <c r="T78" i="75" l="1"/>
  <c r="N78" i="75"/>
  <c r="K78" i="75"/>
  <c r="AS57" i="75"/>
  <c r="AS66" i="75"/>
  <c r="AS38" i="75"/>
  <c r="F78" i="75"/>
  <c r="AS47" i="75"/>
  <c r="AS48" i="75"/>
  <c r="AN78" i="75"/>
  <c r="AS37" i="75"/>
  <c r="AA78" i="75"/>
  <c r="G78" i="75"/>
  <c r="AB78" i="75"/>
  <c r="AS58" i="75"/>
  <c r="AS52" i="75"/>
  <c r="W78" i="75"/>
  <c r="AS64" i="75"/>
  <c r="M78" i="75"/>
  <c r="AP78" i="75"/>
  <c r="D78" i="75"/>
  <c r="AJ78" i="75"/>
  <c r="AD78" i="75"/>
  <c r="O78" i="75"/>
  <c r="AM78" i="75"/>
  <c r="AS73" i="75"/>
  <c r="I78" i="75"/>
  <c r="AS50" i="75"/>
  <c r="AS68" i="75"/>
  <c r="AS39" i="75"/>
  <c r="E78" i="75"/>
  <c r="R78" i="75"/>
  <c r="AS46" i="75"/>
  <c r="AS61" i="75"/>
  <c r="AO78" i="75"/>
  <c r="AS67" i="75"/>
  <c r="AS71" i="75"/>
  <c r="AS74" i="75"/>
  <c r="P78" i="75"/>
  <c r="AC78" i="75"/>
  <c r="AS54" i="75"/>
  <c r="Q78" i="75"/>
  <c r="C78" i="75"/>
  <c r="AS53" i="75"/>
  <c r="AS59" i="75"/>
  <c r="AS56" i="75"/>
  <c r="Y78" i="75"/>
  <c r="AS45" i="75"/>
  <c r="AS75" i="75"/>
  <c r="H78" i="75"/>
  <c r="U78" i="75"/>
  <c r="AH78" i="75"/>
  <c r="AE78" i="75"/>
  <c r="AS60" i="75"/>
  <c r="AL78" i="75"/>
  <c r="AS51" i="75"/>
  <c r="V78" i="75"/>
  <c r="AS49" i="75"/>
  <c r="AF78" i="75"/>
  <c r="J78" i="75"/>
  <c r="AS62" i="75"/>
  <c r="AS35" i="75"/>
  <c r="AG78" i="75"/>
  <c r="AS36" i="75"/>
  <c r="S78" i="75"/>
  <c r="AS69" i="75"/>
  <c r="L78" i="75"/>
  <c r="AS41" i="75"/>
  <c r="AS44" i="75"/>
  <c r="AS55" i="75"/>
  <c r="X78" i="75"/>
  <c r="AK78" i="75"/>
  <c r="AS40" i="75"/>
  <c r="AI78" i="75"/>
  <c r="AS63" i="75"/>
  <c r="AQ78" i="75"/>
  <c r="AS72" i="75"/>
  <c r="AS43" i="75"/>
  <c r="AS65" i="75"/>
  <c r="AS42" i="75"/>
  <c r="Z78" i="75"/>
  <c r="C81" i="75" l="1"/>
  <c r="L2" i="75" s="1"/>
  <c r="M2" i="75" s="1"/>
  <c r="C80" i="75"/>
  <c r="L3" i="75" s="1"/>
  <c r="M3" i="75" s="1"/>
  <c r="A6" i="75" l="1"/>
  <c r="M9" i="57"/>
  <c r="N9" i="57"/>
</calcChain>
</file>

<file path=xl/sharedStrings.xml><?xml version="1.0" encoding="utf-8"?>
<sst xmlns="http://schemas.openxmlformats.org/spreadsheetml/2006/main" count="2261" uniqueCount="340">
  <si>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</si>
  <si>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</si>
  <si>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</si>
  <si>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</si>
  <si>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</si>
  <si>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</si>
  <si>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</si>
  <si>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</si>
  <si>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</si>
  <si>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</si>
  <si>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</si>
  <si>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</si>
  <si>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</si>
  <si>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</si>
  <si>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</si>
  <si>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</si>
  <si>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</si>
  <si>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</si>
  <si>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</si>
  <si>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</si>
  <si>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</si>
  <si>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</si>
  <si>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</si>
  <si>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</si>
  <si>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</si>
  <si>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</si>
  <si>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</si>
  <si>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</si>
  <si>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</si>
  <si>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</si>
  <si>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</si>
  <si>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</si>
  <si>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</si>
  <si>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</si>
  <si>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</si>
  <si>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</si>
  <si>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</si>
  <si>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</si>
  <si>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</si>
  <si>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</si>
  <si>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</si>
  <si>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</si>
  <si>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</si>
  <si>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</si>
  <si>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</si>
  <si>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</si>
  <si>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</si>
  <si>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</si>
  <si>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</si>
  <si>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</si>
  <si>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</si>
  <si>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</si>
  <si>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</si>
  <si>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</si>
  <si>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</si>
  <si>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</si>
  <si>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</si>
  <si>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</si>
  <si>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</si>
  <si>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</si>
  <si>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</si>
  <si>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</si>
  <si>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</si>
  <si>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</si>
  <si>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</si>
  <si>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</si>
  <si>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</si>
  <si>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</si>
  <si>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</si>
  <si>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</si>
  <si>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</si>
  <si>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</si>
  <si>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</si>
  <si>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</si>
  <si>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</si>
  <si>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</si>
  <si>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</si>
  <si>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</si>
  <si>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</si>
  <si>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</si>
  <si>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</si>
  <si>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</si>
  <si>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</si>
  <si>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</si>
  <si>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</si>
  <si>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</si>
  <si>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</si>
  <si>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</si>
  <si>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</si>
  <si>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</si>
  <si>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</si>
  <si>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</si>
  <si>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</si>
  <si>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</si>
  <si>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</si>
  <si>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</si>
  <si>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</si>
  <si>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</si>
  <si>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</si>
  <si>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</si>
  <si>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</si>
  <si>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</si>
  <si>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</si>
  <si>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</si>
  <si>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</si>
  <si>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</si>
  <si>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</si>
  <si>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</si>
  <si>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</si>
  <si>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</si>
  <si>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</si>
  <si>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</si>
  <si>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</si>
  <si>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</si>
  <si>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</si>
  <si>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</si>
  <si>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</si>
  <si>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</si>
  <si>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</si>
  <si>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</si>
  <si>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</si>
  <si>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</si>
  <si>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</si>
  <si>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</si>
  <si>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</si>
  <si>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</si>
  <si>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</si>
  <si>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</si>
  <si>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</si>
  <si>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</si>
  <si>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</si>
  <si>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</si>
  <si>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</si>
  <si>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</si>
  <si>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</si>
  <si>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</si>
  <si>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</si>
  <si>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</si>
  <si>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</si>
  <si>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</si>
  <si>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</si>
  <si>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</si>
  <si>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</si>
  <si>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</si>
  <si>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</si>
  <si>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</si>
  <si>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</si>
  <si>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</si>
  <si>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</si>
  <si>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</si>
  <si>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</si>
  <si>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</si>
  <si>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</si>
  <si>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</si>
  <si>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</si>
  <si>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</si>
  <si>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</si>
  <si>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</si>
  <si>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</si>
  <si>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</si>
  <si>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</si>
  <si>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</si>
  <si>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</si>
  <si>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</si>
  <si>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</si>
  <si>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</si>
  <si>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</si>
  <si>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</si>
  <si>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</si>
  <si>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</si>
  <si>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</si>
  <si>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</si>
  <si>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</si>
  <si>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</si>
  <si>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</si>
  <si>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</si>
  <si>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</si>
  <si>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</si>
  <si>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</si>
  <si>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</si>
  <si>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</si>
  <si>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</si>
  <si>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</si>
  <si>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</si>
  <si>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</si>
  <si>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</si>
  <si>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</si>
  <si>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</si>
  <si>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</si>
  <si>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</si>
  <si>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</si>
  <si>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</si>
  <si>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</si>
  <si>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</si>
  <si>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</si>
  <si>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</si>
  <si>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</si>
  <si>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</si>
  <si>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</si>
  <si>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</si>
  <si>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</si>
  <si>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</si>
  <si>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</si>
  <si>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</si>
  <si>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</si>
  <si>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</si>
  <si>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</si>
  <si>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</si>
  <si>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</si>
  <si>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</si>
  <si>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</si>
  <si>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</si>
  <si>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</si>
  <si>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</si>
  <si>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</si>
  <si>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</si>
  <si>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</si>
  <si>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</si>
  <si>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</si>
  <si>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</si>
  <si>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</si>
  <si>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</si>
  <si>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</si>
  <si>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</si>
  <si>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</si>
  <si>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</si>
  <si>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</si>
  <si>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</si>
  <si>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</si>
  <si>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</si>
  <si>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</si>
  <si>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</si>
  <si>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</si>
  <si>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</si>
  <si>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</si>
  <si>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</si>
  <si>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</si>
  <si>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</si>
  <si>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</si>
  <si>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</si>
  <si>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</si>
  <si>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</si>
  <si>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</si>
  <si>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</si>
  <si>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</si>
  <si>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</si>
  <si>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</si>
  <si>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</si>
  <si>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</si>
  <si>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</si>
  <si>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</si>
  <si>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</si>
  <si>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</si>
  <si>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</si>
  <si>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</si>
  <si>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</si>
  <si>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</si>
  <si>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</si>
  <si>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</si>
  <si>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</si>
  <si>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</si>
  <si>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</si>
  <si>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</si>
  <si>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</si>
  <si>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</si>
  <si>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</si>
  <si>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</si>
  <si>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</si>
  <si>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</si>
  <si>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</si>
  <si>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</si>
  <si>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</si>
  <si>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</si>
  <si>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</si>
  <si>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</si>
  <si>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</si>
  <si>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</si>
  <si>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</si>
  <si>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</si>
  <si>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</si>
  <si>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</si>
  <si>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</si>
  <si>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</si>
  <si>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</si>
  <si>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</si>
  <si>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</si>
  <si>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</si>
  <si>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</si>
  <si>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</si>
  <si>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</si>
  <si>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</si>
  <si>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</si>
  <si>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</si>
  <si>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</si>
  <si>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</si>
  <si>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</si>
  <si>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</si>
  <si>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</si>
  <si>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</si>
  <si>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</si>
  <si>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</si>
  <si>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</si>
  <si>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</si>
  <si>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</si>
  <si>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</si>
  <si>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</si>
  <si>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</si>
  <si>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</si>
  <si>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</si>
  <si>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</si>
  <si>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</si>
  <si>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</si>
  <si>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</si>
  <si>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</si>
  <si>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</si>
  <si>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</si>
  <si>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</si>
  <si>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</si>
  <si>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</si>
  <si>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</si>
  <si>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</si>
  <si>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</si>
  <si>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</si>
  <si>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</si>
  <si>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</si>
  <si>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</si>
  <si>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</si>
  <si>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</si>
  <si>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</si>
  <si>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</si>
  <si>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</si>
  <si>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</si>
  <si>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</si>
  <si>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</si>
  <si>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</si>
  <si>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</si>
  <si>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</si>
  <si>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NA</t>
  </si>
  <si>
    <t>FAIL*</t>
  </si>
  <si>
    <t>PASS*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</si>
</sst>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7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87389168"/>
        <c:axId val="387386424"/>
        <c:axId val="441286472"/>
      </c:surface3DChart>
      <c:catAx>
        <c:axId val="387389168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386424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87386424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389168"/>
        <c:crosses val="min"/>
        <c:crossBetween val="between"/>
        <c:majorUnit val="0.1"/>
      </c:valAx>
      <c:serAx>
        <c:axId val="441286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386424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2</c:v>
                </c:pt>
                <c:pt idx="7">
                  <c:v>0</c:v>
                </c:pt>
                <c:pt idx="9">
                  <c:v>2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3">
                  <c:v>1</c:v>
                </c:pt>
                <c:pt idx="4">
                  <c:v>0</c:v>
                </c:pt>
                <c:pt idx="6">
                  <c:v>1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389560"/>
        <c:axId val="387390736"/>
      </c:scatterChart>
      <c:valAx>
        <c:axId val="387389560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390736"/>
        <c:crosses val="autoZero"/>
        <c:crossBetween val="midCat"/>
        <c:majorUnit val="0.5"/>
      </c:valAx>
      <c:valAx>
        <c:axId val="387390736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389560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388776"/>
        <c:axId val="387394656"/>
      </c:scatterChart>
      <c:valAx>
        <c:axId val="387388776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394656"/>
        <c:crosses val="autoZero"/>
        <c:crossBetween val="midCat"/>
        <c:majorUnit val="1"/>
      </c:valAx>
      <c:valAx>
        <c:axId val="38739465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388776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155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156" name="OpenSolver2"/>
        <xdr:cNvSpPr/>
      </xdr:nvSpPr>
      <xdr:spPr>
        <a:xfrm>
          <a:off x="77533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157" name="OpenSolver3"/>
        <xdr:cNvSpPr/>
      </xdr:nvSpPr>
      <xdr:spPr>
        <a:xfrm>
          <a:off x="60579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58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159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60" name="OpenSolver6"/>
        <xdr:cNvSpPr/>
      </xdr:nvSpPr>
      <xdr:spPr>
        <a:xfrm>
          <a:off x="3067050" y="1552575"/>
          <a:ext cx="15906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61" name="OpenSolver7"/>
        <xdr:cNvSpPr/>
      </xdr:nvSpPr>
      <xdr:spPr>
        <a:xfrm>
          <a:off x="485775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162" name="OpenSolver8"/>
        <xdr:cNvCxnSpPr>
          <a:stCxn id="160" idx="3"/>
          <a:endCxn id="161" idx="1"/>
        </xdr:cNvCxnSpPr>
      </xdr:nvCxnSpPr>
      <xdr:spPr>
        <a:xfrm>
          <a:off x="46577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163" name="OpenSolver9"/>
        <xdr:cNvSpPr/>
      </xdr:nvSpPr>
      <xdr:spPr>
        <a:xfrm>
          <a:off x="45672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64" name="OpenSolver10"/>
        <xdr:cNvSpPr/>
      </xdr:nvSpPr>
      <xdr:spPr>
        <a:xfrm>
          <a:off x="3067050" y="1952625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5" name="OpenSolver11"/>
        <xdr:cNvSpPr/>
      </xdr:nvSpPr>
      <xdr:spPr>
        <a:xfrm>
          <a:off x="4857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66" name="OpenSolver12"/>
        <xdr:cNvCxnSpPr>
          <a:stCxn id="164" idx="3"/>
          <a:endCxn id="165" idx="1"/>
        </xdr:cNvCxnSpPr>
      </xdr:nvCxnSpPr>
      <xdr:spPr>
        <a:xfrm>
          <a:off x="46577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67" name="OpenSolver13"/>
        <xdr:cNvSpPr/>
      </xdr:nvSpPr>
      <xdr:spPr>
        <a:xfrm>
          <a:off x="4567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68" name="OpenSolver14"/>
        <xdr:cNvSpPr/>
      </xdr:nvSpPr>
      <xdr:spPr>
        <a:xfrm>
          <a:off x="3067050" y="2143125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169" name="OpenSolver15"/>
        <xdr:cNvSpPr/>
      </xdr:nvSpPr>
      <xdr:spPr>
        <a:xfrm>
          <a:off x="485775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170" name="OpenSolver16"/>
        <xdr:cNvCxnSpPr>
          <a:stCxn id="168" idx="3"/>
          <a:endCxn id="169" idx="1"/>
        </xdr:cNvCxnSpPr>
      </xdr:nvCxnSpPr>
      <xdr:spPr>
        <a:xfrm>
          <a:off x="46577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171" name="OpenSolver17"/>
        <xdr:cNvSpPr/>
      </xdr:nvSpPr>
      <xdr:spPr>
        <a:xfrm>
          <a:off x="45672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172" name="OpenSolver18"/>
        <xdr:cNvSpPr/>
      </xdr:nvSpPr>
      <xdr:spPr>
        <a:xfrm>
          <a:off x="84296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173" name="OpenSolver19"/>
        <xdr:cNvSpPr/>
      </xdr:nvSpPr>
      <xdr:spPr>
        <a:xfrm>
          <a:off x="88963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174" name="OpenSolver20"/>
        <xdr:cNvCxnSpPr>
          <a:stCxn id="172" idx="3"/>
          <a:endCxn id="173" idx="1"/>
        </xdr:cNvCxnSpPr>
      </xdr:nvCxnSpPr>
      <xdr:spPr>
        <a:xfrm>
          <a:off x="86963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175" name="OpenSolver21"/>
        <xdr:cNvSpPr/>
      </xdr:nvSpPr>
      <xdr:spPr>
        <a:xfrm>
          <a:off x="86058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176" name="OpenSolver22"/>
        <xdr:cNvSpPr/>
      </xdr:nvSpPr>
      <xdr:spPr>
        <a:xfrm>
          <a:off x="77533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177" name="OpenSolver23"/>
        <xdr:cNvSpPr/>
      </xdr:nvSpPr>
      <xdr:spPr>
        <a:xfrm>
          <a:off x="77533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178" name="OpenSolver24"/>
        <xdr:cNvCxnSpPr>
          <a:stCxn id="176" idx="2"/>
          <a:endCxn id="177" idx="0"/>
        </xdr:cNvCxnSpPr>
      </xdr:nvCxnSpPr>
      <xdr:spPr>
        <a:xfrm>
          <a:off x="80914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179" name="OpenSolver25"/>
        <xdr:cNvSpPr/>
      </xdr:nvSpPr>
      <xdr:spPr>
        <a:xfrm>
          <a:off x="79009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80" name="OpenSolverI10"/>
        <xdr:cNvSpPr/>
      </xdr:nvSpPr>
      <xdr:spPr>
        <a:xfrm>
          <a:off x="3067050" y="1752600"/>
          <a:ext cx="15906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81" name="OpenSolver27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82" name="OpenSolver28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83" name="OpenSolver29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4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5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7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5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7" name="OpenSolver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8" name="OpenSolver12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9" name="OpenSolver13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1" name="OpenSolver15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" name="OpenSolver4"/>
        <xdr:cNvCxnSpPr>
          <a:stCxn id="3" idx="3"/>
          <a:endCxn id="4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6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0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1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2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4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4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15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6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7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19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0" name="OpenSolver8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23" name="OpenSolver11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4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6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7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8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39" name="OpenSolver6"/>
        <xdr:cNvCxnSpPr>
          <a:stCxn id="37" idx="3"/>
          <a:endCxn id="38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40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1" name="OpenSolverD5:F5"/>
        <xdr:cNvSpPr/>
      </xdr:nvSpPr>
      <xdr:spPr>
        <a:xfrm>
          <a:off x="2247900" y="781050"/>
          <a:ext cx="12001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620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17463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7" name="OpenSolver6"/>
        <xdr:cNvCxnSpPr>
          <a:stCxn id="5" idx="2"/>
          <a:endCxn id="6" idx="0"/>
        </xdr:cNvCxnSpPr>
      </xdr:nvCxnSpPr>
      <xdr:spPr>
        <a:xfrm>
          <a:off x="2941638" y="971550"/>
          <a:ext cx="153987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580232</xdr:colOff>
      <xdr:row>4</xdr:row>
      <xdr:rowOff>163513</xdr:rowOff>
    </xdr:from>
    <xdr:to>
      <xdr:col>4</xdr:col>
      <xdr:colOff>284957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2828132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1952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8152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38150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429101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1952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8152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1952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8152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38150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19"/>
        <xdr:cNvSpPr/>
      </xdr:nvSpPr>
      <xdr:spPr>
        <a:xfrm>
          <a:off x="429101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13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14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60600" y="793750"/>
          <a:ext cx="134302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4</xdr:col>
      <xdr:colOff>169863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932113" y="971550"/>
          <a:ext cx="73025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15876</xdr:colOff>
      <xdr:row>4</xdr:row>
      <xdr:rowOff>163513</xdr:rowOff>
    </xdr:from>
    <xdr:to>
      <xdr:col>4</xdr:col>
      <xdr:colOff>396876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778126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800475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562475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271963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800475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562475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800475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562475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4288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271963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1" name="OpenSolver20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2" name="OpenSolver21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26" name="OpenSolver6"/>
        <xdr:cNvCxnSpPr>
          <a:stCxn id="24" idx="2"/>
          <a:endCxn id="25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27" name="OpenSolver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8"/>
        <xdr:cNvSpPr/>
      </xdr:nvSpPr>
      <xdr:spPr>
        <a:xfrm>
          <a:off x="38100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9"/>
        <xdr:cNvSpPr/>
      </xdr:nvSpPr>
      <xdr:spPr>
        <a:xfrm>
          <a:off x="45720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3719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1"/>
        <xdr:cNvSpPr/>
      </xdr:nvSpPr>
      <xdr:spPr>
        <a:xfrm>
          <a:off x="42814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8100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5720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35" name="OpenSolver15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6" name="OpenSolver16"/>
        <xdr:cNvSpPr/>
      </xdr:nvSpPr>
      <xdr:spPr>
        <a:xfrm>
          <a:off x="3810000" y="2524125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7" name="OpenSolver17"/>
        <xdr:cNvSpPr/>
      </xdr:nvSpPr>
      <xdr:spPr>
        <a:xfrm>
          <a:off x="4572000" y="2524125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8" name="OpenSolver18"/>
        <xdr:cNvCxnSpPr>
          <a:stCxn id="36" idx="3"/>
          <a:endCxn id="37" idx="1"/>
        </xdr:cNvCxnSpPr>
      </xdr:nvCxnSpPr>
      <xdr:spPr>
        <a:xfrm>
          <a:off x="4371975" y="2619375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39" name="OpenSolver19"/>
        <xdr:cNvSpPr/>
      </xdr:nvSpPr>
      <xdr:spPr>
        <a:xfrm>
          <a:off x="4281488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48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9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0" name="OpenSolver4"/>
        <xdr:cNvSpPr/>
      </xdr:nvSpPr>
      <xdr:spPr>
        <a:xfrm>
          <a:off x="3657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1" name="OpenSolver5"/>
        <xdr:cNvSpPr/>
      </xdr:nvSpPr>
      <xdr:spPr>
        <a:xfrm>
          <a:off x="4419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219575" y="2047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3" name="OpenSolver7"/>
        <xdr:cNvSpPr/>
      </xdr:nvSpPr>
      <xdr:spPr>
        <a:xfrm>
          <a:off x="4129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4" name="OpenSolver8"/>
        <xdr:cNvSpPr/>
      </xdr:nvSpPr>
      <xdr:spPr>
        <a:xfrm>
          <a:off x="3657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5" name="OpenSolver9"/>
        <xdr:cNvSpPr/>
      </xdr:nvSpPr>
      <xdr:spPr>
        <a:xfrm>
          <a:off x="4419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7" name="OpenSolver11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8" name="OpenSolver12"/>
        <xdr:cNvSpPr/>
      </xdr:nvSpPr>
      <xdr:spPr>
        <a:xfrm>
          <a:off x="3657600" y="2333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59" name="OpenSolver13"/>
        <xdr:cNvSpPr/>
      </xdr:nvSpPr>
      <xdr:spPr>
        <a:xfrm>
          <a:off x="4419600" y="2333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219575" y="2428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1" name="OpenSolver15"/>
        <xdr:cNvSpPr/>
      </xdr:nvSpPr>
      <xdr:spPr>
        <a:xfrm>
          <a:off x="41290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12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4668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4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6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10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4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19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20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22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24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26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27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28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6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8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9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0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1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2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43" name="OpenSolver6"/>
        <xdr:cNvCxnSpPr>
          <a:stCxn id="41" idx="3"/>
          <a:endCxn id="42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44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5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6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7" name="OpenSolver10"/>
        <xdr:cNvCxnSpPr>
          <a:stCxn id="45" idx="3"/>
          <a:endCxn id="46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8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9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0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1" name="OpenSolver14"/>
        <xdr:cNvCxnSpPr>
          <a:stCxn id="49" idx="3"/>
          <a:endCxn id="50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2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3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7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8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64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5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66" name="OpenSolver14"/>
        <xdr:cNvCxnSpPr>
          <a:stCxn id="64" idx="3"/>
          <a:endCxn id="65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67" name="OpenSolver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8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69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70" name="OpenSolver18"/>
        <xdr:cNvCxnSpPr>
          <a:stCxn id="68" idx="3"/>
          <a:endCxn id="69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71" name="OpenSolver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7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8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9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0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1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53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54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5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57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58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9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61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4" name="OpenSolver1"/>
        <xdr:cNvSpPr/>
      </xdr:nvSpPr>
      <xdr:spPr>
        <a:xfrm>
          <a:off x="1790700" y="2524125"/>
          <a:ext cx="295275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15" name="OpenSolver2"/>
        <xdr:cNvSpPr/>
      </xdr:nvSpPr>
      <xdr:spPr>
        <a:xfrm>
          <a:off x="5334000" y="3857625"/>
          <a:ext cx="5905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6" name="OpenSolver3"/>
        <xdr:cNvSpPr/>
      </xdr:nvSpPr>
      <xdr:spPr>
        <a:xfrm>
          <a:off x="1790700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577850</xdr:colOff>
      <xdr:row>18</xdr:row>
      <xdr:rowOff>117475</xdr:rowOff>
    </xdr:from>
    <xdr:to>
      <xdr:col>3</xdr:col>
      <xdr:colOff>218389</xdr:colOff>
      <xdr:row>19</xdr:row>
      <xdr:rowOff>53975</xdr:rowOff>
    </xdr:to>
    <xdr:sp macro="" textlink="">
      <xdr:nvSpPr>
        <xdr:cNvPr id="17" name="OpenSolver4"/>
        <xdr:cNvSpPr/>
      </xdr:nvSpPr>
      <xdr:spPr>
        <a:xfrm>
          <a:off x="1778000" y="3594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8" name="OpenSolver5"/>
        <xdr:cNvSpPr/>
      </xdr:nvSpPr>
      <xdr:spPr>
        <a:xfrm>
          <a:off x="474345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9" name="OpenSolver6"/>
        <xdr:cNvSpPr/>
      </xdr:nvSpPr>
      <xdr:spPr>
        <a:xfrm>
          <a:off x="5334000" y="2524125"/>
          <a:ext cx="5905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20" name="OpenSolver7"/>
        <xdr:cNvCxnSpPr>
          <a:stCxn id="18" idx="3"/>
          <a:endCxn id="19" idx="1"/>
        </xdr:cNvCxnSpPr>
      </xdr:nvCxnSpPr>
      <xdr:spPr>
        <a:xfrm>
          <a:off x="5334000" y="2809875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400050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21" name="OpenSolver8"/>
        <xdr:cNvSpPr/>
      </xdr:nvSpPr>
      <xdr:spPr>
        <a:xfrm>
          <a:off x="514350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9"/>
        <xdr:cNvSpPr/>
      </xdr:nvSpPr>
      <xdr:spPr>
        <a:xfrm>
          <a:off x="1790700" y="30956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3" name="OpenSolver10"/>
        <xdr:cNvSpPr/>
      </xdr:nvSpPr>
      <xdr:spPr>
        <a:xfrm>
          <a:off x="1790700" y="3286125"/>
          <a:ext cx="29527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295275</xdr:colOff>
      <xdr:row>17</xdr:row>
      <xdr:rowOff>0</xdr:rowOff>
    </xdr:from>
    <xdr:to>
      <xdr:col>5</xdr:col>
      <xdr:colOff>295275</xdr:colOff>
      <xdr:row>17</xdr:row>
      <xdr:rowOff>0</xdr:rowOff>
    </xdr:to>
    <xdr:cxnSp macro="">
      <xdr:nvCxnSpPr>
        <xdr:cNvPr id="24" name="OpenSolver11"/>
        <xdr:cNvCxnSpPr>
          <a:stCxn id="22" idx="2"/>
          <a:endCxn id="23" idx="0"/>
        </xdr:cNvCxnSpPr>
      </xdr:nvCxnSpPr>
      <xdr:spPr>
        <a:xfrm>
          <a:off x="3267075" y="3286125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104775</xdr:colOff>
      <xdr:row>16</xdr:row>
      <xdr:rowOff>63500</xdr:rowOff>
    </xdr:from>
    <xdr:to>
      <xdr:col>5</xdr:col>
      <xdr:colOff>485775</xdr:colOff>
      <xdr:row>17</xdr:row>
      <xdr:rowOff>127000</xdr:rowOff>
    </xdr:to>
    <xdr:sp macro="" textlink="">
      <xdr:nvSpPr>
        <xdr:cNvPr id="25" name="OpenSolver12"/>
        <xdr:cNvSpPr/>
      </xdr:nvSpPr>
      <xdr:spPr>
        <a:xfrm>
          <a:off x="3076575" y="3159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13</xdr:row>
      <xdr:rowOff>12700</xdr:rowOff>
    </xdr:from>
    <xdr:to>
      <xdr:col>8</xdr:col>
      <xdr:colOff>12700</xdr:colOff>
      <xdr:row>16</xdr:row>
      <xdr:rowOff>0</xdr:rowOff>
    </xdr:to>
    <xdr:sp macro="" textlink="">
      <xdr:nvSpPr>
        <xdr:cNvPr id="38" name="OpenSolverD14:H16"/>
        <xdr:cNvSpPr/>
      </xdr:nvSpPr>
      <xdr:spPr>
        <a:xfrm>
          <a:off x="1803400" y="2536825"/>
          <a:ext cx="2952750" cy="55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0≤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9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0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31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32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3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34" name="OpenSolver6"/>
        <xdr:cNvCxnSpPr>
          <a:stCxn id="32" idx="3"/>
          <a:endCxn id="33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35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36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38" name="OpenSolver10"/>
        <xdr:cNvCxnSpPr>
          <a:stCxn id="36" idx="3"/>
          <a:endCxn id="37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39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40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1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42" name="OpenSolver14"/>
        <xdr:cNvCxnSpPr>
          <a:stCxn id="40" idx="3"/>
          <a:endCxn id="41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43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9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0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11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2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3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14" name="OpenSolver6"/>
        <xdr:cNvCxnSpPr>
          <a:stCxn id="12" idx="3"/>
          <a:endCxn id="13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15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7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28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29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30" name="OpenSolver4"/>
        <xdr:cNvSpPr/>
      </xdr:nvSpPr>
      <xdr:spPr>
        <a:xfrm>
          <a:off x="9280525" y="1765300"/>
          <a:ext cx="5905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31" name="OpenSolver5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9</xdr:row>
      <xdr:rowOff>195263</xdr:rowOff>
    </xdr:from>
    <xdr:to>
      <xdr:col>20</xdr:col>
      <xdr:colOff>0</xdr:colOff>
      <xdr:row>10</xdr:row>
      <xdr:rowOff>1588</xdr:rowOff>
    </xdr:to>
    <xdr:cxnSp macro="">
      <xdr:nvCxnSpPr>
        <xdr:cNvPr id="105472" name="OpenSolver6"/>
        <xdr:cNvCxnSpPr>
          <a:stCxn id="30" idx="3"/>
          <a:endCxn id="31" idx="1"/>
        </xdr:cNvCxnSpPr>
      </xdr:nvCxnSpPr>
      <xdr:spPr>
        <a:xfrm flipV="1">
          <a:off x="9871075" y="1947863"/>
          <a:ext cx="5778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111125</xdr:colOff>
      <xdr:row>9</xdr:row>
      <xdr:rowOff>71438</xdr:rowOff>
    </xdr:from>
    <xdr:to>
      <xdr:col>19</xdr:col>
      <xdr:colOff>492125</xdr:colOff>
      <xdr:row>10</xdr:row>
      <xdr:rowOff>125413</xdr:rowOff>
    </xdr:to>
    <xdr:sp macro="" textlink="">
      <xdr:nvSpPr>
        <xdr:cNvPr id="105475" name="OpenSolver7"/>
        <xdr:cNvSpPr/>
      </xdr:nvSpPr>
      <xdr:spPr>
        <a:xfrm>
          <a:off x="99695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105476" name="OpenSolver8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105477" name="OpenSolver9"/>
        <xdr:cNvSpPr/>
      </xdr:nvSpPr>
      <xdr:spPr>
        <a:xfrm>
          <a:off x="9293225" y="1778000"/>
          <a:ext cx="5905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25400</xdr:colOff>
      <xdr:row>10</xdr:row>
      <xdr:rowOff>7938</xdr:rowOff>
    </xdr:to>
    <xdr:cxnSp macro="">
      <xdr:nvCxnSpPr>
        <xdr:cNvPr id="105478" name="OpenSolver10"/>
        <xdr:cNvCxnSpPr>
          <a:stCxn id="105476" idx="3"/>
          <a:endCxn id="105477" idx="1"/>
        </xdr:cNvCxnSpPr>
      </xdr:nvCxnSpPr>
      <xdr:spPr>
        <a:xfrm>
          <a:off x="8677275" y="1947863"/>
          <a:ext cx="6159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117475</xdr:colOff>
      <xdr:row>9</xdr:row>
      <xdr:rowOff>74613</xdr:rowOff>
    </xdr:from>
    <xdr:to>
      <xdr:col>17</xdr:col>
      <xdr:colOff>498475</xdr:colOff>
      <xdr:row>10</xdr:row>
      <xdr:rowOff>128588</xdr:rowOff>
    </xdr:to>
    <xdr:sp macro="" textlink="">
      <xdr:nvSpPr>
        <xdr:cNvPr id="105479" name="OpenSolver11"/>
        <xdr:cNvSpPr/>
      </xdr:nvSpPr>
      <xdr:spPr>
        <a:xfrm>
          <a:off x="87947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8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9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0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0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1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32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183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184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185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186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187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88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189" name="OpenSolver7"/>
        <xdr:cNvCxnSpPr>
          <a:stCxn id="187" idx="3"/>
          <a:endCxn id="188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190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91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92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93" name="OpenSolver11"/>
        <xdr:cNvCxnSpPr>
          <a:stCxn id="191" idx="3"/>
          <a:endCxn id="192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94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95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96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97" name="OpenSolver15"/>
        <xdr:cNvCxnSpPr>
          <a:stCxn id="195" idx="3"/>
          <a:endCxn id="196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98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99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00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1" name="OpenSolver19"/>
        <xdr:cNvCxnSpPr>
          <a:stCxn id="199" idx="2"/>
          <a:endCxn id="200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02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03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04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05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I71"/>
  <sheetViews>
    <sheetView tabSelected="1" zoomScale="85" zoomScaleNormal="85" zoomScalePageLayoutView="85" workbookViewId="0">
      <selection activeCell="I7" sqref="I7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9" s="150" customFormat="1" ht="63" customHeight="1" thickBot="1" x14ac:dyDescent="0.3">
      <c r="A1" s="152"/>
      <c r="C1" s="167" t="s">
        <v>318</v>
      </c>
      <c r="D1" s="167"/>
      <c r="E1" s="167"/>
      <c r="F1" s="167"/>
    </row>
    <row r="2" spans="1: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9" x14ac:dyDescent="0.25">
      <c r="A3" s="155" t="str">
        <f>HYPERLINK("[OpenSolver Tester.xlsm]'SimpleLP'!A1", "SimpleLP")</f>
        <v>SimpleLP</v>
      </c>
      <c r="B3" s="59" t="s">
        <v>332</v>
      </c>
      <c r="C3" s="59" t="s">
        <v>332</v>
      </c>
      <c r="D3" s="59" t="s">
        <v>332</v>
      </c>
      <c r="E3" s="59" t="s">
        <v>332</v>
      </c>
      <c r="F3" s="59" t="s">
        <v>332</v>
      </c>
      <c r="G3" s="59" t="s">
        <v>332</v>
      </c>
      <c r="H3" s="59" t="s">
        <v>332</v>
      </c>
      <c r="I3" s="59" t="s">
        <v>332</v>
      </c>
    </row>
    <row r="4" spans="1:9" x14ac:dyDescent="0.25">
      <c r="A4" s="155" t="str">
        <f>HYPERLINK("[OpenSolver Tester.xlsm]'OverlappingVars'!A1", "OverlappingVars")</f>
        <v>OverlappingVars</v>
      </c>
      <c r="B4" s="59" t="s">
        <v>332</v>
      </c>
      <c r="C4" s="59" t="s">
        <v>332</v>
      </c>
      <c r="D4" s="59" t="s">
        <v>332</v>
      </c>
      <c r="E4" s="59" t="s">
        <v>332</v>
      </c>
      <c r="F4" s="59" t="s">
        <v>332</v>
      </c>
      <c r="G4" s="59" t="s">
        <v>332</v>
      </c>
      <c r="H4" s="59" t="s">
        <v>332</v>
      </c>
      <c r="I4" s="59" t="s">
        <v>332</v>
      </c>
    </row>
    <row r="5" spans="1:9" x14ac:dyDescent="0.25">
      <c r="A5" s="155" t="str">
        <f>HYPERLINK("[OpenSolver Tester.xlsm]'BlankRHS'!A1", "BlankRHS")</f>
        <v>BlankRHS</v>
      </c>
      <c r="B5" s="59" t="s">
        <v>332</v>
      </c>
      <c r="C5" s="59" t="s">
        <v>332</v>
      </c>
      <c r="D5" s="59" t="s">
        <v>332</v>
      </c>
      <c r="E5" s="59" t="s">
        <v>332</v>
      </c>
      <c r="F5" s="59" t="s">
        <v>332</v>
      </c>
      <c r="G5" s="59" t="s">
        <v>332</v>
      </c>
      <c r="H5" s="59" t="s">
        <v>332</v>
      </c>
      <c r="I5" s="59" t="s">
        <v>332</v>
      </c>
    </row>
    <row r="6" spans="1:9" x14ac:dyDescent="0.25">
      <c r="A6" s="155" t="str">
        <f>HYPERLINK("[OpenSolver Tester.xlsm]'BlankLHS'!A1", "BlankLHS")</f>
        <v>BlankLHS</v>
      </c>
      <c r="B6" s="59" t="s">
        <v>332</v>
      </c>
      <c r="C6" s="59" t="s">
        <v>332</v>
      </c>
      <c r="D6" s="59" t="s">
        <v>332</v>
      </c>
      <c r="E6" s="59" t="s">
        <v>332</v>
      </c>
      <c r="F6" s="59" t="s">
        <v>332</v>
      </c>
      <c r="G6" s="59" t="s">
        <v>332</v>
      </c>
      <c r="H6" s="59" t="s">
        <v>332</v>
      </c>
      <c r="I6" s="59" t="s">
        <v>332</v>
      </c>
    </row>
    <row r="7" spans="1:9" x14ac:dyDescent="0.25">
      <c r="A7" s="155" t="str">
        <f>HYPERLINK("[OpenSolver Tester.xlsm]'TextRHS'!A1", "TextRHS")</f>
        <v>TextRHS</v>
      </c>
      <c r="B7" s="59" t="s">
        <v>332</v>
      </c>
      <c r="C7" s="59" t="s">
        <v>332</v>
      </c>
      <c r="D7" s="59" t="s">
        <v>332</v>
      </c>
      <c r="E7" s="59" t="s">
        <v>332</v>
      </c>
      <c r="F7" s="59" t="s">
        <v>332</v>
      </c>
      <c r="G7" s="59" t="s">
        <v>332</v>
      </c>
      <c r="H7" s="59" t="s">
        <v>332</v>
      </c>
      <c r="I7" s="59" t="s">
        <v>332</v>
      </c>
    </row>
    <row r="8" spans="1:9" x14ac:dyDescent="0.25">
      <c r="A8" s="155" t="str">
        <f>HYPERLINK("[OpenSolver Tester.xlsm]'ErrorRHS'!A1", "ErrorRHS")</f>
        <v>ErrorRHS</v>
      </c>
      <c r="B8" s="59" t="s">
        <v>332</v>
      </c>
      <c r="C8" s="59" t="s">
        <v>332</v>
      </c>
      <c r="D8" s="59" t="s">
        <v>332</v>
      </c>
      <c r="E8" s="59" t="s">
        <v>332</v>
      </c>
      <c r="F8" s="59" t="s">
        <v>332</v>
      </c>
      <c r="G8" s="59" t="s">
        <v>332</v>
      </c>
      <c r="H8" s="59" t="s">
        <v>332</v>
      </c>
      <c r="I8" s="59" t="s">
        <v>332</v>
      </c>
    </row>
    <row r="9" spans="1:9" x14ac:dyDescent="0.25">
      <c r="A9" s="155" t="str">
        <f>HYPERLINK("[OpenSolver Tester.xlsm]'ErrorLHS'!A1", "ErrorLHS")</f>
        <v>ErrorLHS</v>
      </c>
      <c r="B9" s="59" t="s">
        <v>332</v>
      </c>
      <c r="C9" s="59" t="s">
        <v>332</v>
      </c>
      <c r="D9" s="59" t="s">
        <v>332</v>
      </c>
      <c r="E9" s="59" t="s">
        <v>332</v>
      </c>
      <c r="F9" s="59" t="s">
        <v>332</v>
      </c>
      <c r="G9" s="59" t="s">
        <v>332</v>
      </c>
      <c r="H9" s="59" t="s">
        <v>332</v>
      </c>
      <c r="I9" s="59" t="s">
        <v>332</v>
      </c>
    </row>
    <row r="10" spans="1:9" x14ac:dyDescent="0.25">
      <c r="A10" s="155" t="str">
        <f>HYPERLINK("[OpenSolver Tester.xlsm]'ErrorObj'!A1", "ErrorObj")</f>
        <v>ErrorObj</v>
      </c>
      <c r="B10" s="59" t="s">
        <v>332</v>
      </c>
      <c r="C10" s="59" t="s">
        <v>332</v>
      </c>
      <c r="D10" s="59" t="s">
        <v>332</v>
      </c>
      <c r="E10" s="59" t="s">
        <v>332</v>
      </c>
      <c r="F10" s="59" t="s">
        <v>332</v>
      </c>
      <c r="G10" s="59" t="s">
        <v>332</v>
      </c>
      <c r="H10" s="59" t="s">
        <v>332</v>
      </c>
      <c r="I10" s="59" t="s">
        <v>332</v>
      </c>
    </row>
    <row r="11" spans="1:9" x14ac:dyDescent="0.25">
      <c r="A11" s="155" t="str">
        <f>HYPERLINK("[OpenSolver Tester.xlsm]'TextObj'!A1", "TextObj")</f>
        <v>TextObj</v>
      </c>
      <c r="B11" s="59" t="s">
        <v>332</v>
      </c>
      <c r="C11" s="59" t="s">
        <v>332</v>
      </c>
      <c r="D11" s="59" t="s">
        <v>332</v>
      </c>
      <c r="E11" s="59" t="s">
        <v>332</v>
      </c>
      <c r="F11" s="59" t="s">
        <v>332</v>
      </c>
      <c r="G11" s="59" t="s">
        <v>332</v>
      </c>
      <c r="H11" s="59" t="s">
        <v>332</v>
      </c>
      <c r="I11" s="59" t="s">
        <v>332</v>
      </c>
    </row>
    <row r="12" spans="1:9" x14ac:dyDescent="0.25">
      <c r="A12" s="155" t="str">
        <f>HYPERLINK("[OpenSolver Tester.xlsm]'MergedVarsSubset'!A1", "MergedVarsSubset")</f>
        <v>MergedVarsSubset</v>
      </c>
      <c r="B12" s="59" t="s">
        <v>332</v>
      </c>
      <c r="C12" s="59" t="s">
        <v>332</v>
      </c>
      <c r="D12" s="59" t="s">
        <v>332</v>
      </c>
      <c r="E12" s="59" t="s">
        <v>332</v>
      </c>
      <c r="F12" s="59" t="s">
        <v>332</v>
      </c>
      <c r="G12" s="59" t="s">
        <v>332</v>
      </c>
      <c r="H12" s="59" t="s">
        <v>332</v>
      </c>
      <c r="I12" s="59" t="s">
        <v>332</v>
      </c>
    </row>
    <row r="13" spans="1:9" x14ac:dyDescent="0.25">
      <c r="A13" s="155" t="str">
        <f>HYPERLINK("[OpenSolver Tester.xlsm]'MergedVarsOK'!A1", "MergedVarsOK")</f>
        <v>MergedVarsOK</v>
      </c>
      <c r="B13" s="59" t="s">
        <v>332</v>
      </c>
      <c r="C13" s="59" t="s">
        <v>332</v>
      </c>
      <c r="D13" s="59" t="s">
        <v>332</v>
      </c>
      <c r="E13" s="59" t="s">
        <v>332</v>
      </c>
      <c r="F13" s="59" t="s">
        <v>332</v>
      </c>
      <c r="G13" s="59" t="s">
        <v>332</v>
      </c>
      <c r="H13" s="59" t="s">
        <v>332</v>
      </c>
      <c r="I13" s="59" t="s">
        <v>332</v>
      </c>
    </row>
    <row r="14" spans="1:9" x14ac:dyDescent="0.25">
      <c r="A14" s="155" t="str">
        <f>HYPERLINK("[OpenSolver Tester.xlsm]'MergedVarsBad'!A1", "MergedVarsBad")</f>
        <v>MergedVarsBad</v>
      </c>
      <c r="B14" s="59" t="s">
        <v>332</v>
      </c>
      <c r="C14" s="59" t="s">
        <v>332</v>
      </c>
      <c r="D14" s="59" t="s">
        <v>332</v>
      </c>
      <c r="E14" s="59" t="s">
        <v>332</v>
      </c>
      <c r="F14" s="59" t="s">
        <v>332</v>
      </c>
      <c r="G14" s="59" t="s">
        <v>332</v>
      </c>
      <c r="H14" s="59" t="s">
        <v>332</v>
      </c>
      <c r="I14" s="59" t="s">
        <v>332</v>
      </c>
    </row>
    <row r="15" spans="1:9" x14ac:dyDescent="0.25">
      <c r="A15" s="155" t="str">
        <f>HYPERLINK("[OpenSolver Tester.xlsm]'MergedRHS_OK'!A1", "MergedRHS_OK")</f>
        <v>MergedRHS_OK</v>
      </c>
      <c r="B15" s="59" t="s">
        <v>332</v>
      </c>
      <c r="C15" s="59" t="s">
        <v>332</v>
      </c>
      <c r="D15" s="59" t="s">
        <v>332</v>
      </c>
      <c r="E15" s="59" t="s">
        <v>332</v>
      </c>
      <c r="F15" s="59" t="s">
        <v>332</v>
      </c>
      <c r="G15" s="59" t="s">
        <v>332</v>
      </c>
      <c r="H15" s="59" t="s">
        <v>332</v>
      </c>
      <c r="I15" s="59" t="s">
        <v>332</v>
      </c>
    </row>
    <row r="16" spans="1:9" x14ac:dyDescent="0.25">
      <c r="A16" s="155" t="str">
        <f>HYPERLINK("[OpenSolver Tester.xlsm]'MergedLHS_OK'!A1", "MergedLHS_OK")</f>
        <v>MergedLHS_OK</v>
      </c>
      <c r="B16" s="59" t="s">
        <v>332</v>
      </c>
      <c r="C16" s="59" t="s">
        <v>332</v>
      </c>
      <c r="D16" s="59" t="s">
        <v>332</v>
      </c>
      <c r="E16" s="59" t="s">
        <v>332</v>
      </c>
      <c r="F16" s="59" t="s">
        <v>332</v>
      </c>
      <c r="G16" s="59" t="s">
        <v>332</v>
      </c>
      <c r="H16" s="59" t="s">
        <v>332</v>
      </c>
      <c r="I16" s="59" t="s">
        <v>332</v>
      </c>
    </row>
    <row r="17" spans="1:9" x14ac:dyDescent="0.25">
      <c r="A17" s="155" t="str">
        <f>HYPERLINK("[OpenSolver Tester.xlsm]'MergedLHSMultiple_OK'!A1", "MergedLHSMultiple_OK")</f>
        <v>MergedLHSMultiple_OK</v>
      </c>
      <c r="B17" s="59" t="s">
        <v>332</v>
      </c>
      <c r="C17" s="59" t="s">
        <v>332</v>
      </c>
      <c r="D17" s="59" t="s">
        <v>332</v>
      </c>
      <c r="E17" s="59" t="s">
        <v>332</v>
      </c>
      <c r="F17" s="59" t="s">
        <v>332</v>
      </c>
      <c r="G17" s="59" t="s">
        <v>332</v>
      </c>
      <c r="H17" s="59" t="s">
        <v>332</v>
      </c>
      <c r="I17" s="59" t="s">
        <v>332</v>
      </c>
    </row>
    <row r="18" spans="1:9" x14ac:dyDescent="0.25">
      <c r="A18" s="155" t="str">
        <f>HYPERLINK("[OpenSolver Tester.xlsm]'BinIntOverlap'!A1", "BinIntOverlap")</f>
        <v>BinIntOverlap</v>
      </c>
      <c r="B18" s="59" t="s">
        <v>332</v>
      </c>
      <c r="C18" s="59" t="s">
        <v>332</v>
      </c>
      <c r="D18" s="59" t="s">
        <v>332</v>
      </c>
      <c r="E18" s="59" t="s">
        <v>332</v>
      </c>
      <c r="F18" s="59" t="s">
        <v>332</v>
      </c>
      <c r="G18" s="59" t="s">
        <v>332</v>
      </c>
      <c r="H18" s="59" t="s">
        <v>332</v>
      </c>
      <c r="I18" s="59" t="s">
        <v>332</v>
      </c>
    </row>
    <row r="19" spans="1:9" x14ac:dyDescent="0.25">
      <c r="A19" s="155" t="str">
        <f>HYPERLINK("[OpenSolver Tester.xlsm]'ConFormula'!A1", "ConFormula")</f>
        <v>ConFormula</v>
      </c>
      <c r="B19" s="59" t="s">
        <v>332</v>
      </c>
      <c r="C19" s="59" t="s">
        <v>332</v>
      </c>
      <c r="D19" s="59" t="s">
        <v>332</v>
      </c>
      <c r="E19" s="59" t="s">
        <v>332</v>
      </c>
      <c r="F19" s="59" t="s">
        <v>332</v>
      </c>
      <c r="G19" s="59" t="s">
        <v>332</v>
      </c>
      <c r="H19" s="59" t="s">
        <v>332</v>
      </c>
      <c r="I19" s="59" t="s">
        <v>332</v>
      </c>
    </row>
    <row r="20" spans="1:9" x14ac:dyDescent="0.25">
      <c r="A20" s="155" t="str">
        <f>HYPERLINK("[OpenSolver Tester.xlsm]'ConFormulaInf'!A1", "ConFormulaInf")</f>
        <v>ConFormulaInf</v>
      </c>
      <c r="B20" s="59" t="s">
        <v>332</v>
      </c>
      <c r="C20" s="59" t="s">
        <v>332</v>
      </c>
      <c r="D20" s="59" t="s">
        <v>332</v>
      </c>
      <c r="E20" s="59" t="s">
        <v>332</v>
      </c>
      <c r="F20" s="59" t="s">
        <v>332</v>
      </c>
      <c r="G20" s="59" t="s">
        <v>332</v>
      </c>
      <c r="H20" s="59" t="s">
        <v>332</v>
      </c>
      <c r="I20" s="59" t="s">
        <v>332</v>
      </c>
    </row>
    <row r="21" spans="1:9" x14ac:dyDescent="0.25">
      <c r="A21" s="155" t="str">
        <f>HYPERLINK("[OpenSolver Tester.xlsm]'BadName!'!A1", "BadName!")</f>
        <v>BadName!</v>
      </c>
      <c r="B21" s="59" t="s">
        <v>332</v>
      </c>
      <c r="C21" s="59" t="s">
        <v>332</v>
      </c>
      <c r="D21" s="59" t="s">
        <v>332</v>
      </c>
      <c r="E21" s="59" t="s">
        <v>332</v>
      </c>
      <c r="F21" s="59" t="s">
        <v>332</v>
      </c>
      <c r="G21" s="59" t="s">
        <v>332</v>
      </c>
      <c r="H21" s="59" t="s">
        <v>332</v>
      </c>
      <c r="I21" s="59" t="s">
        <v>332</v>
      </c>
    </row>
    <row r="22" spans="1:9" x14ac:dyDescent="0.25">
      <c r="A22" s="155" t="str">
        <f>HYPERLINK("[OpenSolver Tester.xlsm]'EscapeSheetName(1)+2-1'!A1", "EscapeSheetName(1)+2-1")</f>
        <v>EscapeSheetName(1)+2-1</v>
      </c>
      <c r="B22" s="59" t="s">
        <v>332</v>
      </c>
      <c r="C22" s="59" t="s">
        <v>332</v>
      </c>
      <c r="D22" s="59" t="s">
        <v>332</v>
      </c>
      <c r="E22" s="59" t="s">
        <v>332</v>
      </c>
      <c r="F22" s="59" t="s">
        <v>332</v>
      </c>
      <c r="G22" s="59" t="s">
        <v>332</v>
      </c>
      <c r="H22" s="59" t="s">
        <v>332</v>
      </c>
      <c r="I22" s="59" t="s">
        <v>332</v>
      </c>
    </row>
    <row r="23" spans="1:9" x14ac:dyDescent="0.25">
      <c r="A23" s="155" t="str">
        <f>HYPERLINK("[OpenSolver Tester.xlsm]'DeletedConRef'!A1", "DeletedConRef")</f>
        <v>DeletedConRef</v>
      </c>
      <c r="B23" s="59" t="s">
        <v>332</v>
      </c>
      <c r="C23" s="59" t="s">
        <v>332</v>
      </c>
      <c r="D23" s="59" t="s">
        <v>332</v>
      </c>
      <c r="E23" s="59" t="s">
        <v>332</v>
      </c>
      <c r="F23" s="59" t="s">
        <v>332</v>
      </c>
      <c r="G23" s="59" t="s">
        <v>332</v>
      </c>
      <c r="H23" s="59" t="s">
        <v>332</v>
      </c>
      <c r="I23" s="59" t="s">
        <v>332</v>
      </c>
    </row>
    <row r="24" spans="1:9" x14ac:dyDescent="0.25">
      <c r="A24" s="155" t="str">
        <f>HYPERLINK("[OpenSolver Tester.xlsm]'DeletedObjRef'!A1", "DeletedObjRef")</f>
        <v>DeletedObjRef</v>
      </c>
      <c r="B24" s="59" t="s">
        <v>332</v>
      </c>
      <c r="C24" s="59" t="s">
        <v>332</v>
      </c>
      <c r="D24" s="59" t="s">
        <v>332</v>
      </c>
      <c r="E24" s="59" t="s">
        <v>332</v>
      </c>
      <c r="F24" s="59" t="s">
        <v>332</v>
      </c>
      <c r="G24" s="59" t="s">
        <v>332</v>
      </c>
      <c r="H24" s="59" t="s">
        <v>332</v>
      </c>
      <c r="I24" s="59" t="s">
        <v>332</v>
      </c>
    </row>
    <row r="25" spans="1:9" x14ac:dyDescent="0.25">
      <c r="A25" s="155" t="str">
        <f>HYPERLINK("[OpenSolver Tester.xlsm]'InfConstConstraint'!A1", "InfConstConstraint")</f>
        <v>InfConstConstraint</v>
      </c>
      <c r="B25" s="59" t="s">
        <v>332</v>
      </c>
      <c r="C25" s="59" t="s">
        <v>332</v>
      </c>
      <c r="D25" s="59" t="s">
        <v>332</v>
      </c>
      <c r="E25" s="59" t="s">
        <v>332</v>
      </c>
      <c r="F25" s="59" t="s">
        <v>338</v>
      </c>
      <c r="G25" s="59" t="s">
        <v>332</v>
      </c>
      <c r="H25" s="59" t="s">
        <v>332</v>
      </c>
      <c r="I25" s="59" t="s">
        <v>332</v>
      </c>
    </row>
    <row r="26" spans="1:9" x14ac:dyDescent="0.25">
      <c r="A26" s="155" t="str">
        <f>HYPERLINK("[OpenSolver Tester.xlsm]'FeasConstConstraint'!A1", "FeasConstConstraint")</f>
        <v>FeasConstConstraint</v>
      </c>
      <c r="B26" s="59" t="s">
        <v>332</v>
      </c>
      <c r="C26" s="59" t="s">
        <v>332</v>
      </c>
      <c r="D26" s="59" t="s">
        <v>332</v>
      </c>
      <c r="E26" s="59" t="s">
        <v>332</v>
      </c>
      <c r="F26" s="59" t="s">
        <v>332</v>
      </c>
      <c r="G26" s="59" t="s">
        <v>332</v>
      </c>
      <c r="H26" s="59" t="s">
        <v>332</v>
      </c>
      <c r="I26" s="59" t="s">
        <v>332</v>
      </c>
    </row>
    <row r="27" spans="1:9" x14ac:dyDescent="0.25">
      <c r="A27" s="155" t="str">
        <f>HYPERLINK("[OpenSolver Tester.xlsm]'ProtectedSheet'!A1", "ProtectedSheet")</f>
        <v>ProtectedSheet</v>
      </c>
      <c r="B27" s="59" t="s">
        <v>332</v>
      </c>
      <c r="C27" s="59" t="s">
        <v>332</v>
      </c>
      <c r="D27" s="59" t="s">
        <v>332</v>
      </c>
      <c r="E27" s="59" t="s">
        <v>332</v>
      </c>
      <c r="F27" s="59" t="s">
        <v>332</v>
      </c>
      <c r="G27" s="59" t="s">
        <v>332</v>
      </c>
      <c r="H27" s="59" t="s">
        <v>332</v>
      </c>
      <c r="I27" s="59" t="s">
        <v>332</v>
      </c>
    </row>
    <row r="28" spans="1:9" x14ac:dyDescent="0.25">
      <c r="A28" s="155" t="str">
        <f>HYPERLINK("[OpenSolver Tester.xlsm]'IndirectLBs'!A1", "IndirectLBs")</f>
        <v>IndirectLBs</v>
      </c>
      <c r="B28" s="59" t="s">
        <v>332</v>
      </c>
      <c r="C28" s="59" t="s">
        <v>332</v>
      </c>
      <c r="D28" s="59" t="s">
        <v>332</v>
      </c>
      <c r="E28" s="59" t="s">
        <v>332</v>
      </c>
      <c r="F28" s="59" t="s">
        <v>332</v>
      </c>
      <c r="G28" s="59" t="s">
        <v>332</v>
      </c>
      <c r="H28" s="59" t="s">
        <v>332</v>
      </c>
      <c r="I28" s="59" t="s">
        <v>332</v>
      </c>
    </row>
    <row r="29" spans="1:9" x14ac:dyDescent="0.25">
      <c r="A29" s="155" t="str">
        <f>HYPERLINK("[OpenSolver Tester.xlsm]'DirectLBs'!A1", "DirectLBs")</f>
        <v>DirectLBs</v>
      </c>
      <c r="B29" s="59" t="s">
        <v>332</v>
      </c>
      <c r="C29" s="59" t="s">
        <v>332</v>
      </c>
      <c r="D29" s="59" t="s">
        <v>332</v>
      </c>
      <c r="E29" s="59" t="s">
        <v>332</v>
      </c>
      <c r="F29" s="59" t="s">
        <v>332</v>
      </c>
      <c r="G29" s="59" t="s">
        <v>332</v>
      </c>
      <c r="H29" s="59" t="s">
        <v>332</v>
      </c>
      <c r="I29" s="59" t="s">
        <v>332</v>
      </c>
    </row>
    <row r="30" spans="1:9" x14ac:dyDescent="0.25">
      <c r="A30" s="155" t="str">
        <f>HYPERLINK("[OpenSolver Tester.xlsm]'SingleRangeLB'!A1", "SingleRangeLB")</f>
        <v>SingleRangeLB</v>
      </c>
      <c r="B30" s="59" t="s">
        <v>332</v>
      </c>
      <c r="C30" s="59" t="s">
        <v>332</v>
      </c>
      <c r="D30" s="59" t="s">
        <v>332</v>
      </c>
      <c r="E30" s="59" t="s">
        <v>332</v>
      </c>
      <c r="F30" s="59" t="s">
        <v>332</v>
      </c>
      <c r="G30" s="59" t="s">
        <v>332</v>
      </c>
      <c r="H30" s="59" t="s">
        <v>332</v>
      </c>
      <c r="I30" s="59" t="s">
        <v>332</v>
      </c>
    </row>
    <row r="31" spans="1:9" x14ac:dyDescent="0.25">
      <c r="A31" s="155" t="str">
        <f>HYPERLINK("[OpenSolver Tester.xlsm]'BinLB'!A1", "BinLB")</f>
        <v>BinLB</v>
      </c>
      <c r="B31" s="59" t="s">
        <v>332</v>
      </c>
      <c r="C31" s="59" t="s">
        <v>332</v>
      </c>
      <c r="D31" s="59" t="s">
        <v>332</v>
      </c>
      <c r="E31" s="59" t="s">
        <v>332</v>
      </c>
      <c r="F31" s="59" t="s">
        <v>338</v>
      </c>
      <c r="G31" s="59" t="s">
        <v>338</v>
      </c>
      <c r="H31" s="59" t="s">
        <v>332</v>
      </c>
      <c r="I31" s="59" t="s">
        <v>332</v>
      </c>
    </row>
    <row r="32" spans="1:9" x14ac:dyDescent="0.25">
      <c r="A32" s="155" t="str">
        <f>HYPERLINK("[OpenSolver Tester.xlsm]'BinIntLB'!A1", "BinIntLB")</f>
        <v>BinIntLB</v>
      </c>
      <c r="B32" s="59" t="s">
        <v>332</v>
      </c>
      <c r="C32" s="59" t="s">
        <v>332</v>
      </c>
      <c r="D32" s="59" t="s">
        <v>332</v>
      </c>
      <c r="E32" s="59" t="s">
        <v>332</v>
      </c>
      <c r="F32" s="59" t="s">
        <v>338</v>
      </c>
      <c r="G32" s="59" t="s">
        <v>338</v>
      </c>
      <c r="H32" s="59" t="s">
        <v>332</v>
      </c>
      <c r="I32" s="59" t="s">
        <v>332</v>
      </c>
    </row>
    <row r="33" spans="1:9" x14ac:dyDescent="0.25">
      <c r="A33" s="155" t="str">
        <f>HYPERLINK("[OpenSolver Tester.xlsm]'Relaxation'!A1", "Relaxation")</f>
        <v>Relaxation</v>
      </c>
      <c r="B33" s="59" t="s">
        <v>332</v>
      </c>
      <c r="C33" s="59" t="s">
        <v>332</v>
      </c>
      <c r="D33" s="59" t="s">
        <v>332</v>
      </c>
      <c r="E33" s="59" t="s">
        <v>332</v>
      </c>
      <c r="F33" s="59" t="s">
        <v>332</v>
      </c>
      <c r="G33" s="59" t="s">
        <v>332</v>
      </c>
      <c r="H33" s="59" t="s">
        <v>332</v>
      </c>
      <c r="I33" s="59" t="s">
        <v>332</v>
      </c>
    </row>
    <row r="34" spans="1:9" x14ac:dyDescent="0.25">
      <c r="A34" s="155" t="str">
        <f>HYPERLINK("[OpenSolver Tester.xlsm]'LargeRangeLB'!A1", "LargeRangeLB")</f>
        <v>LargeRangeLB</v>
      </c>
      <c r="B34" s="59" t="s">
        <v>332</v>
      </c>
      <c r="C34" s="59" t="s">
        <v>332</v>
      </c>
      <c r="D34" s="59" t="s">
        <v>332</v>
      </c>
      <c r="E34" s="59" t="s">
        <v>332</v>
      </c>
      <c r="F34" s="59" t="s">
        <v>332</v>
      </c>
      <c r="G34" s="59" t="s">
        <v>332</v>
      </c>
      <c r="H34" s="59" t="s">
        <v>332</v>
      </c>
      <c r="I34" s="59" t="s">
        <v>332</v>
      </c>
    </row>
    <row r="35" spans="1:9" x14ac:dyDescent="0.25">
      <c r="A35" s="155" t="str">
        <f>HYPERLINK("[OpenSolver Tester.xlsm]'OverlapRangeLB'!A1", "OverlapRangeLB")</f>
        <v>OverlapRangeLB</v>
      </c>
      <c r="B35" s="59" t="s">
        <v>332</v>
      </c>
      <c r="C35" s="59" t="s">
        <v>332</v>
      </c>
      <c r="D35" s="59" t="s">
        <v>332</v>
      </c>
      <c r="E35" s="59" t="s">
        <v>332</v>
      </c>
      <c r="F35" s="59" t="s">
        <v>332</v>
      </c>
      <c r="G35" s="59" t="s">
        <v>332</v>
      </c>
      <c r="H35" s="59" t="s">
        <v>332</v>
      </c>
      <c r="I35" s="59" t="s">
        <v>332</v>
      </c>
    </row>
    <row r="36" spans="1:9" x14ac:dyDescent="0.25">
      <c r="A36" s="155" t="str">
        <f>HYPERLINK("[OpenSolver Tester.xlsm]'OverlapRangeLBwithFormula'!A1", "OverlapRangeLBwithFormula")</f>
        <v>OverlapRangeLBwithFormula</v>
      </c>
      <c r="B36" s="59" t="s">
        <v>332</v>
      </c>
      <c r="C36" s="59" t="s">
        <v>332</v>
      </c>
      <c r="D36" s="59" t="s">
        <v>332</v>
      </c>
      <c r="E36" s="59" t="s">
        <v>332</v>
      </c>
      <c r="F36" s="59" t="s">
        <v>332</v>
      </c>
      <c r="G36" s="165" t="s">
        <v>332</v>
      </c>
      <c r="H36" s="59" t="s">
        <v>332</v>
      </c>
      <c r="I36" s="59" t="s">
        <v>332</v>
      </c>
    </row>
    <row r="37" spans="1:9" x14ac:dyDescent="0.25">
      <c r="A37" s="155" t="str">
        <f>HYPERLINK("[OpenSolver Tester.xlsm]'ConstFormulaRangeLB'!A1", "ConstFormulaRangeLB")</f>
        <v>ConstFormulaRangeLB</v>
      </c>
      <c r="B37" s="59" t="s">
        <v>332</v>
      </c>
      <c r="C37" s="59" t="s">
        <v>332</v>
      </c>
      <c r="D37" s="59" t="s">
        <v>332</v>
      </c>
      <c r="E37" s="59" t="s">
        <v>332</v>
      </c>
      <c r="F37" s="59" t="s">
        <v>332</v>
      </c>
      <c r="G37" s="165" t="s">
        <v>332</v>
      </c>
      <c r="H37" s="59" t="s">
        <v>332</v>
      </c>
      <c r="I37" s="59" t="s">
        <v>332</v>
      </c>
    </row>
    <row r="38" spans="1:9" x14ac:dyDescent="0.25">
      <c r="A38" s="155" t="str">
        <f>HYPERLINK("[OpenSolver Tester.xlsm]'VariableFormulaRangeLB'!A1", "VariableFormulaRangeLB")</f>
        <v>VariableFormulaRangeLB</v>
      </c>
      <c r="B38" s="59" t="s">
        <v>332</v>
      </c>
      <c r="C38" s="162" t="s">
        <v>332</v>
      </c>
      <c r="D38" s="59" t="s">
        <v>332</v>
      </c>
      <c r="E38" s="59" t="s">
        <v>332</v>
      </c>
      <c r="F38" s="59" t="s">
        <v>332</v>
      </c>
      <c r="G38" s="59" t="s">
        <v>332</v>
      </c>
      <c r="H38" s="59" t="s">
        <v>332</v>
      </c>
      <c r="I38" s="59" t="s">
        <v>332</v>
      </c>
    </row>
    <row r="39" spans="1:9" x14ac:dyDescent="0.25">
      <c r="A39" s="155" t="str">
        <f>HYPERLINK("[OpenSolver Tester.xlsm]'ConstraintLB'!A1", "ConstraintLB")</f>
        <v>ConstraintLB</v>
      </c>
      <c r="B39" s="59" t="s">
        <v>332</v>
      </c>
      <c r="C39" s="59" t="s">
        <v>332</v>
      </c>
      <c r="D39" s="59" t="s">
        <v>332</v>
      </c>
      <c r="E39" s="59" t="s">
        <v>332</v>
      </c>
      <c r="F39" s="59" t="s">
        <v>332</v>
      </c>
      <c r="G39" s="59" t="s">
        <v>332</v>
      </c>
      <c r="H39" s="59" t="s">
        <v>332</v>
      </c>
      <c r="I39" s="59" t="s">
        <v>332</v>
      </c>
    </row>
    <row r="40" spans="1:9" x14ac:dyDescent="0.25">
      <c r="A40" s="155" t="str">
        <f>HYPERLINK("[OpenSolver Tester.xlsm]'ConstantLB'!A1", "ConstantLB")</f>
        <v>ConstantLB</v>
      </c>
      <c r="B40" s="59" t="s">
        <v>332</v>
      </c>
      <c r="C40" s="59" t="s">
        <v>332</v>
      </c>
      <c r="D40" s="59" t="s">
        <v>332</v>
      </c>
      <c r="E40" s="59" t="s">
        <v>332</v>
      </c>
      <c r="F40" s="59" t="s">
        <v>332</v>
      </c>
      <c r="G40" s="59" t="s">
        <v>332</v>
      </c>
      <c r="H40" s="59" t="s">
        <v>332</v>
      </c>
      <c r="I40" s="59" t="s">
        <v>332</v>
      </c>
    </row>
    <row r="41" spans="1:9" x14ac:dyDescent="0.25">
      <c r="A41" s="155" t="str">
        <f>HYPERLINK("[OpenSolver Tester.xlsm]'FormulaLB'!A1", "FormulaLB")</f>
        <v>FormulaLB</v>
      </c>
      <c r="B41" s="59" t="s">
        <v>332</v>
      </c>
      <c r="C41" s="59" t="s">
        <v>332</v>
      </c>
      <c r="D41" s="59" t="s">
        <v>332</v>
      </c>
      <c r="E41" s="59" t="s">
        <v>332</v>
      </c>
      <c r="F41" s="59" t="s">
        <v>338</v>
      </c>
      <c r="G41" s="59" t="s">
        <v>332</v>
      </c>
      <c r="H41" s="59" t="s">
        <v>332</v>
      </c>
      <c r="I41" s="59" t="s">
        <v>332</v>
      </c>
    </row>
    <row r="42" spans="1:9" x14ac:dyDescent="0.25">
      <c r="A42" s="155" t="str">
        <f>HYPERLINK("[OpenSolver Tester.xlsm]'VarConstraintLB'!A1", "VarConstraintLB")</f>
        <v>VarConstraintLB</v>
      </c>
      <c r="B42" s="59" t="s">
        <v>332</v>
      </c>
      <c r="C42" s="59" t="s">
        <v>332</v>
      </c>
      <c r="D42" s="59" t="s">
        <v>332</v>
      </c>
      <c r="E42" s="59" t="s">
        <v>332</v>
      </c>
      <c r="F42" s="59" t="s">
        <v>338</v>
      </c>
      <c r="G42" s="59" t="s">
        <v>332</v>
      </c>
      <c r="H42" s="59" t="s">
        <v>332</v>
      </c>
      <c r="I42" s="59" t="s">
        <v>332</v>
      </c>
    </row>
    <row r="43" spans="1:9" x14ac:dyDescent="0.25">
      <c r="A43" s="155" t="str">
        <f>HYPERLINK("[OpenSolver Tester.xlsm]'FractionalCoeffs'!A1", "FractionalCoeffs")</f>
        <v>FractionalCoeffs</v>
      </c>
      <c r="B43" s="59" t="s">
        <v>332</v>
      </c>
      <c r="C43" s="59" t="s">
        <v>332</v>
      </c>
      <c r="D43" s="59" t="s">
        <v>332</v>
      </c>
      <c r="E43" s="59" t="s">
        <v>332</v>
      </c>
      <c r="F43" s="59" t="s">
        <v>332</v>
      </c>
      <c r="G43" s="59" t="s">
        <v>332</v>
      </c>
      <c r="H43" s="59" t="s">
        <v>332</v>
      </c>
      <c r="I43" s="59" t="s">
        <v>332</v>
      </c>
    </row>
    <row r="44" spans="1:9" x14ac:dyDescent="0.25">
      <c r="A44" s="155" t="str">
        <f>HYPERLINK("[OpenSolver Tester.xlsm]'ComplexLayout'!A1", "ComplexLayout")</f>
        <v>ComplexLayout</v>
      </c>
      <c r="B44" s="59" t="s">
        <v>332</v>
      </c>
      <c r="C44" s="59" t="s">
        <v>332</v>
      </c>
      <c r="D44" s="59" t="s">
        <v>332</v>
      </c>
      <c r="E44" s="59" t="s">
        <v>332</v>
      </c>
      <c r="F44" s="59" t="s">
        <v>332</v>
      </c>
      <c r="G44" s="59" t="s">
        <v>332</v>
      </c>
      <c r="H44" s="59" t="s">
        <v>332</v>
      </c>
      <c r="I44" s="59" t="s">
        <v>332</v>
      </c>
    </row>
    <row r="45" spans="1:9" x14ac:dyDescent="0.25">
      <c r="A45" s="155" t="str">
        <f>HYPERLINK("[OpenSolver Tester.xlsm]'InfModel'!A1", "InfModel")</f>
        <v>InfModel</v>
      </c>
      <c r="B45" s="59" t="s">
        <v>332</v>
      </c>
      <c r="C45" s="59" t="s">
        <v>332</v>
      </c>
      <c r="D45" s="59" t="s">
        <v>332</v>
      </c>
      <c r="E45" s="59" t="s">
        <v>332</v>
      </c>
      <c r="F45" s="59" t="s">
        <v>332</v>
      </c>
      <c r="G45" s="59" t="s">
        <v>332</v>
      </c>
      <c r="H45" s="59" t="s">
        <v>332</v>
      </c>
      <c r="I45" s="59" t="s">
        <v>332</v>
      </c>
    </row>
    <row r="46" spans="1:9" x14ac:dyDescent="0.25">
      <c r="A46" s="155" t="str">
        <f>HYPERLINK("[OpenSolver Tester.xlsm]'IterativeCalc'!A1", "IterativeCalc")</f>
        <v>IterativeCalc</v>
      </c>
      <c r="B46" s="59" t="s">
        <v>332</v>
      </c>
      <c r="C46" s="59" t="s">
        <v>332</v>
      </c>
      <c r="D46" s="59" t="s">
        <v>332</v>
      </c>
      <c r="E46" s="59" t="s">
        <v>332</v>
      </c>
      <c r="F46" s="59" t="s">
        <v>332</v>
      </c>
      <c r="G46" s="59" t="s">
        <v>332</v>
      </c>
      <c r="H46" s="59" t="s">
        <v>332</v>
      </c>
      <c r="I46" s="59" t="s">
        <v>332</v>
      </c>
    </row>
    <row r="47" spans="1:9" x14ac:dyDescent="0.25">
      <c r="A47" s="155" t="str">
        <f>HYPERLINK("[OpenSolver Tester.xlsm]'NoObj'!A1", "NoObj")</f>
        <v>NoObj</v>
      </c>
      <c r="B47" s="59" t="s">
        <v>332</v>
      </c>
      <c r="C47" s="59" t="s">
        <v>332</v>
      </c>
      <c r="D47" s="59" t="s">
        <v>332</v>
      </c>
      <c r="E47" s="59" t="s">
        <v>332</v>
      </c>
      <c r="F47" s="59" t="s">
        <v>332</v>
      </c>
      <c r="G47" s="59" t="s">
        <v>332</v>
      </c>
      <c r="H47" s="59" t="s">
        <v>332</v>
      </c>
      <c r="I47" s="59" t="s">
        <v>332</v>
      </c>
    </row>
    <row r="48" spans="1:9" x14ac:dyDescent="0.25">
      <c r="A48" s="155" t="str">
        <f>HYPERLINK("[OpenSolver Tester.xlsm]'SeekObj'!A1", "SeekObj")</f>
        <v>SeekObj</v>
      </c>
      <c r="B48" s="59" t="s">
        <v>332</v>
      </c>
      <c r="C48" s="59" t="s">
        <v>332</v>
      </c>
      <c r="D48" s="59" t="s">
        <v>332</v>
      </c>
      <c r="E48" s="59" t="s">
        <v>332</v>
      </c>
      <c r="F48" s="59" t="s">
        <v>332</v>
      </c>
      <c r="G48" s="59" t="s">
        <v>332</v>
      </c>
      <c r="H48" s="59" t="s">
        <v>332</v>
      </c>
      <c r="I48" s="59" t="s">
        <v>332</v>
      </c>
    </row>
    <row r="49" spans="1:9" x14ac:dyDescent="0.25">
      <c r="A49" s="155" t="str">
        <f>HYPERLINK("[OpenSolver Tester.xlsm]'NamedRanges'!A1", "NamedRanges")</f>
        <v>NamedRanges</v>
      </c>
      <c r="B49" s="59" t="s">
        <v>332</v>
      </c>
      <c r="C49" s="59" t="s">
        <v>332</v>
      </c>
      <c r="D49" s="59" t="s">
        <v>332</v>
      </c>
      <c r="E49" s="59" t="s">
        <v>332</v>
      </c>
      <c r="F49" s="59" t="s">
        <v>332</v>
      </c>
      <c r="G49" s="59" t="s">
        <v>332</v>
      </c>
      <c r="H49" s="59" t="s">
        <v>332</v>
      </c>
      <c r="I49" s="59" t="s">
        <v>332</v>
      </c>
    </row>
    <row r="50" spans="1:9" x14ac:dyDescent="0.25">
      <c r="A50" s="155" t="str">
        <f>HYPERLINK("[OpenSolver Tester.xlsm]'QuickSolve'!A1", "QuickSolve")</f>
        <v>QuickSolve</v>
      </c>
      <c r="B50" s="59" t="s">
        <v>332</v>
      </c>
      <c r="C50" s="59" t="s">
        <v>332</v>
      </c>
      <c r="D50" s="59" t="s">
        <v>332</v>
      </c>
      <c r="E50" s="59" t="s">
        <v>337</v>
      </c>
      <c r="F50" s="59" t="s">
        <v>337</v>
      </c>
      <c r="G50" s="59" t="s">
        <v>337</v>
      </c>
      <c r="H50" s="59" t="s">
        <v>337</v>
      </c>
      <c r="I50" s="59" t="s">
        <v>337</v>
      </c>
    </row>
    <row r="51" spans="1:9" x14ac:dyDescent="0.25">
      <c r="A51" s="155" t="str">
        <f>HYPERLINK("[OpenSolver Tester.xlsm]'SolverParameters'!A1", "SolverParameters")</f>
        <v>SolverParameters</v>
      </c>
      <c r="B51" s="59" t="s">
        <v>332</v>
      </c>
      <c r="C51" s="59" t="s">
        <v>332</v>
      </c>
      <c r="D51" s="59" t="s">
        <v>332</v>
      </c>
      <c r="E51" s="59" t="s">
        <v>339</v>
      </c>
      <c r="F51" s="59" t="s">
        <v>338</v>
      </c>
      <c r="G51" s="59" t="s">
        <v>338</v>
      </c>
      <c r="H51" s="59" t="s">
        <v>332</v>
      </c>
      <c r="I51" s="59" t="s">
        <v>338</v>
      </c>
    </row>
    <row r="52" spans="1:9" x14ac:dyDescent="0.25">
      <c r="A52" s="155" t="str">
        <f>HYPERLINK("[OpenSolver Tester.xlsm]'Sensitivity'!A1", "Sensitivity")</f>
        <v>Sensitivity</v>
      </c>
      <c r="B52" s="59" t="s">
        <v>332</v>
      </c>
      <c r="C52" s="59" t="s">
        <v>332</v>
      </c>
      <c r="D52" s="59" t="s">
        <v>332</v>
      </c>
      <c r="E52" s="59" t="s">
        <v>332</v>
      </c>
      <c r="F52" s="59" t="s">
        <v>332</v>
      </c>
      <c r="G52" s="59" t="s">
        <v>332</v>
      </c>
      <c r="H52" s="59" t="s">
        <v>332</v>
      </c>
      <c r="I52" s="59" t="s">
        <v>332</v>
      </c>
    </row>
    <row r="53" spans="1:9" x14ac:dyDescent="0.25">
      <c r="A53" s="155" t="str">
        <f>HYPERLINK("[OpenSolver Tester.xlsm]'SensitivityNames'!A1", "SensitivityNames")</f>
        <v>SensitivityNames</v>
      </c>
      <c r="B53" s="59" t="s">
        <v>332</v>
      </c>
      <c r="C53" s="59" t="s">
        <v>332</v>
      </c>
      <c r="D53" s="59" t="s">
        <v>332</v>
      </c>
      <c r="E53" s="59" t="s">
        <v>332</v>
      </c>
      <c r="F53" s="59" t="s">
        <v>332</v>
      </c>
      <c r="G53" s="59" t="s">
        <v>338</v>
      </c>
      <c r="H53" s="59" t="s">
        <v>332</v>
      </c>
      <c r="I53" s="59" t="s">
        <v>332</v>
      </c>
    </row>
    <row r="54" spans="1:9" x14ac:dyDescent="0.25">
      <c r="A54" s="155" t="str">
        <f>HYPERLINK("[OpenSolver Tester.xlsm]'NonLinSimple'!A1", "NonLinSimple")</f>
        <v>NonLinSimple</v>
      </c>
      <c r="B54" s="59" t="s">
        <v>332</v>
      </c>
      <c r="C54" s="59" t="s">
        <v>332</v>
      </c>
      <c r="D54" s="59" t="s">
        <v>332</v>
      </c>
      <c r="E54" s="59" t="s">
        <v>332</v>
      </c>
      <c r="F54" s="59" t="s">
        <v>332</v>
      </c>
      <c r="G54" s="59" t="s">
        <v>332</v>
      </c>
      <c r="H54" s="59" t="s">
        <v>332</v>
      </c>
      <c r="I54" s="59" t="s">
        <v>332</v>
      </c>
    </row>
    <row r="55" spans="1:9" x14ac:dyDescent="0.25">
      <c r="A55" s="155" t="str">
        <f>HYPERLINK("[OpenSolver Tester.xlsm]'NonLinLarge'!A1", "NonLinLarge")</f>
        <v>NonLinLarge</v>
      </c>
      <c r="B55" s="59" t="s">
        <v>332</v>
      </c>
      <c r="C55" s="59" t="s">
        <v>332</v>
      </c>
      <c r="D55" s="59" t="s">
        <v>332</v>
      </c>
      <c r="E55" s="59" t="s">
        <v>332</v>
      </c>
      <c r="F55" s="59" t="s">
        <v>332</v>
      </c>
      <c r="G55" s="59" t="s">
        <v>332</v>
      </c>
      <c r="H55" s="59" t="s">
        <v>332</v>
      </c>
      <c r="I55" s="59" t="s">
        <v>332</v>
      </c>
    </row>
    <row r="56" spans="1:9" x14ac:dyDescent="0.25">
      <c r="A56" s="155" t="str">
        <f>HYPERLINK("[OpenSolver Tester.xlsm]'NonLinObj'!A1", "NonLinObj")</f>
        <v>NonLinObj</v>
      </c>
      <c r="B56" s="59" t="s">
        <v>332</v>
      </c>
      <c r="C56" s="59" t="s">
        <v>332</v>
      </c>
      <c r="D56" s="59" t="s">
        <v>332</v>
      </c>
      <c r="E56" s="59" t="s">
        <v>332</v>
      </c>
      <c r="F56" s="59" t="s">
        <v>332</v>
      </c>
      <c r="G56" s="59" t="s">
        <v>332</v>
      </c>
      <c r="H56" s="59" t="s">
        <v>332</v>
      </c>
      <c r="I56" s="59" t="s">
        <v>332</v>
      </c>
    </row>
    <row r="57" spans="1:9" x14ac:dyDescent="0.25">
      <c r="A57" s="155" t="str">
        <f>HYPERLINK("[OpenSolver Tester.xlsm]'NonLinPruning'!A1", "NonLinPruning")</f>
        <v>NonLinPruning</v>
      </c>
      <c r="B57" s="59" t="s">
        <v>332</v>
      </c>
      <c r="C57" s="59" t="s">
        <v>332</v>
      </c>
      <c r="D57" s="59" t="s">
        <v>332</v>
      </c>
      <c r="E57" s="59" t="s">
        <v>332</v>
      </c>
      <c r="F57" s="59" t="s">
        <v>332</v>
      </c>
      <c r="G57" s="59" t="s">
        <v>332</v>
      </c>
      <c r="H57" s="59" t="s">
        <v>332</v>
      </c>
      <c r="I57" s="59" t="s">
        <v>332</v>
      </c>
    </row>
    <row r="58" spans="1:9" x14ac:dyDescent="0.25">
      <c r="A58" s="155" t="str">
        <f>HYPERLINK("[OpenSolver Tester.xlsm]'NonLinMinMax'!A1", "NonLinMinMax")</f>
        <v>NonLinMinMax</v>
      </c>
      <c r="B58" s="59" t="s">
        <v>332</v>
      </c>
      <c r="C58" s="59" t="s">
        <v>332</v>
      </c>
      <c r="D58" s="59" t="s">
        <v>332</v>
      </c>
      <c r="E58" s="59" t="s">
        <v>332</v>
      </c>
      <c r="F58" s="59" t="s">
        <v>338</v>
      </c>
      <c r="G58" s="59" t="s">
        <v>332</v>
      </c>
      <c r="H58" s="59" t="s">
        <v>332</v>
      </c>
      <c r="I58" s="59" t="s">
        <v>338</v>
      </c>
    </row>
    <row r="59" spans="1:9" x14ac:dyDescent="0.25">
      <c r="A59" s="155" t="str">
        <f>HYPERLINK("[OpenSolver Tester.xlsm]'NonLinConstraints'!A1", "NonLinConstraints")</f>
        <v>NonLinConstraints</v>
      </c>
      <c r="B59" s="59" t="s">
        <v>332</v>
      </c>
      <c r="C59" s="59" t="s">
        <v>332</v>
      </c>
      <c r="D59" s="59" t="s">
        <v>332</v>
      </c>
      <c r="E59" s="59" t="s">
        <v>332</v>
      </c>
      <c r="F59" s="59" t="s">
        <v>332</v>
      </c>
      <c r="G59" s="59" t="s">
        <v>332</v>
      </c>
      <c r="H59" s="59" t="s">
        <v>332</v>
      </c>
      <c r="I59" s="59" t="s">
        <v>332</v>
      </c>
    </row>
    <row r="60" spans="1:9" x14ac:dyDescent="0.25">
      <c r="A60" s="155" t="str">
        <f>HYPERLINK("[OpenSolver Tester.xlsm]'NonLinBinary'!A1", "NonLinBinary")</f>
        <v>NonLinBinary</v>
      </c>
      <c r="B60" s="59" t="s">
        <v>332</v>
      </c>
      <c r="C60" s="59" t="s">
        <v>332</v>
      </c>
      <c r="D60" s="59" t="s">
        <v>332</v>
      </c>
      <c r="E60" s="59" t="s">
        <v>332</v>
      </c>
      <c r="F60" s="59" t="s">
        <v>332</v>
      </c>
      <c r="G60" s="59" t="s">
        <v>332</v>
      </c>
      <c r="H60" s="59" t="s">
        <v>332</v>
      </c>
      <c r="I60" s="59" t="s">
        <v>332</v>
      </c>
    </row>
    <row r="61" spans="1:9" x14ac:dyDescent="0.25">
      <c r="A61" s="155" t="str">
        <f>HYPERLINK("[OpenSolver Tester.xlsm]'NonLin'!A1", "NonLin")</f>
        <v>NonLin</v>
      </c>
      <c r="B61" s="59" t="s">
        <v>332</v>
      </c>
      <c r="C61" s="59" t="s">
        <v>332</v>
      </c>
      <c r="D61" s="59" t="s">
        <v>332</v>
      </c>
      <c r="E61" s="59" t="s">
        <v>332</v>
      </c>
      <c r="F61" s="59" t="s">
        <v>332</v>
      </c>
      <c r="G61" s="59" t="s">
        <v>332</v>
      </c>
      <c r="H61" s="59" t="s">
        <v>332</v>
      </c>
      <c r="I61" s="59" t="s">
        <v>332</v>
      </c>
    </row>
    <row r="62" spans="1:9" x14ac:dyDescent="0.25">
      <c r="A62" s="155" t="str">
        <f>HYPERLINK("[OpenSolver Tester.xlsm]'NonLin2'!A1", "NonLin2")</f>
        <v>NonLin2</v>
      </c>
      <c r="B62" s="59" t="s">
        <v>332</v>
      </c>
      <c r="C62" s="59" t="s">
        <v>332</v>
      </c>
      <c r="D62" s="59" t="s">
        <v>332</v>
      </c>
      <c r="E62" s="59" t="s">
        <v>332</v>
      </c>
      <c r="F62" s="59" t="s">
        <v>332</v>
      </c>
      <c r="G62" s="59" t="s">
        <v>332</v>
      </c>
      <c r="H62" s="59" t="s">
        <v>332</v>
      </c>
      <c r="I62" s="59" t="s">
        <v>332</v>
      </c>
    </row>
    <row r="63" spans="1:9" x14ac:dyDescent="0.25">
      <c r="A63" s="155" t="str">
        <f>HYPERLINK("[OpenSolver Tester.xlsm]'NonLin3'!A1", "NonLin3")</f>
        <v>NonLin3</v>
      </c>
      <c r="B63" s="59" t="s">
        <v>332</v>
      </c>
      <c r="C63" s="59" t="s">
        <v>332</v>
      </c>
      <c r="D63" s="59" t="s">
        <v>332</v>
      </c>
      <c r="E63" s="59" t="s">
        <v>332</v>
      </c>
      <c r="F63" s="59" t="s">
        <v>332</v>
      </c>
      <c r="G63" s="59" t="s">
        <v>332</v>
      </c>
      <c r="H63" s="59" t="s">
        <v>332</v>
      </c>
      <c r="I63" s="59" t="s">
        <v>332</v>
      </c>
    </row>
    <row r="64" spans="1:9" x14ac:dyDescent="0.25">
      <c r="A64" s="155" t="str">
        <f>HYPERLINK("[OpenSolver Tester.xlsm]'NonLin4'!A1", "NonLin4")</f>
        <v>NonLin4</v>
      </c>
      <c r="B64" s="59" t="s">
        <v>332</v>
      </c>
      <c r="C64" s="59" t="s">
        <v>332</v>
      </c>
      <c r="D64" s="59" t="s">
        <v>332</v>
      </c>
      <c r="E64" s="59" t="s">
        <v>332</v>
      </c>
      <c r="F64" s="59" t="s">
        <v>332</v>
      </c>
      <c r="G64" s="59" t="s">
        <v>332</v>
      </c>
      <c r="H64" s="59" t="s">
        <v>332</v>
      </c>
      <c r="I64" s="59" t="s">
        <v>332</v>
      </c>
    </row>
    <row r="65" spans="1:9" x14ac:dyDescent="0.25">
      <c r="A65" s="155" t="str">
        <f>HYPERLINK("[OpenSolver Tester.xlsm]'NonLin5'!A1", "NonLin5")</f>
        <v>NonLin5</v>
      </c>
      <c r="B65" s="59" t="s">
        <v>332</v>
      </c>
      <c r="C65" s="59" t="s">
        <v>332</v>
      </c>
      <c r="D65" s="59" t="s">
        <v>332</v>
      </c>
      <c r="E65" s="59" t="s">
        <v>332</v>
      </c>
      <c r="F65" s="59" t="s">
        <v>332</v>
      </c>
      <c r="G65" s="59" t="s">
        <v>332</v>
      </c>
      <c r="H65" s="165" t="s">
        <v>332</v>
      </c>
      <c r="I65" s="59" t="s">
        <v>332</v>
      </c>
    </row>
    <row r="66" spans="1:9" x14ac:dyDescent="0.25">
      <c r="A66" s="155" t="str">
        <f>HYPERLINK("[OpenSolver Tester.xlsm]'NonLin6'!A1", "NonLin6")</f>
        <v>NonLin6</v>
      </c>
      <c r="B66" s="59" t="s">
        <v>332</v>
      </c>
      <c r="C66" s="59" t="s">
        <v>332</v>
      </c>
      <c r="D66" s="59" t="s">
        <v>332</v>
      </c>
      <c r="E66" s="59" t="s">
        <v>338</v>
      </c>
      <c r="F66" s="59" t="s">
        <v>332</v>
      </c>
      <c r="G66" s="163" t="s">
        <v>338</v>
      </c>
      <c r="H66" s="59" t="s">
        <v>338</v>
      </c>
      <c r="I66" s="59" t="s">
        <v>332</v>
      </c>
    </row>
    <row r="67" spans="1:9" x14ac:dyDescent="0.25">
      <c r="A67" s="155"/>
    </row>
    <row r="68" spans="1:9" x14ac:dyDescent="0.25">
      <c r="A68" s="155"/>
    </row>
    <row r="69" spans="1:9" x14ac:dyDescent="0.25">
      <c r="A69" s="155"/>
    </row>
    <row r="70" spans="1:9" x14ac:dyDescent="0.25">
      <c r="A70" s="155"/>
    </row>
    <row r="71" spans="1:9" x14ac:dyDescent="0.25">
      <c r="A71" s="155"/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5.2941175999999999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K18" sqref="K18:K19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5.2941175999999999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5.2941175999999999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5.2941175999999999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>
      <selection activeCell="E5" sqref="E5:F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68">
        <v>5.2941175999999999</v>
      </c>
      <c r="F5" s="168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68">
        <v>5.2941175999999999</v>
      </c>
      <c r="F5" s="168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15.8823528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>
      <selection activeCell="C5" sqref="C5:D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68">
        <v>2</v>
      </c>
      <c r="D5" s="168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F6" sqref="F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5703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5.2941175999999999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15.8823528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116.4705872</v>
      </c>
      <c r="I10" s="1" t="s">
        <v>8</v>
      </c>
      <c r="J10" s="168">
        <v>150</v>
      </c>
      <c r="K10" s="168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5.2941175999999999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15.8823528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68">
        <f>SUMPRODUCT($D$5:$F$5,D10:F10)</f>
        <v>116.4705872</v>
      </c>
      <c r="H10" s="168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69">
        <v>5</v>
      </c>
      <c r="H10" s="169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69"/>
      <c r="H11" s="169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P13" sqref="P13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I21" sqref="I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8.3970687999999996</v>
      </c>
      <c r="Q4" s="145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0</v>
      </c>
      <c r="E5" s="1">
        <v>1</v>
      </c>
      <c r="F5" s="1">
        <v>1</v>
      </c>
      <c r="G5" s="1">
        <v>0.29565216999999999</v>
      </c>
      <c r="J5"/>
      <c r="K5"/>
      <c r="M5" t="s">
        <v>20</v>
      </c>
      <c r="N5">
        <v>0</v>
      </c>
      <c r="Q5" s="4">
        <v>44</v>
      </c>
      <c r="R5" s="5">
        <v>22</v>
      </c>
      <c r="S5" s="4">
        <f>SUM(Q5:R5)</f>
        <v>66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721.43095268000002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14.54782604</v>
      </c>
      <c r="J9" s="1" t="s">
        <v>8</v>
      </c>
      <c r="K9" s="1">
        <f>61.2345678+2.3*N4-S5</f>
        <v>14.54782603999999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28.79999991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115.20000009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-9.4608694399999997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28.800000022500001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O5" sqref="O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45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0</v>
      </c>
      <c r="R6" s="10">
        <f>SUM(R4:R5)</f>
        <v>0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5.2941175999999999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15.8823528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58.235293599999999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116.4705872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116.4705872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179.99999839999998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7.5294118000000001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14.588235400000002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42.823529800000003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81.647059600000006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180.00000119999999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M6" sqref="M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-1.9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-1.9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H21" sqref="H2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</v>
      </c>
      <c r="E2">
        <v>100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N7" sqref="N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6.8545356999999996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22</v>
      </c>
      <c r="S4" s="4">
        <f>SUM(Q4:R4)</f>
        <v>66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33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712.53567850000002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10.99999991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2</v>
      </c>
      <c r="E5" s="1">
        <v>7.1818182000000004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25.545454599999999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99.000000200000002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200.0000004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200.0000004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282.18181879999997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5.2941175999999999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15.8823528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58.235293599999999</v>
      </c>
      <c r="I9" s="55" t="s">
        <v>8</v>
      </c>
      <c r="J9" s="55">
        <v>60</v>
      </c>
      <c r="M9" s="57">
        <f ca="1">N9+1</f>
        <v>499799</v>
      </c>
      <c r="N9" s="57">
        <f ca="1">M9+1</f>
        <v>499800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116.4705872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116.4705872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179.99999839999998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>
      <selection activeCell="H9" sqref="H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</v>
      </c>
      <c r="E5" s="58">
        <v>5.2941175999999999</v>
      </c>
      <c r="F5" s="58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58.235293599999999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116.4705872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116.4705872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179.99999839999998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3"/>
  <sheetViews>
    <sheetView workbookViewId="0">
      <selection activeCell="N2" sqref="N2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</v>
      </c>
      <c r="E2">
        <v>100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workbookViewId="0">
      <selection activeCell="I8" sqref="I8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12.380952000000001</v>
      </c>
      <c r="E4" s="1">
        <v>0</v>
      </c>
      <c r="F4" s="1">
        <v>10.869565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68.240163999999993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4.2443000000000097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249.99999499999998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9.999997000000036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J24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10" x14ac:dyDescent="0.25">
      <c r="A1" s="62" t="s">
        <v>203</v>
      </c>
      <c r="C1" t="s">
        <v>123</v>
      </c>
    </row>
    <row r="2" spans="1:10" ht="15.75" thickBot="1" x14ac:dyDescent="0.3">
      <c r="A2" s="63" t="s">
        <v>205</v>
      </c>
      <c r="C2" t="s">
        <v>124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C4" s="6" t="s">
        <v>11</v>
      </c>
      <c r="D4" s="7"/>
    </row>
    <row r="5" spans="1:10" x14ac:dyDescent="0.25">
      <c r="A5" s="62" t="s">
        <v>209</v>
      </c>
      <c r="C5" s="2" t="s">
        <v>12</v>
      </c>
      <c r="D5" s="3">
        <v>0.21</v>
      </c>
    </row>
    <row r="6" spans="1:10" ht="15.75" thickBot="1" x14ac:dyDescent="0.3">
      <c r="A6" s="63" t="b">
        <f>AND(D24,E24,F24,H24)</f>
        <v>1</v>
      </c>
      <c r="C6" s="2" t="s">
        <v>13</v>
      </c>
      <c r="D6" s="3">
        <v>0.7</v>
      </c>
    </row>
    <row r="7" spans="1:10" x14ac:dyDescent="0.25">
      <c r="A7" s="62" t="s">
        <v>210</v>
      </c>
      <c r="C7" s="4" t="s">
        <v>14</v>
      </c>
      <c r="D7" s="5">
        <v>1</v>
      </c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</row>
    <row r="10" spans="1:10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-0.74324323999999997</v>
      </c>
      <c r="E13" s="30">
        <v>5.7094595000000004</v>
      </c>
      <c r="F13" s="30">
        <v>0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15.64189202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55.37162210000001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110.00000096000001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110.00000096000001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180.00000144000001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1</v>
      </c>
      <c r="E24" s="75" t="b">
        <f>ABS(E13-E23)/(1+ABS(E23))&lt;=0.000001</f>
        <v>1</v>
      </c>
      <c r="F24" s="71" t="b">
        <f>ABS(F13-F23)/(1+ABS(F23))&lt;=0.000001</f>
        <v>1</v>
      </c>
      <c r="G24" s="78"/>
      <c r="H24" s="72" t="b">
        <f>ABS(H15-H23)/(1+ABS(H23))&lt;=0.000001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</row>
    <row r="2" spans="1:16" ht="15.75" thickBot="1" x14ac:dyDescent="0.3">
      <c r="A2" s="63" t="s">
        <v>204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O3" s="80"/>
    </row>
    <row r="4" spans="1:16" ht="15.75" thickBot="1" x14ac:dyDescent="0.3">
      <c r="A4" s="63" t="s">
        <v>206</v>
      </c>
      <c r="D4">
        <v>0</v>
      </c>
      <c r="E4">
        <v>4</v>
      </c>
      <c r="F4">
        <v>3</v>
      </c>
      <c r="O4" s="80"/>
    </row>
    <row r="5" spans="1:16" x14ac:dyDescent="0.25">
      <c r="A5" s="62" t="s">
        <v>209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J24"/>
  <sheetViews>
    <sheetView topLeftCell="A7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10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10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</row>
    <row r="3" spans="1:10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</row>
    <row r="4" spans="1:10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</row>
    <row r="5" spans="1:10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</row>
    <row r="6" spans="1:10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</row>
    <row r="7" spans="1:10" x14ac:dyDescent="0.25">
      <c r="A7" s="62" t="s">
        <v>210</v>
      </c>
    </row>
    <row r="8" spans="1:10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</row>
    <row r="9" spans="1:10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</row>
    <row r="14" spans="1:10" x14ac:dyDescent="0.25">
      <c r="C14" t="s">
        <v>249</v>
      </c>
      <c r="D14" s="160">
        <v>100</v>
      </c>
      <c r="E14" s="160">
        <v>100</v>
      </c>
      <c r="F14" s="160">
        <v>0</v>
      </c>
      <c r="G14" s="160">
        <v>0</v>
      </c>
      <c r="H14" s="160">
        <v>0</v>
      </c>
      <c r="I14">
        <f>SUM(D14:H14)</f>
        <v>200</v>
      </c>
      <c r="J14">
        <v>200</v>
      </c>
    </row>
    <row r="15" spans="1:10" x14ac:dyDescent="0.25">
      <c r="C15" t="s">
        <v>250</v>
      </c>
      <c r="D15" s="160">
        <v>0</v>
      </c>
      <c r="E15" s="160">
        <v>0</v>
      </c>
      <c r="F15" s="160">
        <v>200</v>
      </c>
      <c r="G15" s="160">
        <v>100</v>
      </c>
      <c r="H15" s="160">
        <v>0</v>
      </c>
      <c r="I15">
        <f>SUM(D15:H15)</f>
        <v>300</v>
      </c>
      <c r="J15">
        <v>300</v>
      </c>
    </row>
    <row r="16" spans="1:10" x14ac:dyDescent="0.25">
      <c r="C16" t="s">
        <v>251</v>
      </c>
      <c r="D16" s="160">
        <v>0</v>
      </c>
      <c r="E16" s="160">
        <v>200</v>
      </c>
      <c r="F16" s="160">
        <v>0</v>
      </c>
      <c r="G16" s="160">
        <v>0</v>
      </c>
      <c r="H16" s="160">
        <v>150</v>
      </c>
      <c r="I16">
        <f>SUM(D16:H16)</f>
        <v>350</v>
      </c>
      <c r="J16">
        <v>350</v>
      </c>
    </row>
    <row r="17" spans="3:10" x14ac:dyDescent="0.2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10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</row>
    <row r="19" spans="3:10" x14ac:dyDescent="0.25">
      <c r="J19" t="s">
        <v>335</v>
      </c>
    </row>
    <row r="20" spans="3:10" x14ac:dyDescent="0.25">
      <c r="C20" t="s">
        <v>0</v>
      </c>
      <c r="D20">
        <f>SUMPRODUCT(D9:H11,D14:H16)</f>
        <v>13250</v>
      </c>
      <c r="J20" t="s">
        <v>336</v>
      </c>
    </row>
    <row r="21" spans="3:10" x14ac:dyDescent="0.25">
      <c r="J21">
        <v>0</v>
      </c>
    </row>
    <row r="22" spans="3:10" x14ac:dyDescent="0.25">
      <c r="D22" t="s">
        <v>257</v>
      </c>
    </row>
    <row r="23" spans="3:10" x14ac:dyDescent="0.25">
      <c r="D23">
        <v>13250</v>
      </c>
    </row>
    <row r="24" spans="3:10" x14ac:dyDescent="0.25">
      <c r="D24" s="8" t="b">
        <f>ABS(D20-D23)/(1+ABS(D23))&lt;=0.000001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0</v>
      </c>
      <c r="F3" s="134">
        <v>0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0</v>
      </c>
      <c r="I5" s="1"/>
      <c r="J5" s="1"/>
    </row>
    <row r="6" spans="1:12" ht="15.75" thickBot="1" x14ac:dyDescent="0.3">
      <c r="A6" s="63" t="b">
        <f>AND(D16,E16,F16,D20)</f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0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0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G72" sqref="G72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0</v>
      </c>
      <c r="E3" s="31">
        <v>0</v>
      </c>
      <c r="F3" s="31">
        <v>6.0511363999999999</v>
      </c>
      <c r="G3" s="31"/>
      <c r="I3" s="142" t="b">
        <f>ABS(D3-I2)/(1+ABS(I2))&lt;=0.000001</f>
        <v>0</v>
      </c>
      <c r="J3" s="143" t="b">
        <f>ABS(E3-J2)/(1+ABS(J2))&lt;=0.000001</f>
        <v>1</v>
      </c>
      <c r="K3" s="143" t="b">
        <f>ABS(F3-K2)/(1+ABS(K2))&lt;=0.000001</f>
        <v>0</v>
      </c>
      <c r="L3" s="144" t="b">
        <f>ABS(L2-H5)/(1+ABS(L2))&lt;=0.000001</f>
        <v>0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585.86002770247933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72.613636799999995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842.17378982231401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-139.1761372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-139.1761372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-139.1761372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-139.1761372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-139.1761372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-139.1761372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-139.1761372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-139.1761372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-139.1761372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-139.1761372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-139.1761372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-139.1761372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-139.1761372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-139.1761372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-139.1761372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-139.1761372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-139.1761372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-139.1761372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-139.1761372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-139.1761372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-139.1761372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-139.1761372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-139.1761372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-139.1761372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-139.1761372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-139.1761372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-139.1761372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-139.1761372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-139.1761372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-139.1761372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-139.1761372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-139.1761372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-139.1761372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-139.1761372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-139.1761372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-139.1761372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-139.1761372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-139.1761372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-139.1761372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-139.1761372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-139.1761372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-139.1761372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-139.1761372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-139.1761372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-139.1761372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-139.1761372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-139.1761372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-139.1761372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-139.1761372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-139.1761372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-139.1761372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-139.1761372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-139.1761372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-139.1761372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-139.1761372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-139.1761372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-139.1761372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-139.1761372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-139.1761372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-139.1761372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-139.1761372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-139.1761372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-139.1761372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-139.1761372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-193.6363648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-3201.0511556000001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-139.1761372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-139.1761372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-139.1761372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-139.1761372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-139.1761372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-139.1761372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-139.1761372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-139.1761372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-139.1761372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-139.1761372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-139.1761372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-139.1761372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-139.1761372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-139.1761372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-139.1761372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-139.1761372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-139.1761372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-139.1761372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-139.1761372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-139.1761372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-139.1761372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-139.1761372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-139.1761372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-139.1761372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-139.1761372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-139.1761372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-139.1761372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-139.1761372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-139.1761372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-139.1761372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-139.1761372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-139.1761372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-139.1761372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-139.1761372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-139.1761372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-139.1761372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-139.1761372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-139.1761372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-139.1761372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-139.1761372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-139.1761372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-139.1761372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-139.1761372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-139.1761372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-139.1761372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-139.1761372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-139.1761372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-139.1761372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-139.1761372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-139.1761372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-139.1761372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-139.1761372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-139.1761372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-139.1761372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-139.1761372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-139.1761372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-139.1761372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-139.1761372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-139.1761372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-139.1761372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-139.1761372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-139.1761372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-139.1761372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-139.1761372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-193.6363648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0</v>
      </c>
      <c r="F3" s="134">
        <v>0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0</v>
      </c>
      <c r="I5" s="1"/>
      <c r="J5" s="1"/>
    </row>
    <row r="6" spans="1:10" ht="15.75" thickBot="1" x14ac:dyDescent="0.3">
      <c r="A6" s="63" t="b">
        <f>AND(D16,E16,F16,D20)</f>
        <v>0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0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0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0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0</v>
      </c>
      <c r="E5">
        <v>0</v>
      </c>
    </row>
    <row r="6" spans="1:15" ht="15.75" thickBot="1" x14ac:dyDescent="0.3">
      <c r="A6" s="63" t="b">
        <f>AND(F22)</f>
        <v>0</v>
      </c>
      <c r="F6">
        <f>D5^2*E5^2</f>
        <v>0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0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0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0</v>
      </c>
      <c r="G10" t="s">
        <v>9</v>
      </c>
      <c r="H10">
        <v>0</v>
      </c>
    </row>
    <row r="11" spans="1:15" x14ac:dyDescent="0.25">
      <c r="F11">
        <f>E5</f>
        <v>0</v>
      </c>
      <c r="H11">
        <v>0</v>
      </c>
    </row>
    <row r="12" spans="1:15" x14ac:dyDescent="0.25">
      <c r="F12">
        <f>E5*D5+E5+D5</f>
        <v>0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0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0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0</v>
      </c>
      <c r="G15" t="s">
        <v>8</v>
      </c>
      <c r="H15">
        <v>0</v>
      </c>
      <c r="O15" s="81"/>
    </row>
    <row r="16" spans="1:15" x14ac:dyDescent="0.25">
      <c r="F16">
        <f>E5-D5*E5+D5</f>
        <v>0</v>
      </c>
      <c r="G16" t="s">
        <v>8</v>
      </c>
      <c r="H16">
        <v>60</v>
      </c>
      <c r="O16" s="81"/>
    </row>
    <row r="17" spans="6:15" x14ac:dyDescent="0.25">
      <c r="F17">
        <f>E5-D5+E5*D5</f>
        <v>0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0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-9.6341462999999994</v>
      </c>
      <c r="E4">
        <v>0</v>
      </c>
      <c r="F4">
        <v>0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0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44.646043429803676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92.816774929803671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0</v>
      </c>
      <c r="E12" s="8" t="b">
        <f>ABS(E4-E11)/(1+ABS(E11))&lt;=0.0001</f>
        <v>1</v>
      </c>
      <c r="F12" s="8"/>
      <c r="G12" s="8" t="b">
        <f>ABS(G6-G11)/(1+ABS(G11))&lt;=0.000001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0</v>
      </c>
      <c r="E5">
        <v>0</v>
      </c>
      <c r="F5">
        <v>0</v>
      </c>
      <c r="G5">
        <v>0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-20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20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20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1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57.25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0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0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1</v>
      </c>
    </row>
    <row r="6" spans="1:15" ht="15.75" thickBot="1" x14ac:dyDescent="0.3">
      <c r="A6" s="63" t="b">
        <f>AND(K37)</f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0</v>
      </c>
      <c r="E18" s="28">
        <f>46*D18</f>
        <v>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0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136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0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0</v>
      </c>
      <c r="F39">
        <f>SUMPRODUCT($D$3:$D$35,F3:F35)</f>
        <v>0</v>
      </c>
      <c r="G39">
        <f>SUMPRODUCT($D$3:$D$35,G3:G35)</f>
        <v>0</v>
      </c>
      <c r="H39">
        <f>SUMPRODUCT($D$3:$D$35,H3:H35)</f>
        <v>0</v>
      </c>
      <c r="I39">
        <f>SUMPRODUCT($D$3:$D$35,I3:I35)</f>
        <v>0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0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0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0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0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0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F4" sqref="F4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10</v>
      </c>
      <c r="D4" s="80">
        <v>10</v>
      </c>
      <c r="F4">
        <f>100*(D4-C4^2)^2+(1-C4)^2</f>
        <v>810081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0</v>
      </c>
      <c r="C6">
        <v>1</v>
      </c>
      <c r="D6">
        <v>0</v>
      </c>
      <c r="E6">
        <f>SUMPRODUCT(C6:D6,$C$4:$D$4)</f>
        <v>10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0</v>
      </c>
      <c r="D11" s="8" t="b">
        <f>ABS(D4-D10)/(1+ABS(D10))&lt;=0.001</f>
        <v>0</v>
      </c>
      <c r="E11" s="8"/>
      <c r="F11" s="8" t="b">
        <f>ABS(F4-F10)/(1+ABS(F10))&lt;=0.0001</f>
        <v>0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0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0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0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-10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-10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70.543421592812308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D11" sqref="D1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e">
        <f>AND(D17)</f>
        <v>#DIV/0!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0</v>
      </c>
      <c r="E11" s="108"/>
    </row>
    <row r="12" spans="1:5" x14ac:dyDescent="0.25">
      <c r="C12" s="106" t="s">
        <v>266</v>
      </c>
      <c r="D12" s="107">
        <f>D11/D4</f>
        <v>0</v>
      </c>
      <c r="E12" s="108"/>
    </row>
    <row r="13" spans="1:5" x14ac:dyDescent="0.25">
      <c r="C13" s="106" t="s">
        <v>267</v>
      </c>
      <c r="D13" s="109">
        <f>D8*D11/2</f>
        <v>0</v>
      </c>
      <c r="E13" s="108"/>
    </row>
    <row r="14" spans="1:5" x14ac:dyDescent="0.25">
      <c r="C14" s="106" t="s">
        <v>268</v>
      </c>
      <c r="D14" s="110" t="e">
        <f>D5/D12</f>
        <v>#DIV/0!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 t="e">
        <f>D13+D14</f>
        <v>#DIV/0!</v>
      </c>
      <c r="E16" s="108"/>
    </row>
    <row r="17" spans="3:4" x14ac:dyDescent="0.25">
      <c r="D17" s="83" t="e">
        <f>D16&lt;0.75</f>
        <v>#DIV/0!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</v>
      </c>
      <c r="G2" s="114">
        <v>0</v>
      </c>
      <c r="H2" s="114">
        <v>0</v>
      </c>
      <c r="I2" s="114">
        <v>0</v>
      </c>
      <c r="J2" s="112">
        <f>SQRT(($F$2-D2)^2+($G$2-E2)^2)</f>
        <v>0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1</v>
      </c>
      <c r="K3" s="96"/>
      <c r="N3" s="86" t="s">
        <v>281</v>
      </c>
      <c r="O3" s="86">
        <f>$F$2</f>
        <v>0</v>
      </c>
      <c r="P3" s="86">
        <f>$G$2</f>
        <v>0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2.2360679774997898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2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0</v>
      </c>
      <c r="K6" s="96"/>
      <c r="N6" s="86" t="s">
        <v>281</v>
      </c>
      <c r="O6" s="86">
        <f>$F$2</f>
        <v>0</v>
      </c>
      <c r="P6" s="86">
        <f>$G$2</f>
        <v>0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5.2360679774997898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0</v>
      </c>
      <c r="P9" s="86">
        <f>$I$2</f>
        <v>0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0</v>
      </c>
      <c r="P12" s="86">
        <f>$I$2</f>
        <v>0</v>
      </c>
    </row>
    <row r="14" spans="1:16" x14ac:dyDescent="0.25">
      <c r="N14" s="86" t="s">
        <v>281</v>
      </c>
      <c r="O14" s="86">
        <f>$F$2</f>
        <v>0</v>
      </c>
      <c r="P14" s="86">
        <f>$G$2</f>
        <v>0</v>
      </c>
    </row>
    <row r="15" spans="1:16" x14ac:dyDescent="0.25">
      <c r="N15" s="86" t="s">
        <v>283</v>
      </c>
      <c r="O15" s="86">
        <f>$H$2</f>
        <v>0</v>
      </c>
      <c r="P15" s="86">
        <f>$I$2</f>
        <v>0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70" t="s">
        <v>285</v>
      </c>
      <c r="D1" s="170"/>
      <c r="E1" s="170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3</v>
      </c>
      <c r="I4" s="125">
        <f>SIN(RADIANS(D7))*D2</f>
        <v>0</v>
      </c>
    </row>
    <row r="5" spans="1:9" x14ac:dyDescent="0.25">
      <c r="A5" s="62" t="s">
        <v>209</v>
      </c>
      <c r="H5" s="125">
        <f>H4+COS(RADIANS(D8))*D3</f>
        <v>8</v>
      </c>
      <c r="I5" s="125">
        <f>I4+SIN(RADIANS(D8))*D3</f>
        <v>0</v>
      </c>
    </row>
    <row r="6" spans="1:9" ht="15.75" thickBot="1" x14ac:dyDescent="0.3">
      <c r="A6" s="63" t="b">
        <f>AND(F16)</f>
        <v>0</v>
      </c>
      <c r="C6" s="170" t="s">
        <v>224</v>
      </c>
      <c r="D6" s="170"/>
      <c r="E6" s="170"/>
    </row>
    <row r="7" spans="1:9" x14ac:dyDescent="0.25">
      <c r="A7" s="62" t="s">
        <v>210</v>
      </c>
      <c r="C7" s="127" t="s">
        <v>290</v>
      </c>
      <c r="D7" s="128">
        <v>0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28">
        <v>0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70" t="s">
        <v>293</v>
      </c>
      <c r="D10" s="170"/>
      <c r="E10" s="170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8</v>
      </c>
      <c r="D12" s="130">
        <f>D4</f>
        <v>7</v>
      </c>
      <c r="E12" s="130">
        <f>D12-C12</f>
        <v>-1</v>
      </c>
      <c r="F12" s="130">
        <f>E12^2</f>
        <v>1</v>
      </c>
    </row>
    <row r="13" spans="1:9" x14ac:dyDescent="0.25">
      <c r="C13" s="130">
        <f>D2*SIN(RADIANS(D7))+D3*SIN(RADIANS(D8))</f>
        <v>0</v>
      </c>
      <c r="D13" s="130">
        <v>0</v>
      </c>
      <c r="E13" s="130">
        <f>C13-D13</f>
        <v>0</v>
      </c>
      <c r="F13" s="130">
        <f>E13^2</f>
        <v>0</v>
      </c>
    </row>
    <row r="15" spans="1:9" x14ac:dyDescent="0.25">
      <c r="C15" s="170" t="s">
        <v>298</v>
      </c>
      <c r="D15" s="170"/>
      <c r="E15" s="170"/>
      <c r="F15" s="131">
        <f>SUM(F12:F13)</f>
        <v>1</v>
      </c>
    </row>
    <row r="16" spans="1:9" x14ac:dyDescent="0.25">
      <c r="C16" s="132"/>
      <c r="F16" s="125" t="b">
        <f>ABS(F15)&lt;=0.000001</f>
        <v>0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C15" sqref="C15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71" t="s">
        <v>157</v>
      </c>
      <c r="C33" s="172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163</vt:i4>
      </vt:variant>
    </vt:vector>
  </HeadingPairs>
  <TitlesOfParts>
    <vt:vector size="231" baseType="lpstr">
      <vt:lpstr>Data</vt:lpstr>
      <vt:lpstr>Results</vt:lpstr>
      <vt:lpstr>SimpleLP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NamedRanges</vt:lpstr>
      <vt:lpstr>QuickSolve</vt:lpstr>
      <vt:lpstr>SolverParameters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OpenSolver_CBCParameters</vt:lpstr>
      <vt:lpstr>'BadName!'!OpenSolver_ModelParameters</vt:lpstr>
      <vt:lpstr>BinIntLB!OpenSolver_ModelParameters</vt:lpstr>
      <vt:lpstr>BinIntOverlap!OpenSolver_ModelParameters</vt:lpstr>
      <vt:lpstr>BinLB!OpenSolver_ModelParameters</vt:lpstr>
      <vt:lpstr>BlankLHS!OpenSolver_ModelParameters</vt:lpstr>
      <vt:lpstr>BlankRHS!OpenSolver_ModelParameters</vt:lpstr>
      <vt:lpstr>ComplexLayout!OpenSolver_ModelParameters</vt:lpstr>
      <vt:lpstr>ConFormula!OpenSolver_ModelParameters</vt:lpstr>
      <vt:lpstr>ConFormulaInf!OpenSolver_ModelParameters</vt:lpstr>
      <vt:lpstr>ConstantLB!OpenSolver_ModelParameters</vt:lpstr>
      <vt:lpstr>ConstFormulaRangeLB!OpenSolver_ModelParameters</vt:lpstr>
      <vt:lpstr>ConstraintLB!OpenSolver_ModelParameters</vt:lpstr>
      <vt:lpstr>DeletedConRef!OpenSolver_ModelParameters</vt:lpstr>
      <vt:lpstr>DeletedObjRef!OpenSolver_ModelParameters</vt:lpstr>
      <vt:lpstr>ErrorLHS!OpenSolver_ModelParameters</vt:lpstr>
      <vt:lpstr>ErrorObj!OpenSolver_ModelParameters</vt:lpstr>
      <vt:lpstr>ErrorRHS!OpenSolver_ModelParameters</vt:lpstr>
      <vt:lpstr>'EscapeSheetName(1)+2-1'!OpenSolver_ModelParameters</vt:lpstr>
      <vt:lpstr>FeasConstConstraint!OpenSolver_ModelParameters</vt:lpstr>
      <vt:lpstr>FormulaLB!OpenSolver_ModelParameters</vt:lpstr>
      <vt:lpstr>Highlighting!OpenSolver_ModelParameters</vt:lpstr>
      <vt:lpstr>IndirectLBs!OpenSolver_ModelParameters</vt:lpstr>
      <vt:lpstr>InfConstConstraint!OpenSolver_ModelParameters</vt:lpstr>
      <vt:lpstr>InfModel!OpenSolver_ModelParameters</vt:lpstr>
      <vt:lpstr>IterativeCalc!OpenSolver_ModelParameters</vt:lpstr>
      <vt:lpstr>LargeRangeLB!OpenSolver_ModelParameters</vt:lpstr>
      <vt:lpstr>MergedLHS_OK!OpenSolver_ModelParameters</vt:lpstr>
      <vt:lpstr>MergedLHSMultiple_OK!OpenSolver_ModelParameters</vt:lpstr>
      <vt:lpstr>MergedRHS_OK!OpenSolver_ModelParameters</vt:lpstr>
      <vt:lpstr>MergedVarsBad!OpenSolver_ModelParameters</vt:lpstr>
      <vt:lpstr>MergedVarsOK!OpenSolver_ModelParameters</vt:lpstr>
      <vt:lpstr>MergedVarsSubset!OpenSolver_ModelParameters</vt:lpstr>
      <vt:lpstr>NoObj!OpenSolver_ModelParameters</vt:lpstr>
      <vt:lpstr>OverlappingVars!OpenSolver_ModelParameters</vt:lpstr>
      <vt:lpstr>OverlapRangeLB!OpenSolver_ModelParameters</vt:lpstr>
      <vt:lpstr>OverlapRangeLBwithFormula!OpenSolver_ModelParameters</vt:lpstr>
      <vt:lpstr>ProtectedSheet!OpenSolver_ModelParameters</vt:lpstr>
      <vt:lpstr>QuickSolve!OpenSolver_ModelParameters</vt:lpstr>
      <vt:lpstr>Relaxation!OpenSolver_ModelParameters</vt:lpstr>
      <vt:lpstr>SingleRangeLB!OpenSolver_ModelParameters</vt:lpstr>
      <vt:lpstr>TextObj!OpenSolver_ModelParameters</vt:lpstr>
      <vt:lpstr>TextRHS!OpenSolver_ModelParameters</vt:lpstr>
      <vt:lpstr>VarConstraintLB!OpenSolver_ModelParameters</vt:lpstr>
      <vt:lpstr>VariableFormulaRangeLB!OpenSolver_ModelParameters</vt:lpstr>
      <vt:lpstr>OpenSolver_ModelParameters</vt:lpstr>
      <vt:lpstr>QuickSolve!OpenSolverModelParameters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SingleRangeLB!Scale</vt:lpstr>
      <vt:lpstr>TextObj!Scale</vt:lpstr>
      <vt:lpstr>TextRHS!Scale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SingleRangeLB!Sheet1OpenSolverModelParameters</vt:lpstr>
      <vt:lpstr>TextObj!Sheet1OpenSolverModelParameters</vt:lpstr>
      <vt:lpstr>TextRHS!Sheet1OpenSolverModelParameters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2015-04-05T21:53:40Z</dcterms:modified>
</cp:coreProperties>
</file>