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94" l="1"/>
  <c r="G4" i="92"/>
  <c r="G4" i="90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S4" i="8"/>
  <c r="S3" i="7"/>
  <c r="D22" i="35"/>
  <c r="D22" i="33"/>
  <c r="D12" i="88"/>
  <c r="E12" i="88" s="1"/>
  <c r="F12" i="88" s="1"/>
  <c r="F15" i="88" s="1"/>
  <c r="P3" i="75"/>
  <c r="P4" i="75"/>
  <c r="H6" i="18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A7" i="76"/>
  <c r="C4" i="76"/>
  <c r="D4" i="76"/>
  <c r="D6" i="76" s="1"/>
  <c r="B7" i="76"/>
  <c r="C6" i="76"/>
  <c r="G8" i="70"/>
  <c r="I7" i="71"/>
  <c r="F9" i="69"/>
  <c r="F21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/>
  <c r="K35" i="7" s="1"/>
  <c r="L30" i="7"/>
  <c r="L33" i="7" s="1"/>
  <c r="L34" i="7" s="1"/>
  <c r="L35" i="7" s="1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A6" i="90" l="1"/>
  <c r="J7" i="87"/>
  <c r="J24" i="87" s="1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D16" i="85"/>
  <c r="D17" i="85" s="1"/>
  <c r="A6" i="85" s="1"/>
  <c r="F16" i="88"/>
  <c r="A6" i="88" s="1"/>
  <c r="C7" i="76"/>
  <c r="E7" i="76"/>
  <c r="A8" i="76"/>
  <c r="D7" i="76"/>
  <c r="E6" i="76"/>
  <c r="F4" i="76"/>
  <c r="E8" i="76"/>
  <c r="C8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I7" i="9"/>
  <c r="D22" i="9" s="1"/>
  <c r="F16" i="9"/>
  <c r="I7" i="8"/>
  <c r="D22" i="8" s="1"/>
  <c r="A6" i="8" s="1"/>
  <c r="F16" i="8"/>
  <c r="I6" i="7"/>
  <c r="D21" i="7" s="1"/>
  <c r="A6" i="7" s="1"/>
  <c r="F15" i="7"/>
  <c r="A6" i="6"/>
  <c r="A6" i="34"/>
  <c r="A6" i="33"/>
  <c r="A6" i="31"/>
  <c r="A6" i="22"/>
  <c r="A9" i="76" l="1"/>
  <c r="D8" i="76"/>
  <c r="B8" i="76"/>
  <c r="F8" i="76"/>
  <c r="F6" i="76"/>
  <c r="G4" i="76"/>
  <c r="F7" i="76"/>
  <c r="F5" i="76"/>
  <c r="G5" i="76" l="1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W48" i="76"/>
  <c r="I48" i="76"/>
  <c r="AR20" i="76"/>
  <c r="AR19" i="76"/>
  <c r="AK48" i="76"/>
  <c r="P48" i="76"/>
  <c r="R48" i="76"/>
  <c r="AC48" i="76"/>
  <c r="AR5" i="76"/>
  <c r="AR9" i="76"/>
  <c r="AH48" i="76"/>
  <c r="AR39" i="76"/>
  <c r="AR16" i="76"/>
  <c r="X48" i="76"/>
  <c r="AG48" i="76"/>
  <c r="AR24" i="76"/>
  <c r="D48" i="76" l="1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B51" i="76" s="1"/>
  <c r="L2" i="75" s="1"/>
  <c r="M2" i="75" s="1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 s="1"/>
  <c r="M3" i="75" s="1"/>
  <c r="A6" i="75" l="1"/>
  <c r="N9" i="57"/>
  <c r="M9" i="57"/>
</calcChain>
</file>

<file path=xl/sharedStrings.xml><?xml version="1.0" encoding="utf-8"?>
<sst xmlns="http://schemas.openxmlformats.org/spreadsheetml/2006/main" count="2119" uniqueCount="478">
  <si>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</si>
  <si>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</si>
  <si>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</si>
  <si>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</si>
  <si>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</si>
  <si>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</si>
  <si>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</si>
  <si>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</si>
  <si>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</si>
  <si>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</si>
  <si>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</si>
  <si>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</si>
  <si>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</si>
  <si>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</si>
  <si>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</si>
  <si>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</si>
  <si>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</si>
  <si>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</si>
  <si>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</si>
  <si>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</si>
  <si>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</si>
  <si>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</si>
  <si>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</si>
  <si>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</si>
  <si>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</si>
  <si>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</si>
  <si>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</si>
  <si>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</si>
  <si>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</si>
  <si>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</si>
  <si>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</si>
  <si>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</si>
  <si>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</si>
  <si>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</si>
  <si>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</si>
  <si>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</si>
  <si>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</si>
  <si>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</si>
  <si>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</si>
  <si>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</si>
  <si>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</si>
  <si>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</si>
  <si>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</si>
  <si>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</si>
  <si>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</si>
  <si>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</si>
  <si>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</si>
  <si>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</si>
  <si>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</si>
  <si>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</si>
  <si>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</si>
  <si>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</si>
  <si>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</si>
  <si>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</si>
  <si>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</si>
  <si>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</si>
  <si>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</si>
  <si>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</si>
  <si>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</si>
  <si>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</si>
  <si>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</si>
  <si>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</si>
  <si>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</si>
  <si>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</si>
  <si>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</si>
  <si>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</si>
  <si>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</si>
  <si>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</si>
  <si>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</si>
  <si>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</si>
  <si>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</si>
  <si>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</si>
  <si>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</si>
  <si>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</si>
  <si>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</si>
  <si>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</si>
  <si>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</si>
  <si>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</si>
  <si>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</si>
  <si>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</si>
  <si>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</si>
  <si>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</si>
  <si>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</si>
  <si>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</si>
  <si>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</si>
  <si>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</si>
  <si>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</si>
  <si>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</si>
  <si>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</si>
  <si>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</si>
  <si>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</si>
  <si>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</si>
  <si>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</si>
  <si>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</si>
  <si>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</si>
  <si>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</si>
  <si>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</si>
  <si>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</si>
  <si>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</si>
  <si>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</si>
  <si>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</si>
  <si>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</si>
  <si>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</si>
  <si>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</si>
  <si>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</si>
  <si>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</si>
  <si>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</si>
  <si>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</si>
  <si>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</si>
  <si>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</si>
  <si>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</si>
  <si>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</si>
  <si>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</si>
  <si>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</si>
  <si>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</si>
  <si>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</si>
  <si>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</si>
  <si>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</si>
  <si>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</si>
  <si>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</si>
  <si>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</si>
  <si>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</si>
  <si>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</si>
  <si>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</si>
  <si>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</si>
  <si>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</si>
  <si>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</si>
  <si>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</si>
  <si>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</si>
  <si>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</si>
  <si>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</si>
  <si>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</si>
  <si>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</si>
  <si>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</si>
  <si>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</si>
  <si>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</si>
  <si>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</si>
  <si>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</si>
  <si>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</si>
  <si>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</si>
  <si>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</si>
  <si>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</si>
  <si>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</si>
  <si>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</si>
  <si>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</si>
  <si>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</si>
  <si>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</si>
  <si>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</si>
  <si>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</si>
  <si>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</si>
  <si>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</si>
  <si>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</si>
  <si>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</si>
  <si>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</si>
  <si>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</si>
  <si>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</si>
  <si>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</si>
  <si>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</si>
  <si>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</si>
  <si>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</si>
  <si>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</si>
  <si>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</si>
  <si>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</si>
  <si>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</si>
  <si>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</si>
  <si>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</si>
  <si>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</si>
  <si>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</si>
  <si>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</si>
  <si>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</si>
  <si>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</si>
  <si>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</si>
  <si>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</si>
  <si>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</si>
  <si>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</si>
  <si>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</si>
  <si>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</si>
  <si>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</si>
  <si>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</si>
  <si>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</si>
  <si>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</si>
  <si>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</si>
  <si>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</si>
  <si>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</si>
  <si>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</si>
  <si>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</si>
  <si>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</si>
  <si>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</si>
  <si>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</si>
  <si>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</si>
  <si>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</si>
  <si>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</si>
  <si>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</si>
  <si>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</si>
  <si>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</si>
  <si>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</si>
  <si>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</si>
  <si>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</si>
  <si>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</si>
  <si>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</si>
  <si>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</si>
  <si>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</si>
  <si>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</si>
  <si>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</si>
  <si>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</si>
  <si>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</si>
  <si>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</si>
  <si>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</si>
  <si>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</si>
  <si>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</si>
  <si>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</si>
  <si>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</si>
  <si>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</si>
  <si>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</si>
  <si>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</si>
  <si>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</si>
  <si>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</si>
  <si>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</si>
  <si>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</si>
  <si>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</si>
  <si>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</si>
  <si>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</si>
  <si>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</si>
  <si>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</si>
  <si>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</si>
  <si>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</si>
  <si>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</si>
  <si>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</si>
  <si>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</si>
  <si>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</si>
  <si>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</si>
  <si>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</si>
  <si>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</si>
  <si>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</si>
  <si>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</si>
  <si>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</si>
  <si>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</si>
  <si>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</si>
  <si>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</si>
  <si>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</si>
  <si>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</si>
  <si>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</si>
  <si>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</si>
  <si>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</si>
  <si>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</si>
  <si>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</si>
  <si>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</si>
  <si>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</si>
  <si>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</si>
  <si>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</si>
  <si>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</si>
  <si>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</si>
  <si>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</si>
  <si>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</si>
  <si>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</si>
  <si>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</si>
  <si>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</si>
  <si>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</si>
  <si>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</si>
  <si>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</si>
  <si>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</si>
  <si>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</si>
  <si>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</si>
  <si>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</si>
  <si>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</si>
  <si>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</si>
  <si>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</si>
  <si>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</si>
  <si>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</si>
  <si>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</si>
  <si>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</si>
  <si>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</si>
  <si>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</si>
  <si>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</si>
  <si>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</si>
  <si>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</si>
  <si>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</si>
  <si>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</si>
  <si>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</si>
  <si>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</si>
  <si>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</si>
  <si>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</si>
  <si>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</si>
  <si>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</si>
  <si>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</si>
  <si>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</si>
  <si>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</si>
  <si>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</si>
  <si>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</si>
  <si>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</si>
  <si>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</si>
  <si>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</si>
  <si>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</si>
  <si>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</si>
  <si>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</si>
  <si>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</si>
  <si>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</si>
  <si>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</si>
  <si>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</si>
  <si>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</si>
  <si>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</si>
  <si>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</si>
  <si>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</si>
  <si>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</si>
  <si>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</si>
  <si>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</si>
  <si>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</si>
  <si>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</si>
  <si>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</si>
  <si>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</si>
  <si>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</si>
  <si>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</si>
  <si>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</si>
  <si>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</si>
  <si>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</si>
  <si>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</si>
  <si>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</si>
  <si>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</si>
  <si>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</si>
  <si>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</si>
  <si>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</si>
  <si>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</si>
  <si>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</si>
  <si>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</si>
  <si>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</si>
  <si>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</si>
  <si>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</si>
  <si>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</si>
  <si>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</si>
  <si>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</si>
  <si>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</si>
  <si>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</si>
  <si>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</si>
  <si>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</si>
  <si>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</si>
  <si>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</si>
  <si>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</si>
  <si>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</si>
  <si>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</si>
  <si>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</si>
  <si>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</si>
  <si>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</si>
  <si>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</si>
  <si>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</si>
  <si>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</si>
  <si>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</si>
  <si>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</si>
  <si>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</si>
  <si>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</si>
  <si>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</si>
  <si>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</si>
  <si>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</si>
  <si>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</si>
  <si>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</si>
  <si>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</si>
  <si>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</si>
  <si>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</si>
  <si>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</si>
  <si>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</si>
  <si>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</si>
  <si>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</si>
  <si>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</si>
  <si>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</si>
  <si>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</si>
  <si>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</si>
  <si>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</si>
  <si>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</si>
  <si>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</si>
  <si>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</si>
  <si>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</si>
  <si>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</si>
  <si>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</si>
  <si>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</si>
  <si>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</si>
  <si>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</si>
  <si>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</si>
  <si>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</si>
  <si>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</si>
  <si>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</si>
  <si>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</si>
  <si>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</si>
  <si>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</si>
  <si>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</si>
  <si>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</si>
  <si>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</si>
  <si>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</si>
  <si>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</si>
  <si>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</si>
  <si>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</si>
  <si>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</si>
  <si>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</si>
  <si>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</si>
  <si>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</si>
  <si>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</si>
  <si>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</si>
  <si>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</si>
  <si>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</si>
  <si>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</si>
  <si>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</si>
  <si>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</si>
  <si>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</si>
  <si>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</si>
  <si>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</si>
  <si>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</si>
  <si>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OpenSolver Sensitivity Report - Gurobi</t>
  </si>
  <si>
    <t>Worksheet: [OpenSolver Tester.xlsm] Test44_Seek</t>
  </si>
  <si>
    <t>Normal A</t>
  </si>
  <si>
    <t>Normal B</t>
  </si>
  <si>
    <t>Normal C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</si>
  <si>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</si>
  <si>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</si>
  <si>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</si>
  <si>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</si>
  <si>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</si>
  <si>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</si>
  <si>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</si>
  <si>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</si>
  <si>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</si>
  <si>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</si>
  <si>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</si>
  <si>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</si>
  <si>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</si>
  <si>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</si>
  <si>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</si>
  <si>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</si>
  <si>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</si>
  <si>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</si>
  <si>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</si>
  <si>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</si>
  <si>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</si>
  <si>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</si>
  <si>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</si>
  <si>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</si>
  <si>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</si>
  <si>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</si>
  <si>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</si>
  <si>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</si>
  <si>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</si>
  <si>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</si>
  <si>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</si>
  <si>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</si>
  <si>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</si>
  <si>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</si>
  <si>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</si>
  <si>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</si>
  <si>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</si>
  <si>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</si>
  <si>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</si>
  <si>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</si>
  <si>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</si>
  <si>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</si>
  <si>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</si>
  <si>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</si>
  <si>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</si>
  <si>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</si>
  <si>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</si>
  <si>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</si>
  <si>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Test28_CBCOptions</t>
  </si>
  <si>
    <t>Test29</t>
  </si>
  <si>
    <t>Test30</t>
  </si>
  <si>
    <t>Test31</t>
  </si>
  <si>
    <t>Report Created: 2/12/2014 11:42:40 a.m.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</si>
  <si>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</si>
  <si>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</si>
  <si>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</si>
  <si>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</si>
  <si>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</si>
  <si>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</si>
  <si>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</si>
  <si>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</si>
  <si>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Report Created: 2/12/2014 11:42:43 a.m.</t>
  </si>
  <si>
    <t>Test40</t>
  </si>
  <si>
    <t>Test41</t>
  </si>
  <si>
    <t>Test42</t>
  </si>
  <si>
    <t>Test43</t>
  </si>
  <si>
    <t>Test44_Seek</t>
  </si>
  <si>
    <t>Report Created: 2/12/2014 11:42:44 a.m.</t>
  </si>
  <si>
    <t>Test45_SheetName(1)+2-1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</si>
</sst>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</cellStyleXfs>
  <cellXfs count="17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14047968"/>
        <c:axId val="314051104"/>
        <c:axId val="476179112"/>
      </c:surface3DChart>
      <c:catAx>
        <c:axId val="31404796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05110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1405110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047968"/>
        <c:crosses val="min"/>
        <c:crossBetween val="between"/>
        <c:majorUnit val="0.1"/>
      </c:valAx>
      <c:serAx>
        <c:axId val="476179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05110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22376"/>
        <c:axId val="308319232"/>
      </c:scatterChart>
      <c:valAx>
        <c:axId val="3088223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319232"/>
        <c:crosses val="autoZero"/>
        <c:crossBetween val="midCat"/>
        <c:majorUnit val="0.5"/>
      </c:valAx>
      <c:valAx>
        <c:axId val="30831923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8223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28864"/>
        <c:axId val="477643064"/>
      </c:scatterChart>
      <c:valAx>
        <c:axId val="11272886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643064"/>
        <c:crosses val="autoZero"/>
        <c:crossBetween val="midCat"/>
        <c:majorUnit val="1"/>
      </c:valAx>
      <c:valAx>
        <c:axId val="47764306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7288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136711</xdr:colOff>
          <xdr:row>0</xdr:row>
          <xdr:rowOff>195542</xdr:rowOff>
        </xdr:from>
        <xdr:to>
          <xdr:col>8</xdr:col>
          <xdr:colOff>454397</xdr:colOff>
          <xdr:row>0</xdr:row>
          <xdr:rowOff>633692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256054</xdr:colOff>
          <xdr:row>0</xdr:row>
          <xdr:rowOff>190499</xdr:rowOff>
        </xdr:from>
        <xdr:to>
          <xdr:col>11</xdr:col>
          <xdr:colOff>565896</xdr:colOff>
          <xdr:row>0</xdr:row>
          <xdr:rowOff>624167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68"/>
  <sheetViews>
    <sheetView tabSelected="1" zoomScale="85" zoomScaleNormal="85" zoomScalePageLayoutView="85" workbookViewId="0">
      <selection activeCell="M8" sqref="M8"/>
    </sheetView>
  </sheetViews>
  <sheetFormatPr defaultColWidth="9.140625" defaultRowHeight="15" x14ac:dyDescent="0.25"/>
  <cols>
    <col min="1" max="1" width="26.7109375" style="178" customWidth="1"/>
    <col min="2" max="16384" width="9.140625" style="60"/>
  </cols>
  <sheetData>
    <row r="1" spans="1:6" s="167" customFormat="1" ht="63" customHeight="1" thickBot="1" x14ac:dyDescent="0.3">
      <c r="A1" s="176"/>
      <c r="C1" s="175" t="s">
        <v>391</v>
      </c>
      <c r="D1" s="175"/>
      <c r="E1" s="175"/>
      <c r="F1" s="175"/>
    </row>
    <row r="2" spans="1:6" s="166" customFormat="1" ht="15.75" thickBot="1" x14ac:dyDescent="0.3">
      <c r="A2" s="177" t="s">
        <v>194</v>
      </c>
      <c r="B2" s="165" t="s">
        <v>195</v>
      </c>
      <c r="C2" s="166" t="s">
        <v>196</v>
      </c>
    </row>
    <row r="3" spans="1:6" x14ac:dyDescent="0.25">
      <c r="A3" s="178" t="s">
        <v>409</v>
      </c>
      <c r="B3" s="60" t="s">
        <v>390</v>
      </c>
      <c r="C3" s="60" t="s">
        <v>390</v>
      </c>
    </row>
    <row r="4" spans="1:6" x14ac:dyDescent="0.25">
      <c r="A4" s="178" t="s">
        <v>410</v>
      </c>
      <c r="B4" s="60" t="s">
        <v>390</v>
      </c>
      <c r="C4" s="60" t="s">
        <v>390</v>
      </c>
    </row>
    <row r="5" spans="1:6" x14ac:dyDescent="0.25">
      <c r="A5" s="178" t="s">
        <v>411</v>
      </c>
      <c r="B5" s="60" t="s">
        <v>390</v>
      </c>
      <c r="C5" s="60" t="s">
        <v>390</v>
      </c>
    </row>
    <row r="6" spans="1:6" x14ac:dyDescent="0.25">
      <c r="A6" s="178" t="s">
        <v>412</v>
      </c>
      <c r="B6" s="60" t="s">
        <v>390</v>
      </c>
      <c r="C6" s="60" t="s">
        <v>390</v>
      </c>
    </row>
    <row r="7" spans="1:6" x14ac:dyDescent="0.25">
      <c r="A7" s="178" t="s">
        <v>413</v>
      </c>
      <c r="B7" s="60" t="s">
        <v>390</v>
      </c>
      <c r="C7" s="60" t="s">
        <v>390</v>
      </c>
    </row>
    <row r="8" spans="1:6" x14ac:dyDescent="0.25">
      <c r="A8" s="178" t="s">
        <v>414</v>
      </c>
      <c r="B8" s="60" t="s">
        <v>390</v>
      </c>
      <c r="C8" s="60" t="s">
        <v>390</v>
      </c>
    </row>
    <row r="9" spans="1:6" x14ac:dyDescent="0.25">
      <c r="A9" s="178" t="s">
        <v>415</v>
      </c>
      <c r="B9" s="60" t="s">
        <v>390</v>
      </c>
      <c r="C9" s="60" t="s">
        <v>390</v>
      </c>
    </row>
    <row r="10" spans="1:6" x14ac:dyDescent="0.25">
      <c r="A10" s="178" t="s">
        <v>416</v>
      </c>
      <c r="B10" s="60" t="s">
        <v>390</v>
      </c>
      <c r="C10" s="60" t="s">
        <v>390</v>
      </c>
    </row>
    <row r="11" spans="1:6" x14ac:dyDescent="0.25">
      <c r="A11" s="178" t="s">
        <v>417</v>
      </c>
      <c r="B11" s="60" t="s">
        <v>390</v>
      </c>
      <c r="C11" s="60" t="s">
        <v>390</v>
      </c>
    </row>
    <row r="12" spans="1:6" x14ac:dyDescent="0.25">
      <c r="A12" s="178" t="s">
        <v>418</v>
      </c>
      <c r="B12" s="60" t="s">
        <v>390</v>
      </c>
      <c r="C12" s="60" t="s">
        <v>390</v>
      </c>
    </row>
    <row r="13" spans="1:6" x14ac:dyDescent="0.25">
      <c r="A13" s="178" t="s">
        <v>419</v>
      </c>
      <c r="B13" s="60" t="s">
        <v>390</v>
      </c>
      <c r="C13" s="60" t="s">
        <v>390</v>
      </c>
    </row>
    <row r="14" spans="1:6" x14ac:dyDescent="0.25">
      <c r="A14" s="178" t="s">
        <v>420</v>
      </c>
      <c r="B14" s="60" t="s">
        <v>390</v>
      </c>
      <c r="C14" s="60" t="s">
        <v>390</v>
      </c>
    </row>
    <row r="15" spans="1:6" x14ac:dyDescent="0.25">
      <c r="A15" s="178" t="s">
        <v>421</v>
      </c>
      <c r="B15" s="60" t="s">
        <v>390</v>
      </c>
      <c r="C15" s="60" t="s">
        <v>390</v>
      </c>
    </row>
    <row r="16" spans="1:6" x14ac:dyDescent="0.25">
      <c r="A16" s="178" t="s">
        <v>422</v>
      </c>
      <c r="B16" s="60" t="s">
        <v>390</v>
      </c>
      <c r="C16" s="60" t="s">
        <v>390</v>
      </c>
    </row>
    <row r="17" spans="1:3" x14ac:dyDescent="0.25">
      <c r="A17" s="178" t="s">
        <v>423</v>
      </c>
      <c r="B17" s="60" t="s">
        <v>390</v>
      </c>
      <c r="C17" s="60" t="s">
        <v>390</v>
      </c>
    </row>
    <row r="18" spans="1:3" x14ac:dyDescent="0.25">
      <c r="A18" s="178" t="s">
        <v>424</v>
      </c>
      <c r="B18" s="60" t="s">
        <v>390</v>
      </c>
      <c r="C18" s="60" t="s">
        <v>390</v>
      </c>
    </row>
    <row r="19" spans="1:3" x14ac:dyDescent="0.25">
      <c r="A19" s="178" t="s">
        <v>425</v>
      </c>
      <c r="B19" s="60" t="s">
        <v>390</v>
      </c>
      <c r="C19" s="60" t="s">
        <v>390</v>
      </c>
    </row>
    <row r="20" spans="1:3" x14ac:dyDescent="0.25">
      <c r="A20" s="178" t="s">
        <v>426</v>
      </c>
      <c r="B20" s="60" t="s">
        <v>390</v>
      </c>
      <c r="C20" s="60" t="s">
        <v>390</v>
      </c>
    </row>
    <row r="21" spans="1:3" x14ac:dyDescent="0.25">
      <c r="A21" s="178" t="s">
        <v>427</v>
      </c>
      <c r="B21" s="60" t="s">
        <v>390</v>
      </c>
      <c r="C21" s="60" t="s">
        <v>390</v>
      </c>
    </row>
    <row r="22" spans="1:3" x14ac:dyDescent="0.25">
      <c r="A22" s="178" t="s">
        <v>428</v>
      </c>
      <c r="B22" s="60" t="s">
        <v>390</v>
      </c>
      <c r="C22" s="60" t="s">
        <v>390</v>
      </c>
    </row>
    <row r="23" spans="1:3" x14ac:dyDescent="0.25">
      <c r="A23" s="178" t="s">
        <v>429</v>
      </c>
      <c r="B23" s="60" t="s">
        <v>390</v>
      </c>
      <c r="C23" s="60" t="s">
        <v>390</v>
      </c>
    </row>
    <row r="24" spans="1:3" x14ac:dyDescent="0.25">
      <c r="A24" s="178" t="s">
        <v>430</v>
      </c>
      <c r="B24" s="60" t="s">
        <v>390</v>
      </c>
      <c r="C24" s="60" t="s">
        <v>390</v>
      </c>
    </row>
    <row r="25" spans="1:3" x14ac:dyDescent="0.25">
      <c r="A25" s="178" t="s">
        <v>431</v>
      </c>
      <c r="B25" s="60" t="s">
        <v>390</v>
      </c>
      <c r="C25" s="60" t="s">
        <v>390</v>
      </c>
    </row>
    <row r="26" spans="1:3" x14ac:dyDescent="0.25">
      <c r="A26" s="178" t="s">
        <v>432</v>
      </c>
      <c r="B26" s="60" t="s">
        <v>390</v>
      </c>
      <c r="C26" s="60" t="s">
        <v>390</v>
      </c>
    </row>
    <row r="27" spans="1:3" x14ac:dyDescent="0.25">
      <c r="A27" s="178" t="s">
        <v>433</v>
      </c>
      <c r="B27" s="60" t="s">
        <v>390</v>
      </c>
      <c r="C27" s="60" t="s">
        <v>390</v>
      </c>
    </row>
    <row r="28" spans="1:3" x14ac:dyDescent="0.25">
      <c r="A28" s="178" t="s">
        <v>434</v>
      </c>
      <c r="B28" s="60" t="s">
        <v>390</v>
      </c>
      <c r="C28" s="60" t="s">
        <v>390</v>
      </c>
    </row>
    <row r="29" spans="1:3" x14ac:dyDescent="0.25">
      <c r="A29" s="178" t="s">
        <v>435</v>
      </c>
      <c r="B29" s="60" t="s">
        <v>390</v>
      </c>
      <c r="C29" s="60" t="s">
        <v>390</v>
      </c>
    </row>
    <row r="30" spans="1:3" x14ac:dyDescent="0.25">
      <c r="A30" s="178" t="s">
        <v>436</v>
      </c>
      <c r="B30" s="60" t="s">
        <v>390</v>
      </c>
      <c r="C30" s="60" t="s">
        <v>390</v>
      </c>
    </row>
    <row r="31" spans="1:3" x14ac:dyDescent="0.25">
      <c r="A31" s="178" t="s">
        <v>437</v>
      </c>
      <c r="B31" s="60" t="s">
        <v>390</v>
      </c>
      <c r="C31" s="60" t="s">
        <v>390</v>
      </c>
    </row>
    <row r="32" spans="1:3" x14ac:dyDescent="0.25">
      <c r="A32" s="178" t="s">
        <v>438</v>
      </c>
      <c r="B32" s="60" t="s">
        <v>390</v>
      </c>
      <c r="C32" s="60" t="s">
        <v>390</v>
      </c>
    </row>
    <row r="33" spans="1:3" x14ac:dyDescent="0.25">
      <c r="A33" s="178" t="s">
        <v>439</v>
      </c>
      <c r="B33" s="60" t="s">
        <v>390</v>
      </c>
      <c r="C33" s="60" t="s">
        <v>390</v>
      </c>
    </row>
    <row r="34" spans="1:3" x14ac:dyDescent="0.25">
      <c r="A34" s="178" t="s">
        <v>440</v>
      </c>
      <c r="B34" s="60" t="s">
        <v>390</v>
      </c>
      <c r="C34" s="60" t="s">
        <v>390</v>
      </c>
    </row>
    <row r="35" spans="1:3" x14ac:dyDescent="0.25">
      <c r="A35" s="178" t="s">
        <v>441</v>
      </c>
      <c r="B35" s="60" t="s">
        <v>390</v>
      </c>
      <c r="C35" s="60" t="s">
        <v>390</v>
      </c>
    </row>
    <row r="36" spans="1:3" x14ac:dyDescent="0.25">
      <c r="A36" s="178" t="s">
        <v>442</v>
      </c>
      <c r="B36" s="60" t="s">
        <v>390</v>
      </c>
      <c r="C36" s="60" t="s">
        <v>390</v>
      </c>
    </row>
    <row r="37" spans="1:3" x14ac:dyDescent="0.25">
      <c r="A37" s="178" t="s">
        <v>443</v>
      </c>
      <c r="B37" s="60" t="s">
        <v>390</v>
      </c>
      <c r="C37" s="60" t="s">
        <v>390</v>
      </c>
    </row>
    <row r="38" spans="1:3" x14ac:dyDescent="0.25">
      <c r="A38" s="178" t="s">
        <v>444</v>
      </c>
      <c r="B38" s="60" t="s">
        <v>390</v>
      </c>
      <c r="C38" s="60" t="s">
        <v>390</v>
      </c>
    </row>
    <row r="39" spans="1:3" x14ac:dyDescent="0.25">
      <c r="A39" s="178" t="s">
        <v>445</v>
      </c>
      <c r="B39" s="60" t="s">
        <v>390</v>
      </c>
      <c r="C39" s="60" t="s">
        <v>390</v>
      </c>
    </row>
    <row r="40" spans="1:3" x14ac:dyDescent="0.25">
      <c r="A40" s="178" t="s">
        <v>446</v>
      </c>
      <c r="B40" s="60" t="s">
        <v>390</v>
      </c>
      <c r="C40" s="60" t="s">
        <v>390</v>
      </c>
    </row>
    <row r="41" spans="1:3" x14ac:dyDescent="0.25">
      <c r="A41" s="178" t="s">
        <v>447</v>
      </c>
      <c r="B41" s="60" t="s">
        <v>390</v>
      </c>
      <c r="C41" s="60" t="s">
        <v>390</v>
      </c>
    </row>
    <row r="42" spans="1:3" x14ac:dyDescent="0.25">
      <c r="A42" s="178" t="s">
        <v>448</v>
      </c>
      <c r="B42" s="60" t="s">
        <v>390</v>
      </c>
      <c r="C42" s="60" t="s">
        <v>390</v>
      </c>
    </row>
    <row r="43" spans="1:3" x14ac:dyDescent="0.25">
      <c r="A43" s="178" t="s">
        <v>449</v>
      </c>
      <c r="B43" s="60" t="s">
        <v>390</v>
      </c>
      <c r="C43" s="60" t="s">
        <v>390</v>
      </c>
    </row>
    <row r="44" spans="1:3" x14ac:dyDescent="0.25">
      <c r="A44" s="178" t="s">
        <v>450</v>
      </c>
      <c r="B44" s="60" t="s">
        <v>390</v>
      </c>
      <c r="C44" s="60" t="s">
        <v>390</v>
      </c>
    </row>
    <row r="45" spans="1:3" x14ac:dyDescent="0.25">
      <c r="A45" s="178" t="s">
        <v>451</v>
      </c>
      <c r="B45" s="60" t="s">
        <v>390</v>
      </c>
      <c r="C45" s="60" t="s">
        <v>390</v>
      </c>
    </row>
    <row r="46" spans="1:3" x14ac:dyDescent="0.25">
      <c r="A46" s="178" t="s">
        <v>452</v>
      </c>
      <c r="B46" s="60" t="s">
        <v>390</v>
      </c>
      <c r="C46" s="60" t="s">
        <v>390</v>
      </c>
    </row>
    <row r="47" spans="1:3" x14ac:dyDescent="0.25">
      <c r="A47" s="178" t="s">
        <v>453</v>
      </c>
      <c r="B47" s="60" t="s">
        <v>390</v>
      </c>
      <c r="C47" s="60" t="s">
        <v>390</v>
      </c>
    </row>
    <row r="48" spans="1:3" x14ac:dyDescent="0.25">
      <c r="A48" s="178" t="s">
        <v>454</v>
      </c>
      <c r="B48" s="60" t="s">
        <v>390</v>
      </c>
      <c r="C48" s="60" t="s">
        <v>390</v>
      </c>
    </row>
    <row r="49" spans="1:3" x14ac:dyDescent="0.25">
      <c r="A49" s="178" t="s">
        <v>455</v>
      </c>
      <c r="B49" s="60" t="s">
        <v>390</v>
      </c>
      <c r="C49" s="60" t="s">
        <v>390</v>
      </c>
    </row>
    <row r="50" spans="1:3" x14ac:dyDescent="0.25">
      <c r="A50" s="178" t="s">
        <v>456</v>
      </c>
      <c r="B50" s="60" t="s">
        <v>390</v>
      </c>
      <c r="C50" s="60" t="s">
        <v>390</v>
      </c>
    </row>
    <row r="51" spans="1:3" x14ac:dyDescent="0.25">
      <c r="A51" s="178" t="s">
        <v>457</v>
      </c>
      <c r="B51" s="60" t="s">
        <v>390</v>
      </c>
      <c r="C51" s="60" t="s">
        <v>390</v>
      </c>
    </row>
    <row r="52" spans="1:3" x14ac:dyDescent="0.25">
      <c r="A52" s="178" t="s">
        <v>458</v>
      </c>
      <c r="B52" s="60" t="s">
        <v>390</v>
      </c>
      <c r="C52" s="60" t="s">
        <v>390</v>
      </c>
    </row>
    <row r="53" spans="1:3" x14ac:dyDescent="0.25">
      <c r="A53" s="178" t="s">
        <v>459</v>
      </c>
      <c r="B53" s="60" t="s">
        <v>390</v>
      </c>
      <c r="C53" s="60" t="s">
        <v>390</v>
      </c>
    </row>
    <row r="54" spans="1:3" x14ac:dyDescent="0.25">
      <c r="A54" s="178" t="s">
        <v>460</v>
      </c>
      <c r="B54" s="60" t="s">
        <v>390</v>
      </c>
      <c r="C54" s="60" t="s">
        <v>390</v>
      </c>
    </row>
    <row r="55" spans="1:3" x14ac:dyDescent="0.25">
      <c r="A55" s="178" t="s">
        <v>462</v>
      </c>
      <c r="B55" s="60" t="s">
        <v>390</v>
      </c>
      <c r="C55" s="60" t="s">
        <v>390</v>
      </c>
    </row>
    <row r="56" spans="1:3" x14ac:dyDescent="0.25">
      <c r="A56" s="178" t="s">
        <v>463</v>
      </c>
      <c r="B56" s="60" t="s">
        <v>390</v>
      </c>
      <c r="C56" s="60" t="s">
        <v>390</v>
      </c>
    </row>
    <row r="57" spans="1:3" x14ac:dyDescent="0.25">
      <c r="A57" s="178" t="s">
        <v>464</v>
      </c>
      <c r="B57" s="60" t="s">
        <v>390</v>
      </c>
      <c r="C57" s="60" t="s">
        <v>390</v>
      </c>
    </row>
    <row r="58" spans="1:3" x14ac:dyDescent="0.25">
      <c r="A58" s="178" t="s">
        <v>465</v>
      </c>
      <c r="B58" s="60" t="s">
        <v>390</v>
      </c>
      <c r="C58" s="60" t="s">
        <v>390</v>
      </c>
    </row>
    <row r="59" spans="1:3" x14ac:dyDescent="0.25">
      <c r="A59" s="178" t="s">
        <v>466</v>
      </c>
      <c r="B59" s="60" t="s">
        <v>390</v>
      </c>
      <c r="C59" s="60" t="s">
        <v>390</v>
      </c>
    </row>
    <row r="60" spans="1:3" x14ac:dyDescent="0.25">
      <c r="A60" s="178" t="s">
        <v>467</v>
      </c>
      <c r="B60" s="60" t="s">
        <v>390</v>
      </c>
      <c r="C60" s="60" t="s">
        <v>390</v>
      </c>
    </row>
    <row r="61" spans="1:3" x14ac:dyDescent="0.25">
      <c r="A61" s="178" t="s">
        <v>468</v>
      </c>
      <c r="B61" s="60" t="s">
        <v>390</v>
      </c>
      <c r="C61" s="60" t="s">
        <v>390</v>
      </c>
    </row>
    <row r="62" spans="1:3" x14ac:dyDescent="0.25">
      <c r="A62" s="178" t="s">
        <v>469</v>
      </c>
      <c r="B62" s="60" t="s">
        <v>390</v>
      </c>
      <c r="C62" s="60" t="s">
        <v>390</v>
      </c>
    </row>
    <row r="63" spans="1:3" x14ac:dyDescent="0.25">
      <c r="A63" s="178" t="s">
        <v>471</v>
      </c>
      <c r="B63" s="60" t="s">
        <v>390</v>
      </c>
      <c r="C63" s="60" t="s">
        <v>390</v>
      </c>
    </row>
    <row r="64" spans="1:3" x14ac:dyDescent="0.25">
      <c r="A64" s="178" t="s">
        <v>472</v>
      </c>
      <c r="B64" s="60" t="s">
        <v>390</v>
      </c>
      <c r="C64" s="60" t="s">
        <v>390</v>
      </c>
    </row>
    <row r="65" spans="1:3" x14ac:dyDescent="0.25">
      <c r="A65" s="178" t="s">
        <v>473</v>
      </c>
      <c r="B65" s="60" t="s">
        <v>390</v>
      </c>
      <c r="C65" s="60" t="s">
        <v>390</v>
      </c>
    </row>
    <row r="66" spans="1:3" x14ac:dyDescent="0.25">
      <c r="A66" s="178" t="s">
        <v>474</v>
      </c>
      <c r="B66" s="60" t="s">
        <v>390</v>
      </c>
      <c r="C66" s="60" t="s">
        <v>390</v>
      </c>
    </row>
    <row r="67" spans="1:3" x14ac:dyDescent="0.25">
      <c r="A67" s="178" t="s">
        <v>475</v>
      </c>
      <c r="B67" s="60" t="s">
        <v>390</v>
      </c>
      <c r="C67" s="60" t="s">
        <v>390</v>
      </c>
    </row>
    <row r="68" spans="1:3" x14ac:dyDescent="0.25">
      <c r="A68" s="178" t="s">
        <v>477</v>
      </c>
      <c r="B68" s="60" t="s">
        <v>390</v>
      </c>
      <c r="C68" s="60" t="s">
        <v>390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A4" workbookViewId="0">
      <selection activeCell="O41" sqref="O4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5.2941176470588198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0">
        <v>5.2941175999999999</v>
      </c>
      <c r="F5" s="170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0">
        <v>5.2941176470588198</v>
      </c>
      <c r="F5" s="170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0">
        <v>2</v>
      </c>
      <c r="D5" s="170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0">
        <v>150</v>
      </c>
      <c r="K10" s="17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f>SUMPRODUCT($D$5:$F$5,D10:F10)</f>
        <v>116.47058823529403</v>
      </c>
      <c r="H10" s="170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v>5</v>
      </c>
      <c r="H10" s="17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1"/>
      <c r="H11" s="17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idden="1" x14ac:dyDescent="0.2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245399</v>
      </c>
      <c r="N9" s="58">
        <f ca="1">M9+1</f>
        <v>245400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x14ac:dyDescent="0.2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243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461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/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x14ac:dyDescent="0.25"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I5" sqref="I5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AND(F21)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x14ac:dyDescent="0.25"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3"/>
    </row>
    <row r="16" spans="1:15" x14ac:dyDescent="0.25">
      <c r="F16">
        <f>E5-D5*E5+D5</f>
        <v>-80</v>
      </c>
      <c r="G16" t="s">
        <v>8</v>
      </c>
      <c r="H16">
        <v>60</v>
      </c>
      <c r="O16" s="83"/>
    </row>
    <row r="17" spans="6:15" x14ac:dyDescent="0.25">
      <c r="F17">
        <f>E5-D5+E5*D5</f>
        <v>100</v>
      </c>
      <c r="G17" t="s">
        <v>8</v>
      </c>
      <c r="H17">
        <v>0</v>
      </c>
      <c r="O17" s="83"/>
    </row>
    <row r="18" spans="6:15" x14ac:dyDescent="0.25">
      <c r="O18" s="83"/>
    </row>
    <row r="19" spans="6:15" x14ac:dyDescent="0.25">
      <c r="F19" t="s">
        <v>242</v>
      </c>
      <c r="O19" s="83"/>
    </row>
    <row r="20" spans="6:15" x14ac:dyDescent="0.25">
      <c r="F20" s="80">
        <v>400</v>
      </c>
      <c r="O20" s="83"/>
    </row>
    <row r="21" spans="6:15" x14ac:dyDescent="0.25">
      <c r="F21" s="8" t="b">
        <f>ABS(F6-F20)/(1+ABS(F20))&lt;=0.000001</f>
        <v>0</v>
      </c>
      <c r="O21" s="83"/>
    </row>
    <row r="22" spans="6:15" x14ac:dyDescent="0.25"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x14ac:dyDescent="0.25"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284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470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69"/>
      <c r="C22" s="169"/>
      <c r="D22" s="169"/>
      <c r="E22" s="169"/>
      <c r="F22" s="169"/>
      <c r="G22" s="169"/>
      <c r="H22" s="169"/>
    </row>
    <row r="23" spans="1:8" ht="15.75" thickBot="1" x14ac:dyDescent="0.3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e">
        <f>AND(D17)</f>
        <v>#DIV/0!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x14ac:dyDescent="0.25">
      <c r="C10" s="121"/>
      <c r="D10" s="122"/>
      <c r="E10" s="123"/>
    </row>
    <row r="11" spans="1:5" x14ac:dyDescent="0.25">
      <c r="C11" s="121" t="s">
        <v>327</v>
      </c>
      <c r="D11" s="125">
        <v>0</v>
      </c>
      <c r="E11" s="123"/>
    </row>
    <row r="12" spans="1:5" x14ac:dyDescent="0.25">
      <c r="C12" s="121" t="s">
        <v>328</v>
      </c>
      <c r="D12" s="122">
        <f>D11/D4</f>
        <v>0</v>
      </c>
      <c r="E12" s="123"/>
    </row>
    <row r="13" spans="1:5" x14ac:dyDescent="0.25">
      <c r="C13" s="121" t="s">
        <v>329</v>
      </c>
      <c r="D13" s="124">
        <f>D8*D11/2</f>
        <v>0</v>
      </c>
      <c r="E13" s="123"/>
    </row>
    <row r="14" spans="1:5" x14ac:dyDescent="0.25">
      <c r="C14" s="121" t="s">
        <v>330</v>
      </c>
      <c r="D14" s="126" t="e">
        <f>D5/D12</f>
        <v>#DIV/0!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 t="e">
        <f>D13+D14</f>
        <v>#DIV/0!</v>
      </c>
      <c r="E16" s="123"/>
    </row>
    <row r="17" spans="3:4" x14ac:dyDescent="0.25">
      <c r="D17" s="87" t="e">
        <f>D16&lt;0.75</f>
        <v>#DIV/0!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10</v>
      </c>
      <c r="P12" s="90">
        <f>$I$2</f>
        <v>10</v>
      </c>
    </row>
    <row r="14" spans="1:16" x14ac:dyDescent="0.25">
      <c r="N14" s="90" t="s">
        <v>343</v>
      </c>
      <c r="O14" s="90">
        <f>$F$2</f>
        <v>10</v>
      </c>
      <c r="P14" s="90">
        <f>$G$2</f>
        <v>10</v>
      </c>
    </row>
    <row r="15" spans="1:16" x14ac:dyDescent="0.25">
      <c r="N15" s="90" t="s">
        <v>345</v>
      </c>
      <c r="O15" s="90">
        <f>$H$2</f>
        <v>10</v>
      </c>
      <c r="P15" s="90">
        <f>$I$2</f>
        <v>10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2" t="s">
        <v>347</v>
      </c>
      <c r="D1" s="172"/>
      <c r="E1" s="172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2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.75" thickBot="1" x14ac:dyDescent="0.3">
      <c r="A6" s="64" t="b">
        <f>AND(F16)</f>
        <v>0</v>
      </c>
      <c r="C6" s="172" t="s">
        <v>228</v>
      </c>
      <c r="D6" s="172"/>
      <c r="E6" s="172"/>
    </row>
    <row r="7" spans="1:9" x14ac:dyDescent="0.25">
      <c r="A7" s="63" t="s">
        <v>211</v>
      </c>
      <c r="C7" s="143" t="s">
        <v>352</v>
      </c>
      <c r="D7" s="144">
        <v>10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x14ac:dyDescent="0.25">
      <c r="C10" s="172" t="s">
        <v>355</v>
      </c>
      <c r="D10" s="172"/>
      <c r="E10" s="172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2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25">
      <c r="C15" s="172" t="s">
        <v>360</v>
      </c>
      <c r="D15" s="172"/>
      <c r="E15" s="172"/>
      <c r="F15" s="147">
        <f>SUM(F12:F13)</f>
        <v>2.7015316626326951</v>
      </c>
    </row>
    <row r="16" spans="1:9" x14ac:dyDescent="0.25">
      <c r="C16" s="148"/>
      <c r="F16" s="141" t="b">
        <f>ABS(F15)&lt;=0.000001</f>
        <v>0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404</v>
      </c>
    </row>
    <row r="2" spans="1:8" x14ac:dyDescent="0.25">
      <c r="A2" s="17" t="s">
        <v>405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476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401</v>
      </c>
      <c r="C7" s="75" t="s">
        <v>406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402</v>
      </c>
      <c r="C8" s="75" t="s">
        <v>407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403</v>
      </c>
      <c r="C9" s="111" t="s">
        <v>408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</v>
      </c>
      <c r="E2">
        <v>100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x14ac:dyDescent="0.25">
      <c r="L10" t="s">
        <v>403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x14ac:dyDescent="0.25"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3" t="s">
        <v>157</v>
      </c>
      <c r="C33" s="17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2014-12-02T16:59:25Z</dcterms:modified>
</cp:coreProperties>
</file>