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2.xml" ContentType="application/vnd.openxmlformats-officedocument.drawingml.chart+xml"/>
  <Override PartName="/xl/drawings/drawing43.xml" ContentType="application/vnd.openxmlformats-officedocument.drawing+xml"/>
  <Override PartName="/xl/charts/chart3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NamedRanges" sheetId="66" r:id="rId50"/>
    <sheet name="QuickSolve" sheetId="4" r:id="rId51"/>
    <sheet name="SolverParameters" sheetId="2" r:id="rId52"/>
    <sheet name="Sensitivity" sheetId="65" r:id="rId53"/>
    <sheet name="SensitivityNames" sheetId="77" r:id="rId54"/>
    <sheet name="NonLinSimple" sheetId="20" r:id="rId55"/>
    <sheet name="NonLinLarge" sheetId="38" r:id="rId56"/>
    <sheet name="NonLinObj" sheetId="19" r:id="rId57"/>
    <sheet name="NonLinPruning" sheetId="69" r:id="rId58"/>
    <sheet name="NonLinMinMax" sheetId="70" r:id="rId59"/>
    <sheet name="NonLinConstraints" sheetId="71" r:id="rId60"/>
    <sheet name="NonLinBinary" sheetId="95" r:id="rId61"/>
    <sheet name="NonLin" sheetId="3" r:id="rId62"/>
    <sheet name="NonLin2" sheetId="68" r:id="rId63"/>
    <sheet name="NonLin3" sheetId="75" r:id="rId64"/>
    <sheet name="NonLin4" sheetId="85" r:id="rId65"/>
    <sheet name="NonLin5" sheetId="87" r:id="rId66"/>
    <sheet name="NonLin6" sheetId="88" r:id="rId67"/>
    <sheet name="Highlighting" sheetId="5" r:id="rId68"/>
    <sheet name="AutoModel" sheetId="40" r:id="rId69"/>
  </sheets>
  <functionGroups builtInGroupCount="18"/>
  <externalReferences>
    <externalReference r:id="rId70"/>
  </externalReferences>
  <definedNames>
    <definedName name="anscount" hidden="1">1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60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7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60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3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1" hidden="1">SolverParameters!$L$5:$M$5</definedName>
    <definedName name="OpenSolver_CBCParameters" localSheetId="51" hidden="1">SolverParameters!$C$5:$D$7</definedName>
    <definedName name="OpenSolver_ChosenSolver" localSheetId="20" hidden="1">CBC</definedName>
    <definedName name="OpenSolver_ChosenSolver" localSheetId="32" hidden="1">CBC</definedName>
    <definedName name="OpenSolver_ChosenSolver" localSheetId="17" hidden="1">CBC</definedName>
    <definedName name="OpenSolver_ChosenSolver" localSheetId="31" hidden="1">CBC</definedName>
    <definedName name="OpenSolver_ChosenSolver" localSheetId="5" hidden="1">CBC</definedName>
    <definedName name="OpenSolver_ChosenSolver" localSheetId="4" hidden="1">CBC</definedName>
    <definedName name="OpenSolver_ChosenSolver" localSheetId="44" hidden="1">CBC</definedName>
    <definedName name="OpenSolver_ChosenSolver" localSheetId="18" hidden="1">CBC</definedName>
    <definedName name="OpenSolver_ChosenSolver" localSheetId="19" hidden="1">CBC</definedName>
    <definedName name="OpenSolver_ChosenSolver" localSheetId="40" hidden="1">CBC</definedName>
    <definedName name="OpenSolver_ChosenSolver" localSheetId="37" hidden="1">CBC</definedName>
    <definedName name="OpenSolver_ChosenSolver" localSheetId="39" hidden="1">CBC</definedName>
    <definedName name="OpenSolver_ChosenSolver" localSheetId="22" hidden="1">CBC</definedName>
    <definedName name="OpenSolver_ChosenSolver" localSheetId="23" hidden="1">CBC</definedName>
    <definedName name="OpenSolver_ChosenSolver" localSheetId="29" hidden="1">CBC</definedName>
    <definedName name="OpenSolver_ChosenSolver" localSheetId="8" hidden="1">CBC</definedName>
    <definedName name="OpenSolver_ChosenSolver" localSheetId="9" hidden="1">CBC</definedName>
    <definedName name="OpenSolver_ChosenSolver" localSheetId="7" hidden="1">CBC</definedName>
    <definedName name="OpenSolver_ChosenSolver" localSheetId="21" hidden="1">CBC</definedName>
    <definedName name="OpenSolver_ChosenSolver" localSheetId="25" hidden="1">CBC</definedName>
    <definedName name="OpenSolver_ChosenSolver" localSheetId="41" hidden="1">CBC</definedName>
    <definedName name="OpenSolver_ChosenSolver" localSheetId="43" hidden="1">CBC</definedName>
    <definedName name="OpenSolver_ChosenSolver" localSheetId="28" hidden="1">CBC</definedName>
    <definedName name="OpenSolver_ChosenSolver" localSheetId="24" hidden="1">CBC</definedName>
    <definedName name="OpenSolver_ChosenSolver" localSheetId="45" hidden="1">CBC</definedName>
    <definedName name="OpenSolver_ChosenSolver" localSheetId="46" hidden="1">CBC</definedName>
    <definedName name="OpenSolver_ChosenSolver" localSheetId="34" hidden="1">CBC</definedName>
    <definedName name="OpenSolver_ChosenSolver" localSheetId="15" hidden="1">CBC</definedName>
    <definedName name="OpenSolver_ChosenSolver" localSheetId="16" hidden="1">CBC</definedName>
    <definedName name="OpenSolver_ChosenSolver" localSheetId="14" hidden="1">CBC</definedName>
    <definedName name="OpenSolver_ChosenSolver" localSheetId="13" hidden="1">CBC</definedName>
    <definedName name="OpenSolver_ChosenSolver" localSheetId="12" hidden="1">CBC</definedName>
    <definedName name="OpenSolver_ChosenSolver" localSheetId="11" hidden="1">CBC</definedName>
    <definedName name="OpenSolver_ChosenSolver" localSheetId="49" hidden="1">CBC</definedName>
    <definedName name="OpenSolver_ChosenSolver" localSheetId="61" hidden="1">CBC</definedName>
    <definedName name="OpenSolver_ChosenSolver" localSheetId="62" hidden="1">CBC</definedName>
    <definedName name="OpenSolver_ChosenSolver" localSheetId="63" hidden="1">CBC</definedName>
    <definedName name="OpenSolver_ChosenSolver" localSheetId="64" hidden="1">CBC</definedName>
    <definedName name="OpenSolver_ChosenSolver" localSheetId="65" hidden="1">CBC</definedName>
    <definedName name="OpenSolver_ChosenSolver" localSheetId="66" hidden="1">CBC</definedName>
    <definedName name="OpenSolver_ChosenSolver" localSheetId="60" hidden="1">CBC</definedName>
    <definedName name="OpenSolver_ChosenSolver" localSheetId="59" hidden="1">CBC</definedName>
    <definedName name="OpenSolver_ChosenSolver" localSheetId="55" hidden="1">CBC</definedName>
    <definedName name="OpenSolver_ChosenSolver" localSheetId="58" hidden="1">CBC</definedName>
    <definedName name="OpenSolver_ChosenSolver" localSheetId="56" hidden="1">CBC</definedName>
    <definedName name="OpenSolver_ChosenSolver" localSheetId="57" hidden="1">CBC</definedName>
    <definedName name="OpenSolver_ChosenSolver" localSheetId="54" hidden="1">CBC</definedName>
    <definedName name="OpenSolver_ChosenSolver" localSheetId="47" hidden="1">CBC</definedName>
    <definedName name="OpenSolver_ChosenSolver" localSheetId="3" hidden="1">CBC</definedName>
    <definedName name="OpenSolver_ChosenSolver" localSheetId="35" hidden="1">CBC</definedName>
    <definedName name="OpenSolver_ChosenSolver" localSheetId="36" hidden="1">CBC</definedName>
    <definedName name="OpenSolver_ChosenSolver" localSheetId="27" hidden="1">CBC</definedName>
    <definedName name="OpenSolver_ChosenSolver" localSheetId="50" hidden="1">CBC</definedName>
    <definedName name="OpenSolver_ChosenSolver" localSheetId="33" hidden="1">CBC</definedName>
    <definedName name="OpenSolver_ChosenSolver" localSheetId="1" hidden="1">Bonmin</definedName>
    <definedName name="OpenSolver_ChosenSolver" localSheetId="48" hidden="1">CBC</definedName>
    <definedName name="OpenSolver_ChosenSolver" localSheetId="52" hidden="1">CBC</definedName>
    <definedName name="OpenSolver_ChosenSolver" localSheetId="53" hidden="1">CBC</definedName>
    <definedName name="OpenSolver_ChosenSolver" localSheetId="2" hidden="1">CBC</definedName>
    <definedName name="OpenSolver_ChosenSolver" localSheetId="30" hidden="1">CBC</definedName>
    <definedName name="OpenSolver_ChosenSolver" localSheetId="51" hidden="1">NeosCou</definedName>
    <definedName name="OpenSolver_ChosenSolver" localSheetId="10" hidden="1">CBC</definedName>
    <definedName name="OpenSolver_ChosenSolver" localSheetId="6" hidden="1">CBC</definedName>
    <definedName name="OpenSolver_ChosenSolver" localSheetId="26" hidden="1">NeosCou</definedName>
    <definedName name="OpenSolver_ChosenSolver" localSheetId="42" hidden="1">CBC</definedName>
    <definedName name="OpenSolver_ChosenSolver" localSheetId="38" hidden="1">CBC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1" hidden="1">SolverParameters!$O$5:$P$5</definedName>
    <definedName name="OpenSolver_DualsNewSheet" localSheetId="20" hidden="1">FALSE</definedName>
    <definedName name="OpenSolver_DualsNewSheet" localSheetId="32" hidden="1">FALSE</definedName>
    <definedName name="OpenSolver_DualsNewSheet" localSheetId="17" hidden="1">FALSE</definedName>
    <definedName name="OpenSolver_DualsNewSheet" localSheetId="31" hidden="1">FALSE</definedName>
    <definedName name="OpenSolver_DualsNewSheet" localSheetId="5" hidden="1">FALSE</definedName>
    <definedName name="OpenSolver_DualsNewSheet" localSheetId="4" hidden="1">FALSE</definedName>
    <definedName name="OpenSolver_DualsNewSheet" localSheetId="44" hidden="1">FALSE</definedName>
    <definedName name="OpenSolver_DualsNewSheet" localSheetId="18" hidden="1">FALSE</definedName>
    <definedName name="OpenSolver_DualsNewSheet" localSheetId="19" hidden="1">FALSE</definedName>
    <definedName name="OpenSolver_DualsNewSheet" localSheetId="40" hidden="1">FALSE</definedName>
    <definedName name="OpenSolver_DualsNewSheet" localSheetId="37" hidden="1">FALSE</definedName>
    <definedName name="OpenSolver_DualsNewSheet" localSheetId="39" hidden="1">FALSE</definedName>
    <definedName name="OpenSolver_DualsNewSheet" localSheetId="29" hidden="1">FALSE</definedName>
    <definedName name="OpenSolver_DualsNewSheet" localSheetId="21" hidden="1">FALSE</definedName>
    <definedName name="OpenSolver_DualsNewSheet" localSheetId="25" hidden="1">FALSE</definedName>
    <definedName name="OpenSolver_DualsNewSheet" localSheetId="41" hidden="1">FALSE</definedName>
    <definedName name="OpenSolver_DualsNewSheet" localSheetId="43" hidden="1">FALSE</definedName>
    <definedName name="OpenSolver_DualsNewSheet" localSheetId="28" hidden="1">FALSE</definedName>
    <definedName name="OpenSolver_DualsNewSheet" localSheetId="2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3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4" hidden="1">FALSE</definedName>
    <definedName name="OpenSolver_DualsNewSheet" localSheetId="12" hidden="1">FALSE</definedName>
    <definedName name="OpenSolver_DualsNewSheet" localSheetId="49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0" hidden="1">FALSE</definedName>
    <definedName name="OpenSolver_DualsNewSheet" localSheetId="59" hidden="1">FALSE</definedName>
    <definedName name="OpenSolver_DualsNewSheet" localSheetId="55" hidden="1">FALSE</definedName>
    <definedName name="OpenSolver_DualsNewSheet" localSheetId="58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4" hidden="1">FALSE</definedName>
    <definedName name="OpenSolver_DualsNewSheet" localSheetId="47" hidden="1">FALSE</definedName>
    <definedName name="OpenSolver_DualsNewSheet" localSheetId="3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50" hidden="1">FALSE</definedName>
    <definedName name="OpenSolver_DualsNewSheet" localSheetId="33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2" hidden="1">TRUE</definedName>
    <definedName name="OpenSolver_DualsNewSheet" localSheetId="53" hidden="1">TRUE</definedName>
    <definedName name="OpenSolver_DualsNewSheet" localSheetId="2" hidden="1">FALSE</definedName>
    <definedName name="OpenSolver_DualsNewSheet" localSheetId="30" hidden="1">FALSE</definedName>
    <definedName name="OpenSolver_DualsNewSheet" localSheetId="42" hidden="1">FALSE</definedName>
    <definedName name="OpenSolver_DualsNewSheet" localSheetId="38" hidden="1">FALSE</definedName>
    <definedName name="OpenSolver_GurobiParameters" localSheetId="51" hidden="1">SolverParameters!$F$5:$G$5</definedName>
    <definedName name="OpenSolver_LinearityCheck" localSheetId="32" hidden="1">1</definedName>
    <definedName name="OpenSolver_LinearityCheck" localSheetId="17" hidden="1">1</definedName>
    <definedName name="OpenSolver_LinearityCheck" localSheetId="31" hidden="1">1</definedName>
    <definedName name="OpenSolver_LinearityCheck" localSheetId="5" hidden="1">1</definedName>
    <definedName name="OpenSolver_LinearityCheck" localSheetId="4" hidden="1">1</definedName>
    <definedName name="OpenSolver_LinearityCheck" localSheetId="44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40" hidden="1">1</definedName>
    <definedName name="OpenSolver_LinearityCheck" localSheetId="37" hidden="1">1</definedName>
    <definedName name="OpenSolver_LinearityCheck" localSheetId="39" hidden="1">1</definedName>
    <definedName name="OpenSolver_LinearityCheck" localSheetId="29" hidden="1">1</definedName>
    <definedName name="OpenSolver_LinearityCheck" localSheetId="21" hidden="1">1</definedName>
    <definedName name="OpenSolver_LinearityCheck" localSheetId="25" hidden="1">1</definedName>
    <definedName name="OpenSolver_LinearityCheck" localSheetId="41" hidden="1">1</definedName>
    <definedName name="OpenSolver_LinearityCheck" localSheetId="43" hidden="1">1</definedName>
    <definedName name="OpenSolver_LinearityCheck" localSheetId="28" hidden="1">1</definedName>
    <definedName name="OpenSolver_LinearityCheck" localSheetId="24" hidden="1">1</definedName>
    <definedName name="OpenSolver_LinearityCheck" localSheetId="45" hidden="1">1</definedName>
    <definedName name="OpenSolver_LinearityCheck" localSheetId="46" hidden="1">1</definedName>
    <definedName name="OpenSolver_LinearityCheck" localSheetId="34" hidden="1">1</definedName>
    <definedName name="OpenSolver_LinearityCheck" localSheetId="15" hidden="1">1</definedName>
    <definedName name="OpenSolver_LinearityCheck" localSheetId="16" hidden="1">1</definedName>
    <definedName name="OpenSolver_LinearityCheck" localSheetId="14" hidden="1">1</definedName>
    <definedName name="OpenSolver_LinearityCheck" localSheetId="12" hidden="1">1</definedName>
    <definedName name="OpenSolver_LinearityCheck" localSheetId="49" hidden="1">1</definedName>
    <definedName name="OpenSolver_LinearityCheck" localSheetId="61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5" hidden="1">1</definedName>
    <definedName name="OpenSolver_LinearityCheck" localSheetId="66" hidden="1">1</definedName>
    <definedName name="OpenSolver_LinearityCheck" localSheetId="60" hidden="1">1</definedName>
    <definedName name="OpenSolver_LinearityCheck" localSheetId="59" hidden="1">1</definedName>
    <definedName name="OpenSolver_LinearityCheck" localSheetId="55" hidden="1">1</definedName>
    <definedName name="OpenSolver_LinearityCheck" localSheetId="58" hidden="1">1</definedName>
    <definedName name="OpenSolver_LinearityCheck" localSheetId="56" hidden="1">1</definedName>
    <definedName name="OpenSolver_LinearityCheck" localSheetId="57" hidden="1">1</definedName>
    <definedName name="OpenSolver_LinearityCheck" localSheetId="54" hidden="1">1</definedName>
    <definedName name="OpenSolver_LinearityCheck" localSheetId="47" hidden="1">1</definedName>
    <definedName name="OpenSolver_LinearityCheck" localSheetId="3" hidden="1">1</definedName>
    <definedName name="OpenSolver_LinearityCheck" localSheetId="35" hidden="1">1</definedName>
    <definedName name="OpenSolver_LinearityCheck" localSheetId="36" hidden="1">1</definedName>
    <definedName name="OpenSolver_LinearityCheck" localSheetId="50" hidden="1">1</definedName>
    <definedName name="OpenSolver_LinearityCheck" localSheetId="33" hidden="1">1</definedName>
    <definedName name="OpenSolver_LinearityCheck" localSheetId="48" hidden="1">1</definedName>
    <definedName name="OpenSolver_LinearityCheck" localSheetId="52" hidden="1">1</definedName>
    <definedName name="OpenSolver_LinearityCheck" localSheetId="53" hidden="1">1</definedName>
    <definedName name="OpenSolver_LinearityCheck" localSheetId="2" hidden="1">1</definedName>
    <definedName name="OpenSolver_LinearityCheck" localSheetId="30" hidden="1">1</definedName>
    <definedName name="OpenSolver_LinearityCheck" localSheetId="42" hidden="1">1</definedName>
    <definedName name="OpenSolver_LinearityCheck" localSheetId="38" hidden="1">1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7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0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0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1" hidden="1">SolverParameters!$U$5:$V$5</definedName>
    <definedName name="OpenSolver_NeosCBCParameters" localSheetId="51" hidden="1">SolverParameters!$I$5:$J$7</definedName>
    <definedName name="OpenSolver_NeosCouParameters" localSheetId="51" hidden="1">SolverParameters!$X$5:$Y$5</definedName>
    <definedName name="OpenSolver_NOMADParameters" localSheetId="51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2" hidden="1">TRUE</definedName>
    <definedName name="OpenSolver_UpdateSensitivity" localSheetId="53" hidden="1">TRUE</definedName>
    <definedName name="OpenSolverModelParameters" localSheetId="50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7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0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0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7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0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0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21" hidden="1">CBC (default)</definedName>
    <definedName name="Solver" localSheetId="60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8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7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9" hidden="1">NamedRanges!$D$4:$H$4</definedName>
    <definedName name="solver_adj" localSheetId="61" hidden="1">NonLin!$D$3:$D$35</definedName>
    <definedName name="solver_adj" localSheetId="62" hidden="1">NonLin2!$C$4:$D$4</definedName>
    <definedName name="solver_adj" localSheetId="63" hidden="1">NonLin3!$S$10:$S$11</definedName>
    <definedName name="solver_adj" localSheetId="64" hidden="1">NonLin4!$D$11</definedName>
    <definedName name="solver_adj" localSheetId="65" hidden="1">NonLin5!$F$2:$I$2</definedName>
    <definedName name="solver_adj" localSheetId="66" hidden="1">NonLin6!$D$7:$D$8</definedName>
    <definedName name="solver_adj" localSheetId="60" hidden="1">NonLinBinary!$C$4:$D$4</definedName>
    <definedName name="solver_adj" localSheetId="59" hidden="1">NonLinConstraints!$D$5:$H$5</definedName>
    <definedName name="solver_adj" localSheetId="55" hidden="1">NonLinLarge!$D$3:$F$3</definedName>
    <definedName name="solver_adj" localSheetId="58" hidden="1">NonLinMinMax!$D$4:$F$4</definedName>
    <definedName name="solver_adj" localSheetId="56" hidden="1">NonLinObj!$D$3:$F$3</definedName>
    <definedName name="solver_adj" localSheetId="57" hidden="1">NonLinPruning!$D$5:$E$5</definedName>
    <definedName name="solver_adj" localSheetId="54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0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2" hidden="1">Sensitivity!$D$4:$F$4</definedName>
    <definedName name="solver_adj" localSheetId="53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1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8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7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9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0" hidden="1">0.0001</definedName>
    <definedName name="solver_cvg" localSheetId="59" hidden="1">0.0001</definedName>
    <definedName name="solver_cvg" localSheetId="55" hidden="1">0.0001</definedName>
    <definedName name="solver_cvg" localSheetId="58" hidden="1">0.0001</definedName>
    <definedName name="solver_cvg" localSheetId="56" hidden="1">0.0001</definedName>
    <definedName name="solver_cvg" localSheetId="57" hidden="1">0.0001</definedName>
    <definedName name="solver_cvg" localSheetId="54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0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2" hidden="1">0.0001</definedName>
    <definedName name="solver_cvg" localSheetId="53" hidden="1">0.0001</definedName>
    <definedName name="solver_cvg" localSheetId="2" hidden="1">0.0001</definedName>
    <definedName name="solver_cvg" localSheetId="30" hidden="1">0.0001</definedName>
    <definedName name="solver_cvg" localSheetId="51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8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7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9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0" hidden="1">1</definedName>
    <definedName name="solver_drv" localSheetId="59" hidden="1">1</definedName>
    <definedName name="solver_drv" localSheetId="55" hidden="1">1</definedName>
    <definedName name="solver_drv" localSheetId="58" hidden="1">1</definedName>
    <definedName name="solver_drv" localSheetId="56" hidden="1">1</definedName>
    <definedName name="solver_drv" localSheetId="57" hidden="1">1</definedName>
    <definedName name="solver_drv" localSheetId="54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0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2" hidden="1">1</definedName>
    <definedName name="solver_drv" localSheetId="53" hidden="1">1</definedName>
    <definedName name="solver_drv" localSheetId="2" hidden="1">1</definedName>
    <definedName name="solver_drv" localSheetId="30" hidden="1">1</definedName>
    <definedName name="solver_drv" localSheetId="51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8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9" hidden="1">2</definedName>
    <definedName name="solver_eng" localSheetId="6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59" hidden="1">2</definedName>
    <definedName name="solver_eng" localSheetId="55">2</definedName>
    <definedName name="solver_eng" localSheetId="58" hidden="1">2</definedName>
    <definedName name="solver_eng" localSheetId="56">2</definedName>
    <definedName name="solver_eng" localSheetId="57" hidden="1">2</definedName>
    <definedName name="solver_eng" localSheetId="54">2</definedName>
    <definedName name="solver_eng" localSheetId="47" hidden="1">2</definedName>
    <definedName name="solver_eng" localSheetId="3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8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7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9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0" hidden="1">1</definedName>
    <definedName name="solver_est" localSheetId="59" hidden="1">1</definedName>
    <definedName name="solver_est" localSheetId="55" hidden="1">1</definedName>
    <definedName name="solver_est" localSheetId="58" hidden="1">1</definedName>
    <definedName name="solver_est" localSheetId="56" hidden="1">1</definedName>
    <definedName name="solver_est" localSheetId="57" hidden="1">1</definedName>
    <definedName name="solver_est" localSheetId="54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0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2" hidden="1">1</definedName>
    <definedName name="solver_est" localSheetId="53" hidden="1">1</definedName>
    <definedName name="solver_est" localSheetId="2" hidden="1">1</definedName>
    <definedName name="solver_est" localSheetId="30" hidden="1">1</definedName>
    <definedName name="solver_est" localSheetId="51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7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9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5" hidden="1">999999999</definedName>
    <definedName name="solver_itr" localSheetId="66" hidden="1">999999999</definedName>
    <definedName name="solver_itr" localSheetId="60" hidden="1">999999999</definedName>
    <definedName name="solver_itr" localSheetId="59" hidden="1">999999999</definedName>
    <definedName name="solver_itr" localSheetId="55" hidden="1">999999999</definedName>
    <definedName name="solver_itr" localSheetId="58" hidden="1">999999999</definedName>
    <definedName name="solver_itr" localSheetId="56" hidden="1">999999999</definedName>
    <definedName name="solver_itr" localSheetId="57" hidden="1">999999999</definedName>
    <definedName name="solver_itr" localSheetId="54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50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2" hidden="1">999999999</definedName>
    <definedName name="solver_itr" localSheetId="53" hidden="1">999999999</definedName>
    <definedName name="solver_itr" localSheetId="2" hidden="1">999999999</definedName>
    <definedName name="solver_itr" localSheetId="30" hidden="1">999999999</definedName>
    <definedName name="solver_itr" localSheetId="51" hidden="1">999999999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8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7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9" hidden="1">NamedRanges!$I$8</definedName>
    <definedName name="solver_lhs1" localSheetId="61" hidden="1">NonLin!$J$40</definedName>
    <definedName name="solver_lhs1" localSheetId="62" hidden="1">NonLin2!$E$6:$E$7</definedName>
    <definedName name="solver_lhs1" localSheetId="63" hidden="1">NonLin3!$S$10:$S$11</definedName>
    <definedName name="solver_lhs1" localSheetId="60" hidden="1">NonLinBinary!$E$8:$E$9</definedName>
    <definedName name="solver_lhs1" localSheetId="59" hidden="1">NonLinConstraints!$I$7:$I$9</definedName>
    <definedName name="solver_lhs1" localSheetId="55" hidden="1">NonLinLarge!$H$7:$H$8</definedName>
    <definedName name="solver_lhs1" localSheetId="58" hidden="1">NonLinMinMax!$G$8</definedName>
    <definedName name="solver_lhs1" localSheetId="56" hidden="1">NonLinObj!$H$7:$H$8</definedName>
    <definedName name="solver_lhs1" localSheetId="57" hidden="1">NonLinPruning!$F$8:$F$9</definedName>
    <definedName name="solver_lhs1" localSheetId="54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0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2" hidden="1">Sensitivity!$G$8</definedName>
    <definedName name="solver_lhs1" localSheetId="53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1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5" hidden="1">NonLinLarge!$H$16</definedName>
    <definedName name="solver_lhs100" localSheetId="55" hidden="1">NonLinLarge!$H$106</definedName>
    <definedName name="solver_lhs101" localSheetId="55" hidden="1">NonLinLarge!$H$107</definedName>
    <definedName name="solver_lhs102" localSheetId="55" hidden="1">NonLinLarge!$H$108</definedName>
    <definedName name="solver_lhs103" localSheetId="55" hidden="1">NonLinLarge!$H$109</definedName>
    <definedName name="solver_lhs104" localSheetId="55" hidden="1">NonLinLarge!$H$110</definedName>
    <definedName name="solver_lhs105" localSheetId="55" hidden="1">NonLinLarge!$H$111</definedName>
    <definedName name="solver_lhs106" localSheetId="55" hidden="1">NonLinLarge!$H$112</definedName>
    <definedName name="solver_lhs107" localSheetId="55" hidden="1">NonLinLarge!$H$113</definedName>
    <definedName name="solver_lhs108" localSheetId="55" hidden="1">NonLinLarge!$H$114</definedName>
    <definedName name="solver_lhs109" localSheetId="55" hidden="1">NonLinLarge!$H$115</definedName>
    <definedName name="solver_lhs11" localSheetId="55" hidden="1">NonLinLarge!$H$17</definedName>
    <definedName name="solver_lhs110" localSheetId="55" hidden="1">NonLinLarge!$H$116</definedName>
    <definedName name="solver_lhs111" localSheetId="55" hidden="1">NonLinLarge!$H$117</definedName>
    <definedName name="solver_lhs112" localSheetId="55" hidden="1">NonLinLarge!$H$118</definedName>
    <definedName name="solver_lhs113" localSheetId="55" hidden="1">NonLinLarge!$H$119</definedName>
    <definedName name="solver_lhs114" localSheetId="55" hidden="1">NonLinLarge!$H$120</definedName>
    <definedName name="solver_lhs115" localSheetId="55" hidden="1">NonLinLarge!$H$121</definedName>
    <definedName name="solver_lhs116" localSheetId="55" hidden="1">NonLinLarge!$H$122</definedName>
    <definedName name="solver_lhs117" localSheetId="55" hidden="1">NonLinLarge!$H$123</definedName>
    <definedName name="solver_lhs118" localSheetId="55" hidden="1">NonLinLarge!$H$124</definedName>
    <definedName name="solver_lhs119" localSheetId="55" hidden="1">NonLinLarge!$H$125</definedName>
    <definedName name="solver_lhs12" localSheetId="55" hidden="1">NonLinLarge!$H$18</definedName>
    <definedName name="solver_lhs120" localSheetId="55" hidden="1">NonLinLarge!$H$126</definedName>
    <definedName name="solver_lhs121" localSheetId="55" hidden="1">NonLinLarge!$H$127</definedName>
    <definedName name="solver_lhs122" localSheetId="55" hidden="1">NonLinLarge!$H$128</definedName>
    <definedName name="solver_lhs123" localSheetId="55" hidden="1">NonLinLarge!$H$129</definedName>
    <definedName name="solver_lhs124" localSheetId="55" hidden="1">NonLinLarge!$H$130</definedName>
    <definedName name="solver_lhs125" localSheetId="55" hidden="1">NonLinLarge!$H$131</definedName>
    <definedName name="solver_lhs126" localSheetId="55" hidden="1">NonLinLarge!$H$132</definedName>
    <definedName name="solver_lhs127" localSheetId="55" hidden="1">NonLinLarge!$H$133</definedName>
    <definedName name="solver_lhs128" localSheetId="55" hidden="1">NonLinLarge!$H$134</definedName>
    <definedName name="solver_lhs129" localSheetId="55" hidden="1">NonLinLarge!$H$135</definedName>
    <definedName name="solver_lhs13" localSheetId="55" hidden="1">NonLinLarge!$H$19</definedName>
    <definedName name="solver_lhs130" localSheetId="55" hidden="1">NonLinLarge!$H$136</definedName>
    <definedName name="solver_lhs131" localSheetId="55" hidden="1">NonLinLarge!$H$137</definedName>
    <definedName name="solver_lhs132" localSheetId="55" hidden="1">NonLinLarge!$H$138</definedName>
    <definedName name="solver_lhs133" localSheetId="55" hidden="1">NonLinLarge!$H$139</definedName>
    <definedName name="solver_lhs14" localSheetId="55" hidden="1">NonLinLarge!$H$20</definedName>
    <definedName name="solver_lhs15" localSheetId="55" hidden="1">NonLinLarge!$H$21</definedName>
    <definedName name="solver_lhs16" localSheetId="55" hidden="1">NonLinLarge!$H$22</definedName>
    <definedName name="solver_lhs17" localSheetId="55" hidden="1">NonLinLarge!$H$23</definedName>
    <definedName name="solver_lhs18" localSheetId="55" hidden="1">NonLinLarge!$H$24</definedName>
    <definedName name="solver_lhs19" localSheetId="55" hidden="1">NonLinLarge!$H$25</definedName>
    <definedName name="solver_lhs2" localSheetId="68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7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9" hidden="1">NamedRanges!$I$9</definedName>
    <definedName name="solver_lhs2" localSheetId="61" hidden="1">NonLin!$J$41:$J$42</definedName>
    <definedName name="solver_lhs2" localSheetId="62" hidden="1">NonLin2!$C$4:$D$4</definedName>
    <definedName name="solver_lhs2" localSheetId="63" hidden="1">NonLin3!$S$10:$S$11</definedName>
    <definedName name="solver_lhs2" localSheetId="60" hidden="1">NonLinBinary!$C$4:$D$4</definedName>
    <definedName name="solver_lhs2" localSheetId="59" hidden="1">NonLinConstraints!$D$5:$H$5</definedName>
    <definedName name="solver_lhs2" localSheetId="55" hidden="1">NonLinLarge!$H$9:$H$72</definedName>
    <definedName name="solver_lhs2" localSheetId="58" hidden="1">NonLinMinMax!$D$4:$F$4</definedName>
    <definedName name="solver_lhs2" localSheetId="56" hidden="1">NonLinObj!$H$9</definedName>
    <definedName name="solver_lhs2" localSheetId="57" hidden="1">NonLinPruning!$F$10:$F$11</definedName>
    <definedName name="solver_lhs2" localSheetId="54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0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2" hidden="1">Sensitivity!$G$9</definedName>
    <definedName name="solver_lhs2" localSheetId="53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1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5" hidden="1">NonLinLarge!$H$26</definedName>
    <definedName name="solver_lhs21" localSheetId="55" hidden="1">NonLinLarge!$H$27</definedName>
    <definedName name="solver_lhs22" localSheetId="55" hidden="1">NonLinLarge!$H$28</definedName>
    <definedName name="solver_lhs23" localSheetId="55" hidden="1">NonLinLarge!$H$29</definedName>
    <definedName name="solver_lhs24" localSheetId="55" hidden="1">NonLinLarge!$H$30</definedName>
    <definedName name="solver_lhs25" localSheetId="55" hidden="1">NonLinLarge!$H$31</definedName>
    <definedName name="solver_lhs26" localSheetId="55" hidden="1">NonLinLarge!$H$32</definedName>
    <definedName name="solver_lhs27" localSheetId="55" hidden="1">NonLinLarge!$H$33</definedName>
    <definedName name="solver_lhs28" localSheetId="55" hidden="1">NonLinLarge!$H$34</definedName>
    <definedName name="solver_lhs29" localSheetId="55" hidden="1">NonLinLarge!$H$35</definedName>
    <definedName name="solver_lhs3" localSheetId="68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7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9" hidden="1">NamedRanges!$I$10:$I$11</definedName>
    <definedName name="solver_lhs3" localSheetId="61" hidden="1">NonLin!$J$43</definedName>
    <definedName name="solver_lhs3" localSheetId="55" hidden="1">NonLinLarge!$H$73</definedName>
    <definedName name="solver_lhs3" localSheetId="56" hidden="1">NonLinObj!$H$10</definedName>
    <definedName name="solver_lhs3" localSheetId="57" hidden="1">NonLinPruning!$F$12:$F$18</definedName>
    <definedName name="solver_lhs3" localSheetId="54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0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2" hidden="1">Sensitivity!$G$10:$G$11</definedName>
    <definedName name="solver_lhs3" localSheetId="53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1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5" hidden="1">NonLinLarge!$H$36</definedName>
    <definedName name="solver_lhs31" localSheetId="55" hidden="1">NonLinLarge!$H$37</definedName>
    <definedName name="solver_lhs32" localSheetId="55" hidden="1">NonLinLarge!$H$38</definedName>
    <definedName name="solver_lhs33" localSheetId="55" hidden="1">NonLinLarge!$H$39</definedName>
    <definedName name="solver_lhs34" localSheetId="55" hidden="1">NonLinLarge!$H$40</definedName>
    <definedName name="solver_lhs35" localSheetId="55" hidden="1">NonLinLarge!$H$41</definedName>
    <definedName name="solver_lhs36" localSheetId="55" hidden="1">NonLinLarge!$H$42</definedName>
    <definedName name="solver_lhs37" localSheetId="55" hidden="1">NonLinLarge!$H$43</definedName>
    <definedName name="solver_lhs38" localSheetId="55" hidden="1">NonLinLarge!$H$44</definedName>
    <definedName name="solver_lhs39" localSheetId="55" hidden="1">NonLinLarge!$H$45</definedName>
    <definedName name="solver_lhs4" localSheetId="68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7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9" hidden="1">NamedRanges!$I$12</definedName>
    <definedName name="solver_lhs4" localSheetId="61" hidden="1">NonLin!$J$44</definedName>
    <definedName name="solver_lhs4" localSheetId="55" hidden="1">NonLinLarge!$H$74</definedName>
    <definedName name="solver_lhs4" localSheetId="57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0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2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1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5" hidden="1">NonLinLarge!$H$46</definedName>
    <definedName name="solver_lhs41" localSheetId="55" hidden="1">NonLinLarge!$H$47</definedName>
    <definedName name="solver_lhs42" localSheetId="55" hidden="1">NonLinLarge!$H$48</definedName>
    <definedName name="solver_lhs43" localSheetId="55" hidden="1">NonLinLarge!$H$49</definedName>
    <definedName name="solver_lhs44" localSheetId="55" hidden="1">NonLinLarge!$H$50</definedName>
    <definedName name="solver_lhs45" localSheetId="55" hidden="1">NonLinLarge!$H$51</definedName>
    <definedName name="solver_lhs46" localSheetId="55" hidden="1">NonLinLarge!$H$52</definedName>
    <definedName name="solver_lhs47" localSheetId="55" hidden="1">NonLinLarge!$H$53</definedName>
    <definedName name="solver_lhs48" localSheetId="55" hidden="1">NonLinLarge!$H$54</definedName>
    <definedName name="solver_lhs49" localSheetId="55" hidden="1">NonLinLarge!$H$55</definedName>
    <definedName name="solver_lhs5" localSheetId="68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7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1" hidden="1">NonLin!$D$3:$D$35</definedName>
    <definedName name="solver_lhs5" localSheetId="55" hidden="1">NonLinLarge!$H$75:$H$138</definedName>
    <definedName name="solver_lhs5" localSheetId="57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0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5" hidden="1">NonLinLarge!$H$56</definedName>
    <definedName name="solver_lhs51" localSheetId="55" hidden="1">NonLinLarge!$H$57</definedName>
    <definedName name="solver_lhs52" localSheetId="55" hidden="1">NonLinLarge!$H$58</definedName>
    <definedName name="solver_lhs53" localSheetId="55" hidden="1">NonLinLarge!$H$59</definedName>
    <definedName name="solver_lhs54" localSheetId="55" hidden="1">NonLinLarge!$H$60</definedName>
    <definedName name="solver_lhs55" localSheetId="55" hidden="1">NonLinLarge!$H$61</definedName>
    <definedName name="solver_lhs56" localSheetId="55" hidden="1">NonLinLarge!$H$62</definedName>
    <definedName name="solver_lhs57" localSheetId="55" hidden="1">NonLinLarge!$H$63</definedName>
    <definedName name="solver_lhs58" localSheetId="55" hidden="1">NonLinLarge!$H$64</definedName>
    <definedName name="solver_lhs59" localSheetId="55" hidden="1">NonLinLarge!$H$65</definedName>
    <definedName name="solver_lhs6" localSheetId="68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7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5" hidden="1">NonLinLarge!$H$139</definedName>
    <definedName name="solver_lhs6" localSheetId="57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0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5" hidden="1">NonLinLarge!$H$66</definedName>
    <definedName name="solver_lhs61" localSheetId="55" hidden="1">NonLinLarge!$H$67</definedName>
    <definedName name="solver_lhs62" localSheetId="55" hidden="1">NonLinLarge!$H$68</definedName>
    <definedName name="solver_lhs63" localSheetId="55" hidden="1">NonLinLarge!$H$69</definedName>
    <definedName name="solver_lhs64" localSheetId="55" hidden="1">NonLinLarge!$H$70</definedName>
    <definedName name="solver_lhs65" localSheetId="55" hidden="1">NonLinLarge!$H$71</definedName>
    <definedName name="solver_lhs66" localSheetId="55" hidden="1">NonLinLarge!$H$72</definedName>
    <definedName name="solver_lhs67" localSheetId="55" hidden="1">NonLinLarge!$H$73</definedName>
    <definedName name="solver_lhs68" localSheetId="55" hidden="1">NonLinLarge!$H$74</definedName>
    <definedName name="solver_lhs69" localSheetId="55" hidden="1">NonLinLarge!$H$75</definedName>
    <definedName name="solver_lhs7" localSheetId="68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7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5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0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5" hidden="1">NonLinLarge!$H$76</definedName>
    <definedName name="solver_lhs71" localSheetId="55" hidden="1">NonLinLarge!$H$77</definedName>
    <definedName name="solver_lhs72" localSheetId="55" hidden="1">NonLinLarge!$H$78</definedName>
    <definedName name="solver_lhs73" localSheetId="55" hidden="1">NonLinLarge!$H$79</definedName>
    <definedName name="solver_lhs74" localSheetId="55" hidden="1">NonLinLarge!$H$80</definedName>
    <definedName name="solver_lhs75" localSheetId="55" hidden="1">NonLinLarge!$H$81</definedName>
    <definedName name="solver_lhs76" localSheetId="55" hidden="1">NonLinLarge!$H$82</definedName>
    <definedName name="solver_lhs77" localSheetId="55" hidden="1">NonLinLarge!$H$83</definedName>
    <definedName name="solver_lhs78" localSheetId="55" hidden="1">NonLinLarge!$H$84</definedName>
    <definedName name="solver_lhs79" localSheetId="55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7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5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0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5" hidden="1">NonLinLarge!$H$86</definedName>
    <definedName name="solver_lhs81" localSheetId="55" hidden="1">NonLinLarge!$H$87</definedName>
    <definedName name="solver_lhs82" localSheetId="55" hidden="1">NonLinLarge!$H$88</definedName>
    <definedName name="solver_lhs83" localSheetId="55" hidden="1">NonLinLarge!$H$89</definedName>
    <definedName name="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nedName name="solver_lhs87" localSheetId="55" hidden="1">NonLinLarge!$H$93</definedName>
    <definedName name="solver_lhs88" localSheetId="55" hidden="1">NonLinLarge!$H$94</definedName>
    <definedName name="solver_lhs89" localSheetId="55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7" hidden="1">Highlighting!$L$9:$N$9</definedName>
    <definedName name="solver_lhs9" localSheetId="55" hidden="1">NonLinLarge!$H$15</definedName>
    <definedName name="solver_lhs9" localSheetId="3" hidden="1">OverlappingVars!$H$11</definedName>
    <definedName name="solver_lhs90" localSheetId="55" hidden="1">NonLinLarge!$H$96</definedName>
    <definedName name="solver_lhs91" localSheetId="55" hidden="1">NonLinLarge!$H$97</definedName>
    <definedName name="solver_lhs92" localSheetId="55" hidden="1">NonLinLarge!$H$98</definedName>
    <definedName name="solver_lhs93" localSheetId="55" hidden="1">NonLinLarge!$H$99</definedName>
    <definedName name="solver_lhs94" localSheetId="55" hidden="1">NonLinLarge!$H$100</definedName>
    <definedName name="solver_lhs95" localSheetId="55" hidden="1">NonLinLarge!$H$101</definedName>
    <definedName name="solver_lhs96" localSheetId="55" hidden="1">NonLinLarge!$H$102</definedName>
    <definedName name="solver_lhs97" localSheetId="55" hidden="1">NonLinLarge!$H$103</definedName>
    <definedName name="solver_lhs98" localSheetId="55" hidden="1">NonLinLarge!$H$104</definedName>
    <definedName name="solver_lhs99" localSheetId="55" hidden="1">NonLinLarge!$H$105</definedName>
    <definedName name="solver_lin" localSheetId="68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7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9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0" hidden="1">1</definedName>
    <definedName name="solver_lin" localSheetId="59" hidden="1">1</definedName>
    <definedName name="solver_lin" localSheetId="55" hidden="1">1</definedName>
    <definedName name="solver_lin" localSheetId="58" hidden="1">1</definedName>
    <definedName name="solver_lin" localSheetId="56" hidden="1">1</definedName>
    <definedName name="solver_lin" localSheetId="57" hidden="1">1</definedName>
    <definedName name="solver_lin" localSheetId="54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0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2" hidden="1">1</definedName>
    <definedName name="solver_lin" localSheetId="53" hidden="1">1</definedName>
    <definedName name="solver_lin" localSheetId="2" hidden="1">1</definedName>
    <definedName name="solver_lin" localSheetId="30" hidden="1">1</definedName>
    <definedName name="solver_lin" localSheetId="51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4" hidden="1">2147483647</definedName>
    <definedName name="solver_mip" localSheetId="65" hidden="1">2147483647</definedName>
    <definedName name="solver_mip" localSheetId="57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4" hidden="1">30</definedName>
    <definedName name="solver_mni" localSheetId="65" hidden="1">30</definedName>
    <definedName name="solver_mni" localSheetId="57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4" hidden="1">0.075</definedName>
    <definedName name="solver_mrt" localSheetId="65" hidden="1">0.075</definedName>
    <definedName name="solver_mrt" localSheetId="57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4" hidden="1">2</definedName>
    <definedName name="solver_msl" localSheetId="65" hidden="1">2</definedName>
    <definedName name="solver_msl" localSheetId="57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8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7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9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5" hidden="1">1</definedName>
    <definedName name="solver_neg" localSheetId="66" hidden="1">1</definedName>
    <definedName name="solver_neg" localSheetId="60" hidden="1">1</definedName>
    <definedName name="solver_neg" localSheetId="59" hidden="1">1</definedName>
    <definedName name="solver_neg" localSheetId="55" hidden="1">1</definedName>
    <definedName name="solver_neg" localSheetId="58" hidden="1">1</definedName>
    <definedName name="solver_neg" localSheetId="56" hidden="1">1</definedName>
    <definedName name="solver_neg" localSheetId="57" hidden="1">1</definedName>
    <definedName name="solver_neg" localSheetId="54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50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2" hidden="1">1</definedName>
    <definedName name="solver_neg" localSheetId="53" hidden="1">2</definedName>
    <definedName name="solver_neg" localSheetId="2" hidden="1">1</definedName>
    <definedName name="solver_neg" localSheetId="30" hidden="1">1</definedName>
    <definedName name="solver_neg" localSheetId="51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4" hidden="1">2147483647</definedName>
    <definedName name="solver_nod" localSheetId="65" hidden="1">2147483647</definedName>
    <definedName name="solver_nod" localSheetId="57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8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7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9" hidden="1">4</definedName>
    <definedName name="solver_num" localSheetId="61" hidden="1">5</definedName>
    <definedName name="solver_num" localSheetId="62" hidden="1">1</definedName>
    <definedName name="solver_num" localSheetId="63" hidden="1">2</definedName>
    <definedName name="solver_num" localSheetId="65" hidden="1">0</definedName>
    <definedName name="solver_num" localSheetId="66" hidden="1">0</definedName>
    <definedName name="solver_num" localSheetId="60" hidden="1">2</definedName>
    <definedName name="solver_num" localSheetId="59" hidden="1">1</definedName>
    <definedName name="solver_num" localSheetId="55" hidden="1">6</definedName>
    <definedName name="solver_num" localSheetId="58" hidden="1">2</definedName>
    <definedName name="solver_num" localSheetId="56" hidden="1">3</definedName>
    <definedName name="solver_num" localSheetId="57" hidden="1">3</definedName>
    <definedName name="solver_num" localSheetId="54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0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2" hidden="1">3</definedName>
    <definedName name="solver_num" localSheetId="53" hidden="1">3</definedName>
    <definedName name="solver_num" localSheetId="2" hidden="1">3</definedName>
    <definedName name="solver_num" localSheetId="30" hidden="1">2</definedName>
    <definedName name="solver_num" localSheetId="51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8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7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9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0" hidden="1">1</definedName>
    <definedName name="solver_nwt" localSheetId="59" hidden="1">1</definedName>
    <definedName name="solver_nwt" localSheetId="55" hidden="1">1</definedName>
    <definedName name="solver_nwt" localSheetId="58" hidden="1">1</definedName>
    <definedName name="solver_nwt" localSheetId="56" hidden="1">1</definedName>
    <definedName name="solver_nwt" localSheetId="57" hidden="1">1</definedName>
    <definedName name="solver_nwt" localSheetId="54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0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2" hidden="1">1</definedName>
    <definedName name="solver_nwt" localSheetId="53" hidden="1">1</definedName>
    <definedName name="solver_nwt" localSheetId="2" hidden="1">1</definedName>
    <definedName name="solver_nwt" localSheetId="30" hidden="1">1</definedName>
    <definedName name="solver_nwt" localSheetId="51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8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7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9" hidden="1">NamedRanges!$I$6</definedName>
    <definedName name="solver_opt" localSheetId="61" hidden="1">NonLin!$I$39</definedName>
    <definedName name="solver_opt" localSheetId="62" hidden="1">NonLin2!$F$4</definedName>
    <definedName name="solver_opt" localSheetId="63" hidden="1">NonLin3!$S$13</definedName>
    <definedName name="solver_opt" localSheetId="64" hidden="1">NonLin4!$D$16</definedName>
    <definedName name="solver_opt" localSheetId="65" hidden="1">NonLin5!$J$7</definedName>
    <definedName name="solver_opt" localSheetId="66" hidden="1">NonLin6!$F$15</definedName>
    <definedName name="solver_opt" localSheetId="60" hidden="1">NonLinBinary!$C$6</definedName>
    <definedName name="solver_opt" localSheetId="59" hidden="1">NonLinConstraints!$I$6</definedName>
    <definedName name="solver_opt" localSheetId="55" hidden="1">NonLinLarge!$H$5</definedName>
    <definedName name="solver_opt" localSheetId="58" hidden="1">NonLinMinMax!$G$6</definedName>
    <definedName name="solver_opt" localSheetId="56" hidden="1">NonLinObj!$H$5</definedName>
    <definedName name="solver_opt" localSheetId="57" hidden="1">NonLinPruning!$F$6</definedName>
    <definedName name="solver_opt" localSheetId="54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0" hidden="1">QuickSolve!$H$6</definedName>
    <definedName name="solver_opt" localSheetId="33" hidden="1">Relaxation!$H$9</definedName>
    <definedName name="solver_opt" localSheetId="48" hidden="1">SeekObj!$G$4</definedName>
    <definedName name="solver_opt" localSheetId="52" hidden="1">Sensitivity!$G$6</definedName>
    <definedName name="solver_opt" localSheetId="53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1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7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9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5" hidden="1">0.000001</definedName>
    <definedName name="solver_pre" localSheetId="66" hidden="1">0.000001</definedName>
    <definedName name="solver_pre" localSheetId="60" hidden="1">0.000001</definedName>
    <definedName name="solver_pre" localSheetId="59" hidden="1">0.000001</definedName>
    <definedName name="solver_pre" localSheetId="55" hidden="1">0.000001</definedName>
    <definedName name="solver_pre" localSheetId="58" hidden="1">0.000001</definedName>
    <definedName name="solver_pre" localSheetId="56" hidden="1">0.000001</definedName>
    <definedName name="solver_pre" localSheetId="57" hidden="1">0.000001</definedName>
    <definedName name="solver_pre" localSheetId="54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50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2" hidden="1">0.000001</definedName>
    <definedName name="solver_pre" localSheetId="53" hidden="1">0.000001</definedName>
    <definedName name="solver_pre" localSheetId="2" hidden="1">0.000001</definedName>
    <definedName name="solver_pre" localSheetId="30" hidden="1">0.000001</definedName>
    <definedName name="solver_pre" localSheetId="51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4" hidden="1">1</definedName>
    <definedName name="solver_rbv" localSheetId="65" hidden="1">1</definedName>
    <definedName name="solver_rbv" localSheetId="57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8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7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9" hidden="1">1</definedName>
    <definedName name="solver_rel1" localSheetId="61" hidden="1">3</definedName>
    <definedName name="solver_rel1" localSheetId="62" hidden="1">3</definedName>
    <definedName name="solver_rel1" localSheetId="63" hidden="1">3</definedName>
    <definedName name="solver_rel1" localSheetId="60" hidden="1">3</definedName>
    <definedName name="solver_rel1" localSheetId="59" hidden="1">1</definedName>
    <definedName name="solver_rel1" localSheetId="55" hidden="1">1</definedName>
    <definedName name="solver_rel1" localSheetId="58" hidden="1">1</definedName>
    <definedName name="solver_rel1" localSheetId="56" hidden="1">1</definedName>
    <definedName name="solver_rel1" localSheetId="57" hidden="1">1</definedName>
    <definedName name="solver_rel1" localSheetId="54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0" hidden="1">1</definedName>
    <definedName name="solver_rel1" localSheetId="33" hidden="1">3</definedName>
    <definedName name="solver_rel1" localSheetId="48" hidden="1">2</definedName>
    <definedName name="solver_rel1" localSheetId="52" hidden="1">1</definedName>
    <definedName name="solver_rel1" localSheetId="53" hidden="1">1</definedName>
    <definedName name="solver_rel1" localSheetId="2" hidden="1">1</definedName>
    <definedName name="solver_rel1" localSheetId="30" hidden="1">3</definedName>
    <definedName name="solver_rel1" localSheetId="51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5" hidden="1">3</definedName>
    <definedName name="solver_rel100" localSheetId="55" hidden="1">3</definedName>
    <definedName name="solver_rel101" localSheetId="55" hidden="1">3</definedName>
    <definedName name="solver_rel102" localSheetId="55" hidden="1">3</definedName>
    <definedName name="solver_rel103" localSheetId="55" hidden="1">3</definedName>
    <definedName name="solver_rel104" localSheetId="55" hidden="1">3</definedName>
    <definedName name="solver_rel105" localSheetId="55" hidden="1">3</definedName>
    <definedName name="solver_rel106" localSheetId="55" hidden="1">3</definedName>
    <definedName name="solver_rel107" localSheetId="55" hidden="1">3</definedName>
    <definedName name="solver_rel108" localSheetId="55" hidden="1">3</definedName>
    <definedName name="solver_rel109" localSheetId="55" hidden="1">3</definedName>
    <definedName name="solver_rel11" localSheetId="55" hidden="1">3</definedName>
    <definedName name="solver_rel110" localSheetId="55" hidden="1">3</definedName>
    <definedName name="solver_rel111" localSheetId="55" hidden="1">3</definedName>
    <definedName name="solver_rel112" localSheetId="55" hidden="1">3</definedName>
    <definedName name="solver_rel113" localSheetId="55" hidden="1">3</definedName>
    <definedName name="solver_rel114" localSheetId="55" hidden="1">3</definedName>
    <definedName name="solver_rel115" localSheetId="55" hidden="1">3</definedName>
    <definedName name="solver_rel116" localSheetId="55" hidden="1">3</definedName>
    <definedName name="solver_rel117" localSheetId="55" hidden="1">3</definedName>
    <definedName name="solver_rel118" localSheetId="55" hidden="1">3</definedName>
    <definedName name="solver_rel119" localSheetId="55" hidden="1">3</definedName>
    <definedName name="solver_rel12" localSheetId="55" hidden="1">3</definedName>
    <definedName name="solver_rel120" localSheetId="55" hidden="1">3</definedName>
    <definedName name="solver_rel121" localSheetId="55" hidden="1">3</definedName>
    <definedName name="solver_rel122" localSheetId="55" hidden="1">3</definedName>
    <definedName name="solver_rel123" localSheetId="55" hidden="1">3</definedName>
    <definedName name="solver_rel124" localSheetId="55" hidden="1">3</definedName>
    <definedName name="solver_rel125" localSheetId="55" hidden="1">3</definedName>
    <definedName name="solver_rel126" localSheetId="55" hidden="1">3</definedName>
    <definedName name="solver_rel127" localSheetId="55" hidden="1">3</definedName>
    <definedName name="solver_rel128" localSheetId="55" hidden="1">3</definedName>
    <definedName name="solver_rel129" localSheetId="55" hidden="1">3</definedName>
    <definedName name="solver_rel13" localSheetId="55" hidden="1">3</definedName>
    <definedName name="solver_rel130" localSheetId="55" hidden="1">3</definedName>
    <definedName name="solver_rel131" localSheetId="55" hidden="1">3</definedName>
    <definedName name="solver_rel132" localSheetId="55" hidden="1">3</definedName>
    <definedName name="solver_rel133" localSheetId="55" hidden="1">2</definedName>
    <definedName name="solver_rel14" localSheetId="55" hidden="1">3</definedName>
    <definedName name="solver_rel15" localSheetId="55" hidden="1">3</definedName>
    <definedName name="solver_rel16" localSheetId="55" hidden="1">3</definedName>
    <definedName name="solver_rel17" localSheetId="55" hidden="1">3</definedName>
    <definedName name="solver_rel18" localSheetId="55" hidden="1">3</definedName>
    <definedName name="solver_rel19" localSheetId="55" hidden="1">3</definedName>
    <definedName name="solver_rel2" localSheetId="68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7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9" hidden="1">3</definedName>
    <definedName name="solver_rel2" localSheetId="61" hidden="1">1</definedName>
    <definedName name="solver_rel2" localSheetId="62" hidden="1">5</definedName>
    <definedName name="solver_rel2" localSheetId="63" hidden="1">1</definedName>
    <definedName name="solver_rel2" localSheetId="60" hidden="1">5</definedName>
    <definedName name="solver_rel2" localSheetId="59" hidden="1">3</definedName>
    <definedName name="solver_rel2" localSheetId="55" hidden="1">3</definedName>
    <definedName name="solver_rel2" localSheetId="58" hidden="1">4</definedName>
    <definedName name="solver_rel2" localSheetId="56" hidden="1">3</definedName>
    <definedName name="solver_rel2" localSheetId="57" hidden="1">3</definedName>
    <definedName name="solver_rel2" localSheetId="54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0" hidden="1">3</definedName>
    <definedName name="solver_rel2" localSheetId="33" hidden="1">3</definedName>
    <definedName name="solver_rel2" localSheetId="48" hidden="1">3</definedName>
    <definedName name="solver_rel2" localSheetId="52" hidden="1">3</definedName>
    <definedName name="solver_rel2" localSheetId="53" hidden="1">2</definedName>
    <definedName name="solver_rel2" localSheetId="2" hidden="1">3</definedName>
    <definedName name="solver_rel2" localSheetId="30" hidden="1">3</definedName>
    <definedName name="solver_rel2" localSheetId="51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5" hidden="1">3</definedName>
    <definedName name="solver_rel21" localSheetId="55" hidden="1">3</definedName>
    <definedName name="solver_rel22" localSheetId="55" hidden="1">3</definedName>
    <definedName name="solver_rel23" localSheetId="55" hidden="1">3</definedName>
    <definedName name="solver_rel24" localSheetId="55" hidden="1">3</definedName>
    <definedName name="solver_rel25" localSheetId="55" hidden="1">3</definedName>
    <definedName name="solver_rel26" localSheetId="55" hidden="1">3</definedName>
    <definedName name="solver_rel27" localSheetId="55" hidden="1">3</definedName>
    <definedName name="solver_rel28" localSheetId="55" hidden="1">3</definedName>
    <definedName name="solver_rel29" localSheetId="55" hidden="1">3</definedName>
    <definedName name="solver_rel3" localSheetId="68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7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9" hidden="1">1</definedName>
    <definedName name="solver_rel3" localSheetId="61" hidden="1">3</definedName>
    <definedName name="solver_rel3" localSheetId="55" hidden="1">2</definedName>
    <definedName name="solver_rel3" localSheetId="56" hidden="1">2</definedName>
    <definedName name="solver_rel3" localSheetId="57" hidden="1">1</definedName>
    <definedName name="solver_rel3" localSheetId="54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0" hidden="1">3</definedName>
    <definedName name="solver_rel3" localSheetId="33" hidden="1">5</definedName>
    <definedName name="solver_rel3" localSheetId="48" hidden="1">1</definedName>
    <definedName name="solver_rel3" localSheetId="52" hidden="1">1</definedName>
    <definedName name="solver_rel3" localSheetId="53" hidden="1">3</definedName>
    <definedName name="solver_rel3" localSheetId="2" hidden="1">2</definedName>
    <definedName name="solver_rel3" localSheetId="30" hidden="1">3</definedName>
    <definedName name="solver_rel3" localSheetId="51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5" hidden="1">3</definedName>
    <definedName name="solver_rel31" localSheetId="55" hidden="1">3</definedName>
    <definedName name="solver_rel32" localSheetId="55" hidden="1">3</definedName>
    <definedName name="solver_rel33" localSheetId="55" hidden="1">3</definedName>
    <definedName name="solver_rel34" localSheetId="55" hidden="1">3</definedName>
    <definedName name="solver_rel35" localSheetId="55" hidden="1">3</definedName>
    <definedName name="solver_rel36" localSheetId="55" hidden="1">3</definedName>
    <definedName name="solver_rel37" localSheetId="55" hidden="1">3</definedName>
    <definedName name="solver_rel38" localSheetId="55" hidden="1">3</definedName>
    <definedName name="solver_rel39" localSheetId="55" hidden="1">3</definedName>
    <definedName name="solver_rel4" localSheetId="68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7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9" hidden="1">2</definedName>
    <definedName name="solver_rel4" localSheetId="61" hidden="1">1</definedName>
    <definedName name="solver_rel4" localSheetId="55" hidden="1">1</definedName>
    <definedName name="solver_rel4" localSheetId="57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0" hidden="1">4</definedName>
    <definedName name="solver_rel4" localSheetId="33" hidden="1">4</definedName>
    <definedName name="solver_rel4" localSheetId="48" hidden="1">1</definedName>
    <definedName name="solver_rel4" localSheetId="52" hidden="1">4</definedName>
    <definedName name="solver_rel4" localSheetId="2" hidden="1">1</definedName>
    <definedName name="solver_rel4" localSheetId="30" hidden="1">3</definedName>
    <definedName name="solver_rel4" localSheetId="51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5" hidden="1">3</definedName>
    <definedName name="solver_rel41" localSheetId="55" hidden="1">3</definedName>
    <definedName name="solver_rel42" localSheetId="55" hidden="1">3</definedName>
    <definedName name="solver_rel43" localSheetId="55" hidden="1">3</definedName>
    <definedName name="solver_rel44" localSheetId="55" hidden="1">3</definedName>
    <definedName name="solver_rel45" localSheetId="55" hidden="1">3</definedName>
    <definedName name="solver_rel46" localSheetId="55" hidden="1">3</definedName>
    <definedName name="solver_rel47" localSheetId="55" hidden="1">3</definedName>
    <definedName name="solver_rel48" localSheetId="55" hidden="1">3</definedName>
    <definedName name="solver_rel49" localSheetId="55" hidden="1">3</definedName>
    <definedName name="solver_rel5" localSheetId="68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7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1" hidden="1">4</definedName>
    <definedName name="solver_rel5" localSheetId="55" hidden="1">3</definedName>
    <definedName name="solver_rel5" localSheetId="57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0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5" hidden="1">3</definedName>
    <definedName name="solver_rel51" localSheetId="55" hidden="1">3</definedName>
    <definedName name="solver_rel52" localSheetId="55" hidden="1">3</definedName>
    <definedName name="solver_rel53" localSheetId="55" hidden="1">3</definedName>
    <definedName name="solver_rel54" localSheetId="55" hidden="1">3</definedName>
    <definedName name="solver_rel55" localSheetId="55" hidden="1">3</definedName>
    <definedName name="solver_rel56" localSheetId="55" hidden="1">3</definedName>
    <definedName name="solver_rel57" localSheetId="55" hidden="1">3</definedName>
    <definedName name="solver_rel58" localSheetId="55" hidden="1">3</definedName>
    <definedName name="solver_rel59" localSheetId="55" hidden="1">3</definedName>
    <definedName name="solver_rel6" localSheetId="68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7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5" hidden="1">2</definedName>
    <definedName name="solver_rel6" localSheetId="57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0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5" hidden="1">3</definedName>
    <definedName name="solver_rel61" localSheetId="55" hidden="1">3</definedName>
    <definedName name="solver_rel62" localSheetId="55" hidden="1">3</definedName>
    <definedName name="solver_rel63" localSheetId="55" hidden="1">3</definedName>
    <definedName name="solver_rel64" localSheetId="55" hidden="1">3</definedName>
    <definedName name="solver_rel65" localSheetId="55" hidden="1">3</definedName>
    <definedName name="solver_rel66" localSheetId="55" hidden="1">3</definedName>
    <definedName name="solver_rel67" localSheetId="55" hidden="1">2</definedName>
    <definedName name="solver_rel68" localSheetId="55" hidden="1">1</definedName>
    <definedName name="solver_rel69" localSheetId="55" hidden="1">3</definedName>
    <definedName name="solver_rel7" localSheetId="68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7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5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0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5" hidden="1">3</definedName>
    <definedName name="solver_rel71" localSheetId="55" hidden="1">3</definedName>
    <definedName name="solver_rel72" localSheetId="55" hidden="1">3</definedName>
    <definedName name="solver_rel73" localSheetId="55" hidden="1">3</definedName>
    <definedName name="solver_rel74" localSheetId="55" hidden="1">3</definedName>
    <definedName name="solver_rel75" localSheetId="55" hidden="1">3</definedName>
    <definedName name="solver_rel76" localSheetId="55" hidden="1">3</definedName>
    <definedName name="solver_rel77" localSheetId="55" hidden="1">3</definedName>
    <definedName name="solver_rel78" localSheetId="55" hidden="1">3</definedName>
    <definedName name="solver_rel79" localSheetId="55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7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5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0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5" hidden="1">3</definedName>
    <definedName name="solver_rel81" localSheetId="55" hidden="1">3</definedName>
    <definedName name="solver_rel82" localSheetId="55" hidden="1">3</definedName>
    <definedName name="solver_rel83" localSheetId="55" hidden="1">3</definedName>
    <definedName name="solver_rel84" localSheetId="55" hidden="1">3</definedName>
    <definedName name="solver_rel85" localSheetId="55" hidden="1">3</definedName>
    <definedName name="solver_rel86" localSheetId="55" hidden="1">3</definedName>
    <definedName name="solver_rel87" localSheetId="55" hidden="1">3</definedName>
    <definedName name="solver_rel88" localSheetId="55" hidden="1">3</definedName>
    <definedName name="solver_rel89" localSheetId="55" hidden="1">3</definedName>
    <definedName name="solver_rel9" localSheetId="18" hidden="1">3</definedName>
    <definedName name="solver_rel9" localSheetId="19" hidden="1">1</definedName>
    <definedName name="solver_rel9" localSheetId="67" hidden="1">3</definedName>
    <definedName name="solver_rel9" localSheetId="55" hidden="1">3</definedName>
    <definedName name="solver_rel9" localSheetId="3" hidden="1">2</definedName>
    <definedName name="solver_rel90" localSheetId="55" hidden="1">3</definedName>
    <definedName name="solver_rel91" localSheetId="55" hidden="1">3</definedName>
    <definedName name="solver_rel92" localSheetId="55" hidden="1">3</definedName>
    <definedName name="solver_rel93" localSheetId="55" hidden="1">3</definedName>
    <definedName name="solver_rel94" localSheetId="55" hidden="1">3</definedName>
    <definedName name="solver_rel95" localSheetId="55" hidden="1">3</definedName>
    <definedName name="solver_rel96" localSheetId="55" hidden="1">3</definedName>
    <definedName name="solver_rel97" localSheetId="55" hidden="1">3</definedName>
    <definedName name="solver_rel98" localSheetId="55" hidden="1">3</definedName>
    <definedName name="solver_rel99" localSheetId="55" hidden="1">3</definedName>
    <definedName name="solver_rhs1" localSheetId="68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7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9" hidden="1">NamedRanges!$K$8</definedName>
    <definedName name="solver_rhs1" localSheetId="61" hidden="1">NonLin!$L$40</definedName>
    <definedName name="solver_rhs1" localSheetId="62" hidden="1">NonLin2!$G$6:$G$7</definedName>
    <definedName name="solver_rhs1" localSheetId="63" hidden="1">NonLin3!$Q$10:$Q$11</definedName>
    <definedName name="solver_rhs1" localSheetId="60" hidden="1">NonLinBinary!$G$8:$G$9</definedName>
    <definedName name="solver_rhs1" localSheetId="59" hidden="1">NonLinConstraints!$K$7:$K$9</definedName>
    <definedName name="solver_rhs1" localSheetId="55" hidden="1">NonLinLarge!$J$7:$J$8</definedName>
    <definedName name="solver_rhs1" localSheetId="58" hidden="1">NonLinMinMax!$I$8</definedName>
    <definedName name="solver_rhs1" localSheetId="56" hidden="1">NonLinObj!$J$7:$J$8</definedName>
    <definedName name="solver_rhs1" localSheetId="57" hidden="1">NonLinPruning!$H$8:$H$9</definedName>
    <definedName name="solver_rhs1" localSheetId="54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0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2" hidden="1">Sensitivity!$I$8</definedName>
    <definedName name="solver_rhs1" localSheetId="53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1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5" hidden="1">NonLinLarge!$J$16</definedName>
    <definedName name="solver_rhs100" localSheetId="55" hidden="1">NonLinLarge!$J$106</definedName>
    <definedName name="solver_rhs101" localSheetId="55" hidden="1">NonLinLarge!$J$107</definedName>
    <definedName name="solver_rhs102" localSheetId="55" hidden="1">NonLinLarge!$J$108</definedName>
    <definedName name="solver_rhs103" localSheetId="55" hidden="1">NonLinLarge!$J$109</definedName>
    <definedName name="solver_rhs104" localSheetId="55" hidden="1">NonLinLarge!$J$110</definedName>
    <definedName name="solver_rhs105" localSheetId="55" hidden="1">NonLinLarge!$J$111</definedName>
    <definedName name="solver_rhs106" localSheetId="55" hidden="1">NonLinLarge!$J$112</definedName>
    <definedName name="solver_rhs107" localSheetId="55" hidden="1">NonLinLarge!$J$113</definedName>
    <definedName name="solver_rhs108" localSheetId="55" hidden="1">NonLinLarge!$J$114</definedName>
    <definedName name="solver_rhs109" localSheetId="55" hidden="1">NonLinLarge!$J$115</definedName>
    <definedName name="solver_rhs11" localSheetId="55" hidden="1">NonLinLarge!$J$17</definedName>
    <definedName name="solver_rhs110" localSheetId="55" hidden="1">NonLinLarge!$J$116</definedName>
    <definedName name="solver_rhs111" localSheetId="55" hidden="1">NonLinLarge!$J$117</definedName>
    <definedName name="solver_rhs112" localSheetId="55" hidden="1">NonLinLarge!$J$118</definedName>
    <definedName name="solver_rhs113" localSheetId="55" hidden="1">NonLinLarge!$J$119</definedName>
    <definedName name="solver_rhs114" localSheetId="55" hidden="1">NonLinLarge!$J$120</definedName>
    <definedName name="solver_rhs115" localSheetId="55" hidden="1">NonLinLarge!$J$121</definedName>
    <definedName name="solver_rhs116" localSheetId="55" hidden="1">NonLinLarge!$J$122</definedName>
    <definedName name="solver_rhs117" localSheetId="55" hidden="1">NonLinLarge!$J$123</definedName>
    <definedName name="solver_rhs118" localSheetId="55" hidden="1">NonLinLarge!$J$124</definedName>
    <definedName name="solver_rhs119" localSheetId="55" hidden="1">NonLinLarge!$J$125</definedName>
    <definedName name="solver_rhs12" localSheetId="55" hidden="1">NonLinLarge!$J$18</definedName>
    <definedName name="solver_rhs120" localSheetId="55" hidden="1">NonLinLarge!$J$126</definedName>
    <definedName name="solver_rhs121" localSheetId="55" hidden="1">NonLinLarge!$J$127</definedName>
    <definedName name="solver_rhs122" localSheetId="55" hidden="1">NonLinLarge!$J$128</definedName>
    <definedName name="solver_rhs123" localSheetId="55" hidden="1">NonLinLarge!$J$129</definedName>
    <definedName name="solver_rhs124" localSheetId="55" hidden="1">NonLinLarge!$J$130</definedName>
    <definedName name="solver_rhs125" localSheetId="55" hidden="1">NonLinLarge!$J$131</definedName>
    <definedName name="solver_rhs126" localSheetId="55" hidden="1">NonLinLarge!$J$132</definedName>
    <definedName name="solver_rhs127" localSheetId="55" hidden="1">NonLinLarge!$J$133</definedName>
    <definedName name="solver_rhs128" localSheetId="55" hidden="1">NonLinLarge!$J$134</definedName>
    <definedName name="solver_rhs129" localSheetId="55" hidden="1">NonLinLarge!$J$135</definedName>
    <definedName name="solver_rhs13" localSheetId="55" hidden="1">NonLinLarge!$J$19</definedName>
    <definedName name="solver_rhs130" localSheetId="55" hidden="1">NonLinLarge!$J$136</definedName>
    <definedName name="solver_rhs131" localSheetId="55" hidden="1">NonLinLarge!$J$137</definedName>
    <definedName name="solver_rhs132" localSheetId="55" hidden="1">NonLinLarge!$J$138</definedName>
    <definedName name="solver_rhs133" localSheetId="55" hidden="1">NonLinLarge!$J$139</definedName>
    <definedName name="solver_rhs14" localSheetId="55" hidden="1">NonLinLarge!$J$20</definedName>
    <definedName name="solver_rhs15" localSheetId="55" hidden="1">NonLinLarge!$J$21</definedName>
    <definedName name="solver_rhs16" localSheetId="55" hidden="1">NonLinLarge!$J$22</definedName>
    <definedName name="solver_rhs17" localSheetId="55" hidden="1">NonLinLarge!$J$23</definedName>
    <definedName name="solver_rhs18" localSheetId="55" hidden="1">NonLinLarge!$J$24</definedName>
    <definedName name="solver_rhs19" localSheetId="55" hidden="1">NonLinLarge!$J$25</definedName>
    <definedName name="solver_rhs2" localSheetId="68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7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9" hidden="1">NamedRanges!$K$9</definedName>
    <definedName name="solver_rhs2" localSheetId="61" hidden="1">NonLin!$L$41:$L$42</definedName>
    <definedName name="solver_rhs2" localSheetId="62" hidden="1">binary</definedName>
    <definedName name="solver_rhs2" localSheetId="63" hidden="1">NonLin3!$U$10:$U$11</definedName>
    <definedName name="solver_rhs2" localSheetId="60" hidden="1">binary</definedName>
    <definedName name="solver_rhs2" localSheetId="59" hidden="1">-6</definedName>
    <definedName name="solver_rhs2" localSheetId="55" hidden="1">NonLinLarge!$J$9:$J$72</definedName>
    <definedName name="solver_rhs2" localSheetId="58" hidden="1">integer</definedName>
    <definedName name="solver_rhs2" localSheetId="56" hidden="1">NonLinObj!$J$9</definedName>
    <definedName name="solver_rhs2" localSheetId="57" hidden="1">NonLinPruning!$H$10:$H$11</definedName>
    <definedName name="solver_rhs2" localSheetId="54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0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2" hidden="1">Sensitivity!$I$9</definedName>
    <definedName name="solver_rhs2" localSheetId="53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1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5" hidden="1">NonLinLarge!$J$26</definedName>
    <definedName name="solver_rhs21" localSheetId="55" hidden="1">NonLinLarge!$J$27</definedName>
    <definedName name="solver_rhs22" localSheetId="55" hidden="1">NonLinLarge!$J$28</definedName>
    <definedName name="solver_rhs23" localSheetId="55" hidden="1">NonLinLarge!$J$29</definedName>
    <definedName name="solver_rhs24" localSheetId="55" hidden="1">NonLinLarge!$J$30</definedName>
    <definedName name="solver_rhs25" localSheetId="55" hidden="1">NonLinLarge!$J$31</definedName>
    <definedName name="solver_rhs26" localSheetId="55" hidden="1">NonLinLarge!$J$32</definedName>
    <definedName name="solver_rhs27" localSheetId="55" hidden="1">NonLinLarge!$J$33</definedName>
    <definedName name="solver_rhs28" localSheetId="55" hidden="1">NonLinLarge!$J$34</definedName>
    <definedName name="solver_rhs29" localSheetId="55" hidden="1">NonLinLarge!$J$35</definedName>
    <definedName name="solver_rhs3" localSheetId="68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7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9" hidden="1">NamedRanges!$K$10:$K$11</definedName>
    <definedName name="solver_rhs3" localSheetId="61" hidden="1">NonLin!$L$43</definedName>
    <definedName name="solver_rhs3" localSheetId="55" hidden="1">NonLinLarge!$J$73</definedName>
    <definedName name="solver_rhs3" localSheetId="56" hidden="1">NonLinObj!$J$10</definedName>
    <definedName name="solver_rhs3" localSheetId="57" hidden="1">NonLinPruning!$H$12:$H$18</definedName>
    <definedName name="solver_rhs3" localSheetId="54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0" hidden="1">QuickSolve!$J$10</definedName>
    <definedName name="solver_rhs3" localSheetId="33" hidden="1">binary</definedName>
    <definedName name="solver_rhs3" localSheetId="48" hidden="1">SeekObj!$I$8:$I$9</definedName>
    <definedName name="solver_rhs3" localSheetId="52" hidden="1">Sensitivity!$I$10:$I$11</definedName>
    <definedName name="solver_rhs3" localSheetId="53" hidden="1">0</definedName>
    <definedName name="solver_rhs3" localSheetId="2" hidden="1">SimpleLP!$J$11</definedName>
    <definedName name="solver_rhs3" localSheetId="30" hidden="1">SingleRangeLB!$J$11</definedName>
    <definedName name="solver_rhs3" localSheetId="51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5" hidden="1">NonLinLarge!$J$36</definedName>
    <definedName name="solver_rhs31" localSheetId="55" hidden="1">NonLinLarge!$J$37</definedName>
    <definedName name="solver_rhs32" localSheetId="55" hidden="1">NonLinLarge!$J$38</definedName>
    <definedName name="solver_rhs33" localSheetId="55" hidden="1">NonLinLarge!$J$39</definedName>
    <definedName name="solver_rhs34" localSheetId="55" hidden="1">NonLinLarge!$J$40</definedName>
    <definedName name="solver_rhs35" localSheetId="55" hidden="1">NonLinLarge!$J$41</definedName>
    <definedName name="solver_rhs36" localSheetId="55" hidden="1">NonLinLarge!$J$42</definedName>
    <definedName name="solver_rhs37" localSheetId="55" hidden="1">NonLinLarge!$J$43</definedName>
    <definedName name="solver_rhs38" localSheetId="55" hidden="1">NonLinLarge!$J$44</definedName>
    <definedName name="solver_rhs39" localSheetId="55" hidden="1">NonLinLarge!$J$45</definedName>
    <definedName name="solver_rhs4" localSheetId="68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7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9" hidden="1">NamedRanges!$K$12</definedName>
    <definedName name="solver_rhs4" localSheetId="61" hidden="1">NonLin!$L$44</definedName>
    <definedName name="solver_rhs4" localSheetId="55" hidden="1">NonLinLarge!$J$74</definedName>
    <definedName name="solver_rhs4" localSheetId="57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0" hidden="1">integer</definedName>
    <definedName name="solver_rhs4" localSheetId="33" hidden="1">integer</definedName>
    <definedName name="solver_rhs4" localSheetId="48" hidden="1">SeekObj!$I$9</definedName>
    <definedName name="solver_rhs4" localSheetId="52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1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5" hidden="1">NonLinLarge!$J$46</definedName>
    <definedName name="solver_rhs41" localSheetId="55" hidden="1">NonLinLarge!$J$47</definedName>
    <definedName name="solver_rhs42" localSheetId="55" hidden="1">NonLinLarge!$J$48</definedName>
    <definedName name="solver_rhs43" localSheetId="55" hidden="1">NonLinLarge!$J$49</definedName>
    <definedName name="solver_rhs44" localSheetId="55" hidden="1">NonLinLarge!$J$50</definedName>
    <definedName name="solver_rhs45" localSheetId="55" hidden="1">NonLinLarge!$J$51</definedName>
    <definedName name="solver_rhs46" localSheetId="55" hidden="1">NonLinLarge!$J$52</definedName>
    <definedName name="solver_rhs47" localSheetId="55" hidden="1">NonLinLarge!$J$53</definedName>
    <definedName name="solver_rhs48" localSheetId="55" hidden="1">NonLinLarge!$J$54</definedName>
    <definedName name="solver_rhs49" localSheetId="55" hidden="1">NonLinLarge!$J$55</definedName>
    <definedName name="solver_rhs5" localSheetId="68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7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1" hidden="1">integer</definedName>
    <definedName name="solver_rhs5" localSheetId="55" hidden="1">NonLinLarge!$J$75:$J$138</definedName>
    <definedName name="solver_rhs5" localSheetId="57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0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5" hidden="1">NonLinLarge!$J$56</definedName>
    <definedName name="solver_rhs51" localSheetId="55" hidden="1">NonLinLarge!$J$57</definedName>
    <definedName name="solver_rhs52" localSheetId="55" hidden="1">NonLinLarge!$J$58</definedName>
    <definedName name="solver_rhs53" localSheetId="55" hidden="1">NonLinLarge!$J$59</definedName>
    <definedName name="solver_rhs54" localSheetId="55" hidden="1">NonLinLarge!$J$60</definedName>
    <definedName name="solver_rhs55" localSheetId="55" hidden="1">NonLinLarge!$J$61</definedName>
    <definedName name="solver_rhs56" localSheetId="55" hidden="1">NonLinLarge!$J$62</definedName>
    <definedName name="solver_rhs57" localSheetId="55" hidden="1">NonLinLarge!$J$63</definedName>
    <definedName name="solver_rhs58" localSheetId="55" hidden="1">NonLinLarge!$J$64</definedName>
    <definedName name="solver_rhs59" localSheetId="55" hidden="1">NonLinLarge!$J$65</definedName>
    <definedName name="solver_rhs6" localSheetId="68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7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5" hidden="1">NonLinLarge!$J$139</definedName>
    <definedName name="solver_rhs6" localSheetId="57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0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5" hidden="1">NonLinLarge!$J$66</definedName>
    <definedName name="solver_rhs61" localSheetId="55" hidden="1">NonLinLarge!$J$67</definedName>
    <definedName name="solver_rhs62" localSheetId="55" hidden="1">NonLinLarge!$J$68</definedName>
    <definedName name="solver_rhs63" localSheetId="55" hidden="1">NonLinLarge!$J$69</definedName>
    <definedName name="solver_rhs64" localSheetId="55" hidden="1">NonLinLarge!$J$70</definedName>
    <definedName name="solver_rhs65" localSheetId="55" hidden="1">NonLinLarge!$J$71</definedName>
    <definedName name="solver_rhs66" localSheetId="55" hidden="1">NonLinLarge!$J$72</definedName>
    <definedName name="solver_rhs67" localSheetId="55" hidden="1">NonLinLarge!$J$73</definedName>
    <definedName name="solver_rhs68" localSheetId="55" hidden="1">NonLinLarge!$J$74</definedName>
    <definedName name="solver_rhs69" localSheetId="55" hidden="1">NonLinLarge!$J$75</definedName>
    <definedName name="solver_rhs7" localSheetId="68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7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5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0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5" hidden="1">NonLinLarge!$J$76</definedName>
    <definedName name="solver_rhs71" localSheetId="55" hidden="1">NonLinLarge!$J$77</definedName>
    <definedName name="solver_rhs72" localSheetId="55" hidden="1">NonLinLarge!$J$78</definedName>
    <definedName name="solver_rhs73" localSheetId="55" hidden="1">NonLinLarge!$J$79</definedName>
    <definedName name="solver_rhs74" localSheetId="55" hidden="1">NonLinLarge!$J$80</definedName>
    <definedName name="solver_rhs75" localSheetId="55" hidden="1">NonLinLarge!$J$81</definedName>
    <definedName name="solver_rhs76" localSheetId="55" hidden="1">NonLinLarge!$J$82</definedName>
    <definedName name="solver_rhs77" localSheetId="55" hidden="1">NonLinLarge!$J$83</definedName>
    <definedName name="solver_rhs78" localSheetId="55" hidden="1">NonLinLarge!$J$84</definedName>
    <definedName name="solver_rhs79" localSheetId="55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7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5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0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5" hidden="1">NonLinLarge!$J$86</definedName>
    <definedName name="solver_rhs81" localSheetId="55" hidden="1">NonLinLarge!$J$87</definedName>
    <definedName name="solver_rhs82" localSheetId="55" hidden="1">NonLinLarge!$J$88</definedName>
    <definedName name="solver_rhs83" localSheetId="55" hidden="1">NonLinLarge!$J$89</definedName>
    <definedName name="solver_rhs84" localSheetId="55" hidden="1">NonLinLarge!$J$90</definedName>
    <definedName name="solver_rhs85" localSheetId="55" hidden="1">NonLinLarge!$J$91</definedName>
    <definedName name="solver_rhs86" localSheetId="55" hidden="1">NonLinLarge!$J$92</definedName>
    <definedName name="solver_rhs87" localSheetId="55" hidden="1">NonLinLarge!$J$93</definedName>
    <definedName name="solver_rhs88" localSheetId="55" hidden="1">NonLinLarge!$J$94</definedName>
    <definedName name="solver_rhs89" localSheetId="55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7" hidden="1">Highlighting!#REF!</definedName>
    <definedName name="solver_rhs9" localSheetId="55" hidden="1">NonLinLarge!$J$15</definedName>
    <definedName name="solver_rhs9" localSheetId="3" hidden="1">OverlappingVars!$J$11</definedName>
    <definedName name="solver_rhs90" localSheetId="55" hidden="1">NonLinLarge!$J$96</definedName>
    <definedName name="solver_rhs91" localSheetId="55" hidden="1">NonLinLarge!$J$97</definedName>
    <definedName name="solver_rhs92" localSheetId="55" hidden="1">NonLinLarge!$J$98</definedName>
    <definedName name="solver_rhs93" localSheetId="55" hidden="1">NonLinLarge!$J$99</definedName>
    <definedName name="solver_rhs94" localSheetId="55" hidden="1">NonLinLarge!$J$100</definedName>
    <definedName name="solver_rhs95" localSheetId="55" hidden="1">NonLinLarge!$J$101</definedName>
    <definedName name="solver_rhs96" localSheetId="55" hidden="1">NonLinLarge!$J$102</definedName>
    <definedName name="solver_rhs97" localSheetId="55" hidden="1">NonLinLarge!$J$103</definedName>
    <definedName name="solver_rhs98" localSheetId="55" hidden="1">NonLinLarge!$J$104</definedName>
    <definedName name="solver_rhs99" localSheetId="55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9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5" hidden="1">2</definedName>
    <definedName name="solver_rlx" localSheetId="66" hidden="1">2</definedName>
    <definedName name="solver_rlx" localSheetId="60" hidden="1">2</definedName>
    <definedName name="solver_rlx" localSheetId="59" hidden="1">2</definedName>
    <definedName name="solver_rlx" localSheetId="55" hidden="1">2</definedName>
    <definedName name="solver_rlx" localSheetId="58" hidden="1">2</definedName>
    <definedName name="solver_rlx" localSheetId="56" hidden="1">2</definedName>
    <definedName name="solver_rlx" localSheetId="57" hidden="1">2</definedName>
    <definedName name="solver_rlx" localSheetId="54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50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2" hidden="1">2</definedName>
    <definedName name="solver_rlx" localSheetId="53" hidden="1">2</definedName>
    <definedName name="solver_rlx" localSheetId="2" hidden="1">2</definedName>
    <definedName name="solver_rlx" localSheetId="30" hidden="1">2</definedName>
    <definedName name="solver_rlx" localSheetId="51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4" hidden="1">0</definedName>
    <definedName name="solver_rsd" localSheetId="65" hidden="1">0</definedName>
    <definedName name="solver_rsd" localSheetId="57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8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7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9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0" hidden="1">2</definedName>
    <definedName name="solver_scl" localSheetId="59" hidden="1">2</definedName>
    <definedName name="solver_scl" localSheetId="55" hidden="1">2</definedName>
    <definedName name="solver_scl" localSheetId="58" hidden="1">2</definedName>
    <definedName name="solver_scl" localSheetId="56" hidden="1">2</definedName>
    <definedName name="solver_scl" localSheetId="57" hidden="1">1</definedName>
    <definedName name="solver_scl" localSheetId="54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0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2" hidden="1">2</definedName>
    <definedName name="solver_scl" localSheetId="53" hidden="1">2</definedName>
    <definedName name="solver_scl" localSheetId="2" hidden="1">2</definedName>
    <definedName name="solver_scl" localSheetId="30" hidden="1">2</definedName>
    <definedName name="solver_scl" localSheetId="51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7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9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5" hidden="1">2</definedName>
    <definedName name="solver_sho" localSheetId="66" hidden="1">2</definedName>
    <definedName name="solver_sho" localSheetId="60" hidden="1">2</definedName>
    <definedName name="solver_sho" localSheetId="59" hidden="1">2</definedName>
    <definedName name="solver_sho" localSheetId="55" hidden="1">2</definedName>
    <definedName name="solver_sho" localSheetId="58" hidden="1">2</definedName>
    <definedName name="solver_sho" localSheetId="56" hidden="1">2</definedName>
    <definedName name="solver_sho" localSheetId="57" hidden="1">2</definedName>
    <definedName name="solver_sho" localSheetId="54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50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2" hidden="1">2</definedName>
    <definedName name="solver_sho" localSheetId="53" hidden="1">2</definedName>
    <definedName name="solver_sho" localSheetId="2" hidden="1">2</definedName>
    <definedName name="solver_sho" localSheetId="30" hidden="1">2</definedName>
    <definedName name="solver_sho" localSheetId="51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4" hidden="1">100</definedName>
    <definedName name="solver_ssz" localSheetId="65" hidden="1">100</definedName>
    <definedName name="solver_ssz" localSheetId="57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7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9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5" hidden="1">999999999</definedName>
    <definedName name="solver_tim" localSheetId="66" hidden="1">999999999</definedName>
    <definedName name="solver_tim" localSheetId="60" hidden="1">999999999</definedName>
    <definedName name="solver_tim" localSheetId="59" hidden="1">999999999</definedName>
    <definedName name="solver_tim" localSheetId="55" hidden="1">999999999</definedName>
    <definedName name="solver_tim" localSheetId="58" hidden="1">999999999</definedName>
    <definedName name="solver_tim" localSheetId="56" hidden="1">999999999</definedName>
    <definedName name="solver_tim" localSheetId="57" hidden="1">999999999</definedName>
    <definedName name="solver_tim" localSheetId="54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50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2" hidden="1">999999999</definedName>
    <definedName name="solver_tim" localSheetId="53" hidden="1">999999999</definedName>
    <definedName name="solver_tim" localSheetId="2" hidden="1">999999999</definedName>
    <definedName name="solver_tim" localSheetId="30" hidden="1">999999999</definedName>
    <definedName name="solver_tim" localSheetId="51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7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9" hidden="1">0.05</definedName>
    <definedName name="solver_tol" localSheetId="61" hidden="1">0.01</definedName>
    <definedName name="solver_tol" localSheetId="62" hidden="1">0.05</definedName>
    <definedName name="solver_tol" localSheetId="63" hidden="1">0.05</definedName>
    <definedName name="solver_tol" localSheetId="65" hidden="1">0.05</definedName>
    <definedName name="solver_tol" localSheetId="66" hidden="1">0.05</definedName>
    <definedName name="solver_tol" localSheetId="60" hidden="1">0.05</definedName>
    <definedName name="solver_tol" localSheetId="59" hidden="1">0.05</definedName>
    <definedName name="solver_tol" localSheetId="55" hidden="1">0.05</definedName>
    <definedName name="solver_tol" localSheetId="58" hidden="1">0.05</definedName>
    <definedName name="solver_tol" localSheetId="56" hidden="1">0.05</definedName>
    <definedName name="solver_tol" localSheetId="57" hidden="1">0.05</definedName>
    <definedName name="solver_tol" localSheetId="54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50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2" hidden="1">0.05</definedName>
    <definedName name="solver_tol" localSheetId="53" hidden="1">0.05</definedName>
    <definedName name="solver_tol" localSheetId="2" hidden="1">0.05</definedName>
    <definedName name="solver_tol" localSheetId="30" hidden="1">0.05</definedName>
    <definedName name="solver_tol" localSheetId="51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8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7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9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0" hidden="1">2</definedName>
    <definedName name="solver_typ" localSheetId="59" hidden="1">2</definedName>
    <definedName name="solver_typ" localSheetId="55" hidden="1">2</definedName>
    <definedName name="solver_typ" localSheetId="58" hidden="1">1</definedName>
    <definedName name="solver_typ" localSheetId="56" hidden="1">2</definedName>
    <definedName name="solver_typ" localSheetId="57" hidden="1">1</definedName>
    <definedName name="solver_typ" localSheetId="54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50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2" hidden="1">1</definedName>
    <definedName name="solver_typ" localSheetId="53" hidden="1">2</definedName>
    <definedName name="solver_typ" localSheetId="2" hidden="1">2</definedName>
    <definedName name="solver_typ" localSheetId="30" hidden="1">2</definedName>
    <definedName name="solver_typ" localSheetId="51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7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9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0" hidden="1">0</definedName>
    <definedName name="solver_val" localSheetId="59" hidden="1">0</definedName>
    <definedName name="solver_val" localSheetId="55" hidden="1">0</definedName>
    <definedName name="solver_val" localSheetId="58" hidden="1">0</definedName>
    <definedName name="solver_val" localSheetId="56" hidden="1">0</definedName>
    <definedName name="solver_val" localSheetId="57" hidden="1">0</definedName>
    <definedName name="solver_val" localSheetId="54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50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2" hidden="1">0</definedName>
    <definedName name="solver_val" localSheetId="53" hidden="1">0</definedName>
    <definedName name="solver_val" localSheetId="2" hidden="1">0</definedName>
    <definedName name="solver_val" localSheetId="30" hidden="1">0</definedName>
    <definedName name="solver_val" localSheetId="51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4" hidden="1">3</definedName>
    <definedName name="solver_ver" localSheetId="65" hidden="1">3</definedName>
    <definedName name="solver_ver" localSheetId="59" hidden="1">3</definedName>
    <definedName name="solver_ver" localSheetId="57" hidden="1">3</definedName>
    <definedName name="solver_ver" localSheetId="47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4">#REF!</definedName>
    <definedName name="wa" localSheetId="65">#REF!</definedName>
    <definedName name="wa" localSheetId="66">#REF!</definedName>
    <definedName name="wa">NonLin3!$P$3</definedName>
    <definedName name="wb" localSheetId="64">#REF!</definedName>
    <definedName name="wb" localSheetId="65">#REF!</definedName>
    <definedName name="wb" localSheetId="66">#REF!</definedName>
    <definedName name="wb">NonLin3!$P$4</definedName>
    <definedName name="wc" localSheetId="64">#REF!</definedName>
    <definedName name="wc" localSheetId="65">#REF!</definedName>
    <definedName name="wc" localSheetId="66">#REF!</definedName>
    <definedName name="wc">NonLin3!$P$5</definedName>
    <definedName name="wd" localSheetId="64">#REF!</definedName>
    <definedName name="wd" localSheetId="65">#REF!</definedName>
    <definedName name="wd" localSheetId="66">#REF!</definedName>
    <definedName name="wd">NonLin3!$P$6</definedName>
    <definedName name="x" localSheetId="21">#REF!</definedName>
    <definedName name="x" localSheetId="63">NonLin3!$C$34:$AQ$34</definedName>
    <definedName name="x" localSheetId="66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4">#REF!</definedName>
    <definedName name="xa" localSheetId="65">#REF!</definedName>
    <definedName name="xa" localSheetId="66">#REF!</definedName>
    <definedName name="xa">NonLin3!$N$3</definedName>
    <definedName name="xb" localSheetId="64">#REF!</definedName>
    <definedName name="xb" localSheetId="65">#REF!</definedName>
    <definedName name="xb" localSheetId="66">#REF!</definedName>
    <definedName name="xb">NonLin3!$N$4</definedName>
    <definedName name="xc" localSheetId="64">#REF!</definedName>
    <definedName name="xc" localSheetId="65">#REF!</definedName>
    <definedName name="xc" localSheetId="66">#REF!</definedName>
    <definedName name="xc">NonLin3!$N$5</definedName>
    <definedName name="xd" localSheetId="64">#REF!</definedName>
    <definedName name="xd" localSheetId="65">#REF!</definedName>
    <definedName name="xd" localSheetId="66">#REF!</definedName>
    <definedName name="xd">NonLin3!$N$6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21">#REF!</definedName>
    <definedName name="y" localSheetId="63">NonLin3!$B$35:$B$75</definedName>
    <definedName name="y" localSheetId="66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4">#REF!</definedName>
    <definedName name="ya" localSheetId="65">#REF!</definedName>
    <definedName name="ya" localSheetId="66">#REF!</definedName>
    <definedName name="ya">NonLin3!$O$3</definedName>
    <definedName name="yb" localSheetId="64">#REF!</definedName>
    <definedName name="yb" localSheetId="65">#REF!</definedName>
    <definedName name="yb" localSheetId="66">#REF!</definedName>
    <definedName name="yb">NonLin3!$O$4</definedName>
    <definedName name="yc" localSheetId="64">#REF!</definedName>
    <definedName name="yc" localSheetId="65">#REF!</definedName>
    <definedName name="yc" localSheetId="66">#REF!</definedName>
    <definedName name="yc">NonLin3!$O$5</definedName>
    <definedName name="yd" localSheetId="64">#REF!</definedName>
    <definedName name="yd" localSheetId="65">#REF!</definedName>
    <definedName name="yd" localSheetId="66">#REF!</definedName>
    <definedName name="yd">NonLin3!$O$6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7" i="60" l="1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H6" i="111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15" i="2"/>
  <c r="A6" i="111"/>
  <c r="H11" i="111"/>
  <c r="H10" i="111"/>
  <c r="A10" i="111"/>
  <c r="H9" i="111"/>
  <c r="A9" i="111"/>
  <c r="H8" i="111"/>
  <c r="S13" i="75"/>
  <c r="F4" i="68"/>
  <c r="I39" i="3"/>
  <c r="C6" i="95"/>
  <c r="I6" i="71"/>
  <c r="G6" i="70"/>
  <c r="F6" i="69"/>
  <c r="H5" i="19"/>
  <c r="H5" i="38"/>
  <c r="H5" i="20"/>
  <c r="D20" i="77"/>
  <c r="G6" i="65"/>
  <c r="H6" i="4"/>
  <c r="I6" i="66"/>
  <c r="G4" i="92"/>
  <c r="H7" i="57"/>
  <c r="H7" i="11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J6" i="41"/>
  <c r="J6" i="14"/>
  <c r="H7" i="12"/>
  <c r="H6" i="94"/>
  <c r="I6" i="6"/>
  <c r="H7" i="35"/>
  <c r="H7" i="34"/>
  <c r="H7" i="33"/>
  <c r="H7" i="31"/>
  <c r="H6" i="27"/>
  <c r="H6" i="26"/>
  <c r="H6" i="25"/>
  <c r="H6" i="32"/>
  <c r="H6" i="24"/>
  <c r="H6" i="22"/>
  <c r="H6" i="1"/>
  <c r="H6" i="18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  <c r="N9" i="57"/>
  <c r="M9" i="57"/>
</calcChain>
</file>

<file path=xl/sharedStrings.xml><?xml version="1.0" encoding="utf-8"?>
<sst xmlns="http://schemas.openxmlformats.org/spreadsheetml/2006/main" count="1797" uniqueCount="350">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</sst>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7389168"/>
        <c:axId val="387386424"/>
        <c:axId val="441286472"/>
      </c:surface3DChart>
      <c:catAx>
        <c:axId val="38738916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642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738642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9168"/>
        <c:crosses val="min"/>
        <c:crossBetween val="between"/>
        <c:majorUnit val="0.1"/>
      </c:valAx>
      <c:serAx>
        <c:axId val="441286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642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89560"/>
        <c:axId val="387390736"/>
      </c:scatterChart>
      <c:valAx>
        <c:axId val="38738956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90736"/>
        <c:crosses val="autoZero"/>
        <c:crossBetween val="midCat"/>
        <c:majorUnit val="0.5"/>
      </c:valAx>
      <c:valAx>
        <c:axId val="38739073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956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88776"/>
        <c:axId val="387394656"/>
      </c:scatterChart>
      <c:valAx>
        <c:axId val="38738877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94656"/>
        <c:crosses val="autoZero"/>
        <c:crossBetween val="midCat"/>
        <c:majorUnit val="1"/>
      </c:valAx>
      <c:valAx>
        <c:axId val="3873946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87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topLeftCell="A34" zoomScale="85" zoomScaleNormal="85" zoomScalePageLayoutView="85" workbookViewId="0">
      <selection activeCell="H45" sqref="H45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8" t="s">
        <v>318</v>
      </c>
      <c r="D1" s="168"/>
      <c r="E1" s="168"/>
      <c r="F1" s="168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</row>
    <row r="4" spans="1:9" x14ac:dyDescent="0.25">
      <c r="A4" s="155" t="str">
        <f>HYPERLINK("[OpenSolver Tester.xlsm]'OverlappingVars'!A1", "OverlappingVars")</f>
        <v>OverlappingVars</v>
      </c>
    </row>
    <row r="5" spans="1:9" x14ac:dyDescent="0.25">
      <c r="A5" s="155" t="str">
        <f>HYPERLINK("[OpenSolver Tester.xlsm]'BlankRHS'!A1", "BlankRHS")</f>
        <v>BlankRHS</v>
      </c>
    </row>
    <row r="6" spans="1:9" x14ac:dyDescent="0.25">
      <c r="A6" s="155" t="str">
        <f>HYPERLINK("[OpenSolver Tester.xlsm]'BlankLHS'!A1", "BlankLHS")</f>
        <v>BlankLHS</v>
      </c>
    </row>
    <row r="7" spans="1:9" x14ac:dyDescent="0.25">
      <c r="A7" s="155" t="str">
        <f>HYPERLINK("[OpenSolver Tester.xlsm]'TextRHS'!A1", "TextRHS")</f>
        <v>TextRHS</v>
      </c>
    </row>
    <row r="8" spans="1:9" x14ac:dyDescent="0.25">
      <c r="A8" s="155" t="str">
        <f>HYPERLINK("[OpenSolver Tester.xlsm]'ErrorRHS'!A1", "ErrorRHS")</f>
        <v>ErrorRHS</v>
      </c>
    </row>
    <row r="9" spans="1:9" x14ac:dyDescent="0.25">
      <c r="A9" s="155" t="str">
        <f>HYPERLINK("[OpenSolver Tester.xlsm]'ErrorLHS'!A1", "ErrorLHS")</f>
        <v>ErrorLHS</v>
      </c>
    </row>
    <row r="10" spans="1:9" x14ac:dyDescent="0.25">
      <c r="A10" s="155" t="str">
        <f>HYPERLINK("[OpenSolver Tester.xlsm]'ErrorObj'!A1", "ErrorObj")</f>
        <v>ErrorObj</v>
      </c>
    </row>
    <row r="11" spans="1:9" x14ac:dyDescent="0.25">
      <c r="A11" s="155" t="str">
        <f>HYPERLINK("[OpenSolver Tester.xlsm]'TextObj'!A1", "TextObj")</f>
        <v>TextObj</v>
      </c>
    </row>
    <row r="12" spans="1:9" x14ac:dyDescent="0.25">
      <c r="A12" s="155" t="str">
        <f>HYPERLINK("[OpenSolver Tester.xlsm]'MergedVarsSubset'!A1", "MergedVarsSubset")</f>
        <v>MergedVarsSubset</v>
      </c>
    </row>
    <row r="13" spans="1:9" x14ac:dyDescent="0.25">
      <c r="A13" s="155" t="str">
        <f>HYPERLINK("[OpenSolver Tester.xlsm]'MergedVarsOK'!A1", "MergedVarsOK")</f>
        <v>MergedVarsOK</v>
      </c>
    </row>
    <row r="14" spans="1:9" x14ac:dyDescent="0.25">
      <c r="A14" s="155" t="str">
        <f>HYPERLINK("[OpenSolver Tester.xlsm]'MergedVarsBad'!A1", "MergedVarsBad")</f>
        <v>MergedVarsBad</v>
      </c>
    </row>
    <row r="15" spans="1:9" x14ac:dyDescent="0.25">
      <c r="A15" s="155" t="str">
        <f>HYPERLINK("[OpenSolver Tester.xlsm]'MergedRHS_OK'!A1", "MergedRHS_OK")</f>
        <v>MergedRHS_OK</v>
      </c>
    </row>
    <row r="16" spans="1:9" x14ac:dyDescent="0.25">
      <c r="A16" s="155" t="str">
        <f>HYPERLINK("[OpenSolver Tester.xlsm]'MergedLHS_OK'!A1", "MergedLHS_OK")</f>
        <v>MergedLHS_OK</v>
      </c>
    </row>
    <row r="17" spans="1:9" x14ac:dyDescent="0.25">
      <c r="A17" s="155" t="str">
        <f>HYPERLINK("[OpenSolver Tester.xlsm]'MergedLHSMultiple_OK'!A1", "MergedLHSMultiple_OK")</f>
        <v>MergedLHSMultiple_OK</v>
      </c>
    </row>
    <row r="18" spans="1:9" x14ac:dyDescent="0.25">
      <c r="A18" s="155" t="str">
        <f>HYPERLINK("[OpenSolver Tester.xlsm]'BinIntOverlap'!A1", "BinIntOverlap")</f>
        <v>BinIntOverlap</v>
      </c>
    </row>
    <row r="19" spans="1:9" x14ac:dyDescent="0.25">
      <c r="A19" s="155" t="str">
        <f>HYPERLINK("[OpenSolver Tester.xlsm]'ConFormula'!A1", "ConFormula")</f>
        <v>ConFormula</v>
      </c>
    </row>
    <row r="20" spans="1:9" x14ac:dyDescent="0.25">
      <c r="A20" s="155" t="str">
        <f>HYPERLINK("[OpenSolver Tester.xlsm]'ConFormulaInf'!A1", "ConFormulaInf")</f>
        <v>ConFormulaInf</v>
      </c>
    </row>
    <row r="21" spans="1:9" x14ac:dyDescent="0.25">
      <c r="A21" s="155" t="str">
        <f>HYPERLINK("[OpenSolver Tester.xlsm]'BadName!'!A1", "BadName!")</f>
        <v>BadName!</v>
      </c>
    </row>
    <row r="22" spans="1:9" x14ac:dyDescent="0.25">
      <c r="A22" s="155" t="str">
        <f>HYPERLINK("[OpenSolver Tester.xlsm]'EscapeSheetName(1)+2-1'!A1", "EscapeSheetName(1)+2-1")</f>
        <v>EscapeSheetName(1)+2-1</v>
      </c>
    </row>
    <row r="23" spans="1:9" x14ac:dyDescent="0.25">
      <c r="A23" s="155" t="str">
        <f>HYPERLINK("[OpenSolver Tester.xlsm]'DeletedConRef'!A1", "DeletedConRef")</f>
        <v>DeletedConRef</v>
      </c>
    </row>
    <row r="24" spans="1:9" x14ac:dyDescent="0.25">
      <c r="A24" s="155" t="str">
        <f>HYPERLINK("[OpenSolver Tester.xlsm]'DeletedObjRef'!A1", "DeletedObjRef")</f>
        <v>DeletedObjRef</v>
      </c>
    </row>
    <row r="25" spans="1:9" x14ac:dyDescent="0.25">
      <c r="A25" s="155" t="str">
        <f>HYPERLINK("[OpenSolver Tester.xlsm]'InfConstConstraint'!A1", "InfConstConstraint")</f>
        <v>InfConstConstraint</v>
      </c>
    </row>
    <row r="26" spans="1:9" x14ac:dyDescent="0.25">
      <c r="A26" s="155" t="str">
        <f>HYPERLINK("[OpenSolver Tester.xlsm]'FeasConstConstraint'!A1", "FeasConstConstraint")</f>
        <v>FeasConstConstraint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</row>
    <row r="29" spans="1:9" x14ac:dyDescent="0.25">
      <c r="A29" s="155" t="str">
        <f>HYPERLINK("[OpenSolver Tester.xlsm]'IndirectLBs'!A1", "IndirectLBs")</f>
        <v>IndirectLBs</v>
      </c>
    </row>
    <row r="30" spans="1:9" x14ac:dyDescent="0.25">
      <c r="A30" s="155" t="str">
        <f>HYPERLINK("[OpenSolver Tester.xlsm]'DirectLBs'!A1", "DirectLBs")</f>
        <v>DirectLBs</v>
      </c>
    </row>
    <row r="31" spans="1:9" x14ac:dyDescent="0.25">
      <c r="A31" s="155" t="str">
        <f>HYPERLINK("[OpenSolver Tester.xlsm]'SingleRangeLB'!A1", "SingleRangeLB")</f>
        <v>SingleRangeLB</v>
      </c>
    </row>
    <row r="32" spans="1:9" x14ac:dyDescent="0.25">
      <c r="A32" s="155" t="str">
        <f>HYPERLINK("[OpenSolver Tester.xlsm]'BinLB'!A1", "BinLB")</f>
        <v>BinLB</v>
      </c>
    </row>
    <row r="33" spans="1:7" x14ac:dyDescent="0.25">
      <c r="A33" s="155" t="str">
        <f>HYPERLINK("[OpenSolver Tester.xlsm]'BinIntLB'!A1", "BinIntLB")</f>
        <v>BinIntLB</v>
      </c>
    </row>
    <row r="34" spans="1:7" x14ac:dyDescent="0.25">
      <c r="A34" s="155" t="str">
        <f>HYPERLINK("[OpenSolver Tester.xlsm]'Relaxation'!A1", "Relaxation")</f>
        <v>Relaxation</v>
      </c>
    </row>
    <row r="35" spans="1:7" x14ac:dyDescent="0.25">
      <c r="A35" s="155" t="str">
        <f>HYPERLINK("[OpenSolver Tester.xlsm]'LargeRangeLB'!A1", "LargeRangeLB")</f>
        <v>LargeRangeLB</v>
      </c>
    </row>
    <row r="36" spans="1:7" x14ac:dyDescent="0.25">
      <c r="A36" s="155" t="str">
        <f>HYPERLINK("[OpenSolver Tester.xlsm]'OverlapRangeLB'!A1", "OverlapRangeLB")</f>
        <v>OverlapRangeLB</v>
      </c>
      <c r="G36" s="165"/>
    </row>
    <row r="37" spans="1:7" x14ac:dyDescent="0.25">
      <c r="A37" s="155" t="str">
        <f>HYPERLINK("[OpenSolver Tester.xlsm]'OverlapRangeLBwithFormula'!A1", "OverlapRangeLBwithFormula")</f>
        <v>OverlapRangeLBwithFormula</v>
      </c>
      <c r="G37" s="165"/>
    </row>
    <row r="38" spans="1:7" x14ac:dyDescent="0.25">
      <c r="A38" s="155" t="str">
        <f>HYPERLINK("[OpenSolver Tester.xlsm]'ConstFormulaRangeLB'!A1", "ConstFormulaRangeLB")</f>
        <v>ConstFormulaRangeLB</v>
      </c>
      <c r="C38" s="162"/>
    </row>
    <row r="39" spans="1:7" x14ac:dyDescent="0.25">
      <c r="A39" s="155" t="str">
        <f>HYPERLINK("[OpenSolver Tester.xlsm]'VariableFormulaRangeLB'!A1", "VariableFormulaRangeLB")</f>
        <v>VariableFormulaRangeLB</v>
      </c>
    </row>
    <row r="40" spans="1:7" x14ac:dyDescent="0.25">
      <c r="A40" s="155" t="str">
        <f>HYPERLINK("[OpenSolver Tester.xlsm]'ConstraintLB'!A1", "ConstraintLB")</f>
        <v>ConstraintLB</v>
      </c>
    </row>
    <row r="41" spans="1:7" x14ac:dyDescent="0.25">
      <c r="A41" s="155" t="str">
        <f>HYPERLINK("[OpenSolver Tester.xlsm]'ConstantLB'!A1", "ConstantLB")</f>
        <v>ConstantLB</v>
      </c>
    </row>
    <row r="42" spans="1:7" x14ac:dyDescent="0.25">
      <c r="A42" s="155" t="str">
        <f>HYPERLINK("[OpenSolver Tester.xlsm]'FormulaLB'!A1", "FormulaLB")</f>
        <v>FormulaLB</v>
      </c>
    </row>
    <row r="43" spans="1:7" x14ac:dyDescent="0.25">
      <c r="A43" s="155" t="str">
        <f>HYPERLINK("[OpenSolver Tester.xlsm]'VarConstraintLB'!A1", "VarConstraintLB")</f>
        <v>VarConstraintLB</v>
      </c>
    </row>
    <row r="44" spans="1:7" x14ac:dyDescent="0.25">
      <c r="A44" s="155" t="str">
        <f>HYPERLINK("[OpenSolver Tester.xlsm]'FractionalCoeffs'!A1", "FractionalCoeffs")</f>
        <v>FractionalCoeffs</v>
      </c>
    </row>
    <row r="45" spans="1:7" x14ac:dyDescent="0.25">
      <c r="A45" s="155" t="str">
        <f>HYPERLINK("[OpenSolver Tester.xlsm]'ComplexLayout'!A1", "ComplexLayout")</f>
        <v>ComplexLayout</v>
      </c>
    </row>
    <row r="46" spans="1:7" x14ac:dyDescent="0.25">
      <c r="A46" s="155" t="str">
        <f>HYPERLINK("[OpenSolver Tester.xlsm]'InfModel'!A1", "InfModel")</f>
        <v>InfModel</v>
      </c>
    </row>
    <row r="47" spans="1:7" x14ac:dyDescent="0.25">
      <c r="A47" s="155" t="str">
        <f>HYPERLINK("[OpenSolver Tester.xlsm]'IterativeCalc'!A1", "IterativeCalc")</f>
        <v>IterativeCalc</v>
      </c>
    </row>
    <row r="48" spans="1:7" x14ac:dyDescent="0.25">
      <c r="A48" s="155" t="str">
        <f>HYPERLINK("[OpenSolver Tester.xlsm]'NoObj'!A1", "NoObj")</f>
        <v>NoObj</v>
      </c>
    </row>
    <row r="49" spans="1:9" x14ac:dyDescent="0.25">
      <c r="A49" s="155" t="str">
        <f>HYPERLINK("[OpenSolver Tester.xlsm]'SeekObj'!A1", "SeekObj")</f>
        <v>SeekObj</v>
      </c>
    </row>
    <row r="50" spans="1:9" x14ac:dyDescent="0.25">
      <c r="A50" s="155" t="str">
        <f>HYPERLINK("[OpenSolver Tester.xlsm]'NamedRanges'!A1", "NamedRanges")</f>
        <v>NamedRanges</v>
      </c>
    </row>
    <row r="51" spans="1:9" x14ac:dyDescent="0.25">
      <c r="A51" s="155" t="str">
        <f>HYPERLINK("[OpenSolver Tester.xlsm]'QuickSolve'!A1", "QuickSolve")</f>
        <v>QuickSolve</v>
      </c>
    </row>
    <row r="52" spans="1:9" x14ac:dyDescent="0.25">
      <c r="A52" s="155" t="str">
        <f>HYPERLINK("[OpenSolver Tester.xlsm]'SolverParameters'!A1", "SolverParameters")</f>
        <v>SolverParameters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Tester.xlsm]'Sensitivity'!A1", "Sensitivity")</f>
        <v>Sensitivity</v>
      </c>
    </row>
    <row r="54" spans="1:9" x14ac:dyDescent="0.25">
      <c r="A54" s="155" t="str">
        <f>HYPERLINK("[OpenSolver Tester.xlsm]'SensitivityNames'!A1", "SensitivityNames")</f>
        <v>SensitivityNames</v>
      </c>
    </row>
    <row r="55" spans="1:9" x14ac:dyDescent="0.25">
      <c r="A55" s="155" t="str">
        <f>HYPERLINK("[OpenSolver Tester.xlsm]'NonLinSimple'!A1", "NonLinSimple")</f>
        <v>NonLinSimple</v>
      </c>
    </row>
    <row r="56" spans="1:9" x14ac:dyDescent="0.25">
      <c r="A56" s="155" t="str">
        <f>HYPERLINK("[OpenSolver Tester.xlsm]'NonLinLarge'!A1", "NonLinLarge")</f>
        <v>NonLinLarge</v>
      </c>
    </row>
    <row r="57" spans="1:9" x14ac:dyDescent="0.25">
      <c r="A57" s="155" t="str">
        <f>HYPERLINK("[OpenSolver Tester.xlsm]'NonLinObj'!A1", "NonLinObj")</f>
        <v>NonLinObj</v>
      </c>
    </row>
    <row r="58" spans="1:9" x14ac:dyDescent="0.25">
      <c r="A58" s="155" t="str">
        <f>HYPERLINK("[OpenSolver Tester.xlsm]'NonLinPruning'!A1", "NonLinPruning")</f>
        <v>NonLinPruning</v>
      </c>
    </row>
    <row r="59" spans="1:9" x14ac:dyDescent="0.25">
      <c r="A59" s="155" t="str">
        <f>HYPERLINK("[OpenSolver Tester.xlsm]'NonLinMinMax'!A1", "NonLinMinMax")</f>
        <v>NonLinMinMax</v>
      </c>
    </row>
    <row r="60" spans="1:9" x14ac:dyDescent="0.25">
      <c r="A60" s="155" t="str">
        <f>HYPERLINK("[OpenSolver Tester.xlsm]'NonLinConstraints'!A1", "NonLinConstraints")</f>
        <v>NonLinConstraints</v>
      </c>
    </row>
    <row r="61" spans="1:9" x14ac:dyDescent="0.25">
      <c r="A61" s="155" t="str">
        <f>HYPERLINK("[OpenSolver Tester.xlsm]'NonLinBinary'!A1", "NonLinBinary")</f>
        <v>NonLinBinary</v>
      </c>
    </row>
    <row r="62" spans="1:9" x14ac:dyDescent="0.25">
      <c r="A62" s="155" t="str">
        <f>HYPERLINK("[OpenSolver Tester.xlsm]'NonLin'!A1", "NonLin")</f>
        <v>NonLin</v>
      </c>
    </row>
    <row r="63" spans="1:9" x14ac:dyDescent="0.25">
      <c r="A63" s="155" t="str">
        <f>HYPERLINK("[OpenSolver Tester.xlsm]'NonLin2'!A1", "NonLin2")</f>
        <v>NonLin2</v>
      </c>
    </row>
    <row r="64" spans="1:9" x14ac:dyDescent="0.25">
      <c r="A64" s="155" t="str">
        <f>HYPERLINK("[OpenSolver Tester.xlsm]'NonLin3'!A1", "NonLin3")</f>
        <v>NonLin3</v>
      </c>
    </row>
    <row r="65" spans="1:8" x14ac:dyDescent="0.25">
      <c r="A65" s="155" t="str">
        <f>HYPERLINK("[OpenSolver Tester.xlsm]'NonLin4'!A1", "NonLin4")</f>
        <v>NonLin4</v>
      </c>
      <c r="H65" s="165"/>
    </row>
    <row r="66" spans="1:8" x14ac:dyDescent="0.25">
      <c r="A66" s="155" t="str">
        <f>HYPERLINK("[OpenSolver Tester.xlsm]'NonLin5'!A1", "NonLin5")</f>
        <v>NonLin5</v>
      </c>
      <c r="G66" s="163"/>
    </row>
    <row r="67" spans="1:8" x14ac:dyDescent="0.25">
      <c r="A67" s="155" t="str">
        <f>HYPERLINK("[OpenSolver Tester.xlsm]'NonLin6'!A1", "NonLin6")</f>
        <v>NonLin6</v>
      </c>
    </row>
    <row r="68" spans="1:8" x14ac:dyDescent="0.25">
      <c r="A68" s="155"/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5.2941175999999999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18" sqref="K18:K19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69">
        <v>5.2941175999999999</v>
      </c>
      <c r="F5" s="169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9">
        <v>2</v>
      </c>
      <c r="D5" s="169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5.2941175999999999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5.2941175999999999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f>SUMPRODUCT($D$5:$F$5,D10:F10)</f>
        <v>116.4705872</v>
      </c>
      <c r="H10" s="169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8.3970687999999996</v>
      </c>
      <c r="Q4" s="145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0.29565216999999999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721.43095268000002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14.54782604</v>
      </c>
      <c r="J9" s="1" t="s">
        <v>8</v>
      </c>
      <c r="K9" s="1">
        <f>61.2345678+2.3*N4-S5</f>
        <v>14.54782603999999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-9.4608694399999997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28.800000022500001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O5" sqref="O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5.2941175999999999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58.235293599999999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116.4705872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116.4705872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179.99999839999998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-381036676698.21881</v>
      </c>
      <c r="E4" s="167">
        <v>-1147995115686.6697</v>
      </c>
      <c r="F4" s="167">
        <v>-1445985337212.2788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-9990000049305.5625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-33790137086082.898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-66515325511651.742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113.0859375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7.5294118000000001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14.588235400000002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42.823529800000003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81.647059600000006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180.00000119999999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6.8545356999999996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712.53567850000002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5.2941175999999999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58.235293599999999</v>
      </c>
      <c r="I9" s="55" t="s">
        <v>8</v>
      </c>
      <c r="J9" s="55">
        <v>60</v>
      </c>
      <c r="M9" s="57">
        <f ca="1">N9+1</f>
        <v>499799</v>
      </c>
      <c r="N9" s="57">
        <f ca="1">M9+1</f>
        <v>499800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179.99999839999998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5.2941175999999999</v>
      </c>
      <c r="F5" s="58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58.235293599999999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116.4705872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116.4705872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179.99999839999998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345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9645964912301.0898</v>
      </c>
      <c r="E13" s="30">
        <v>-7198771929833.7598</v>
      </c>
      <c r="F13" s="30">
        <v>-1921403508775.22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-9989999999999.9805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-5783684210463.0937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150.09375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88384561403810.219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179.9140625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13250</v>
      </c>
      <c r="J20" t="s">
        <v>336</v>
      </c>
    </row>
    <row r="21" spans="3:10" x14ac:dyDescent="0.25">
      <c r="J21">
        <v>0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6.0511363999999999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0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585.86002770247933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72.613636799999995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842.17378982231401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-139.1761372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-139.1761372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-139.1761372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-139.1761372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-139.1761372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-139.1761372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-139.1761372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-139.1761372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-139.1761372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-139.1761372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-139.1761372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-139.1761372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-139.1761372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-139.1761372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-139.1761372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-139.1761372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-139.1761372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-139.1761372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-139.1761372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-139.1761372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-139.1761372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-139.1761372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-139.1761372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-139.1761372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-139.1761372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-139.1761372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-139.1761372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-139.1761372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-139.1761372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-139.1761372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-139.1761372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-139.1761372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-139.1761372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-139.1761372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-139.1761372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-139.1761372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-139.1761372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-139.1761372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-139.1761372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-139.1761372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-139.1761372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-139.1761372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-139.1761372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-139.1761372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-139.1761372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-139.1761372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-139.1761372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-139.1761372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-139.1761372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-139.1761372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-139.1761372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-139.1761372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-139.1761372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-139.1761372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-139.1761372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-139.1761372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-139.1761372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-139.1761372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-139.1761372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-139.1761372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-139.1761372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-139.1761372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-139.1761372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-139.1761372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-193.6363648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-3201.0511556000001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-139.1761372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-139.1761372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-139.1761372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-139.1761372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-139.1761372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-139.1761372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-139.1761372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-139.1761372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-139.1761372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-139.1761372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-139.1761372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-139.1761372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-139.1761372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-139.1761372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-139.1761372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-139.1761372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-139.1761372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-139.1761372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-139.1761372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-139.1761372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-139.1761372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-139.1761372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-139.1761372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-139.1761372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-139.1761372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-139.1761372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-139.1761372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-139.1761372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-139.1761372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-139.1761372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-139.1761372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-139.1761372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-139.1761372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-139.1761372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-139.1761372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-139.1761372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-139.1761372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-139.1761372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-139.1761372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-139.1761372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-139.1761372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-139.1761372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-139.1761372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-139.1761372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-139.1761372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-139.1761372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-139.1761372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-139.1761372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-139.1761372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-139.1761372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-139.1761372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-139.1761372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-139.1761372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-139.1761372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-139.1761372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-139.1761372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-139.1761372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-139.1761372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-139.1761372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-139.1761372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-139.1761372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-139.1761372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-139.1761372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-139.1761372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-193.6363648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-9.6341462999999994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44.646043429803676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92.816774929803671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1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57.25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0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10</v>
      </c>
      <c r="D4" s="80">
        <v>10</v>
      </c>
      <c r="F4">
        <f>100*(D4-C4^2)^2+(1-C4)^2</f>
        <v>810081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-10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-10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70.543421592812308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e">
        <f>AND(D17)</f>
        <v>#DIV/0!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0</v>
      </c>
      <c r="E11" s="108"/>
    </row>
    <row r="12" spans="1:5" x14ac:dyDescent="0.25">
      <c r="C12" s="106" t="s">
        <v>266</v>
      </c>
      <c r="D12" s="107">
        <f>D11/D4</f>
        <v>0</v>
      </c>
      <c r="E12" s="108"/>
    </row>
    <row r="13" spans="1:5" x14ac:dyDescent="0.25">
      <c r="C13" s="106" t="s">
        <v>267</v>
      </c>
      <c r="D13" s="109">
        <f>D8*D11/2</f>
        <v>0</v>
      </c>
      <c r="E13" s="108"/>
    </row>
    <row r="14" spans="1:5" x14ac:dyDescent="0.25">
      <c r="C14" s="106" t="s">
        <v>268</v>
      </c>
      <c r="D14" s="110" t="e">
        <f>D5/D12</f>
        <v>#DIV/0!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 t="e">
        <f>D13+D14</f>
        <v>#DIV/0!</v>
      </c>
      <c r="E16" s="108"/>
    </row>
    <row r="17" spans="3:4" x14ac:dyDescent="0.25">
      <c r="D17" s="83" t="e">
        <f>D16&lt;0.75</f>
        <v>#DIV/0!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1" t="s">
        <v>285</v>
      </c>
      <c r="D1" s="171"/>
      <c r="E1" s="171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71" t="s">
        <v>224</v>
      </c>
      <c r="D6" s="171"/>
      <c r="E6" s="171"/>
    </row>
    <row r="7" spans="1:9" x14ac:dyDescent="0.25">
      <c r="A7" s="62" t="s">
        <v>210</v>
      </c>
      <c r="C7" s="127" t="s">
        <v>290</v>
      </c>
      <c r="D7" s="12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2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1" t="s">
        <v>293</v>
      </c>
      <c r="D10" s="171"/>
      <c r="E10" s="171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71" t="s">
        <v>298</v>
      </c>
      <c r="D15" s="171"/>
      <c r="E15" s="171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157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165</vt:i4>
      </vt:variant>
    </vt:vector>
  </HeadingPairs>
  <TitlesOfParts>
    <vt:vector size="234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QuickSolve!OpenSolverModelParameters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2015-04-06T15:49:39Z</dcterms:modified>
</cp:coreProperties>
</file>