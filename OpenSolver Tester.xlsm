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8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9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0" hidden="1">NOMAD</definedName>
    <definedName name="OpenSolver_ChosenSolver" localSheetId="59" hidden="1">NOMAD</definedName>
    <definedName name="OpenSolver_ChosenSolver" localSheetId="55" hidden="1">NOMAD</definedName>
    <definedName name="OpenSolver_ChosenSolver" localSheetId="58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4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0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2" hidden="1">NOMAD</definedName>
    <definedName name="OpenSolver_ChosenSolver" localSheetId="53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1" hidden="1">NOMAD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38" hidden="1">NOMAD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GurobiParameters" localSheetId="51" hidden="1">SolverParameters!$F$5:$G$5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 hidden="1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27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20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27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2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4" hidden="1">0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3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27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27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27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27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27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27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27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7" i="60" l="1"/>
  <c r="A66" i="60"/>
  <c r="A65" i="60"/>
  <c r="S13" i="75"/>
  <c r="A64" i="60"/>
  <c r="F4" i="68"/>
  <c r="A63" i="60"/>
  <c r="I39" i="3"/>
  <c r="A62" i="60"/>
  <c r="C6" i="95"/>
  <c r="A61" i="60"/>
  <c r="I6" i="71"/>
  <c r="A60" i="60"/>
  <c r="G6" i="70"/>
  <c r="A59" i="60"/>
  <c r="F6" i="69"/>
  <c r="A58" i="60"/>
  <c r="H5" i="19"/>
  <c r="A57" i="60"/>
  <c r="H5" i="38"/>
  <c r="A56" i="60"/>
  <c r="H5" i="20"/>
  <c r="A55" i="60"/>
  <c r="D20" i="77"/>
  <c r="A54" i="60"/>
  <c r="G6" i="65"/>
  <c r="A53" i="60"/>
  <c r="H15" i="2"/>
  <c r="A52" i="60"/>
  <c r="H6" i="4"/>
  <c r="A51" i="60"/>
  <c r="I6" i="66"/>
  <c r="A50" i="60"/>
  <c r="G4" i="92"/>
  <c r="A49" i="60"/>
  <c r="A48" i="60"/>
  <c r="H7" i="57"/>
  <c r="A47" i="60"/>
  <c r="H7" i="11"/>
  <c r="A46" i="60"/>
  <c r="A45" i="60"/>
  <c r="G4" i="90"/>
  <c r="A44" i="60"/>
  <c r="H9" i="54"/>
  <c r="A43" i="60"/>
  <c r="H9" i="53"/>
  <c r="A42" i="60"/>
  <c r="H9" i="52"/>
  <c r="A41" i="60"/>
  <c r="H9" i="51"/>
  <c r="A40" i="60"/>
  <c r="H9" i="50"/>
  <c r="A39" i="60"/>
  <c r="H8" i="49"/>
  <c r="A38" i="60"/>
  <c r="H10" i="48"/>
  <c r="A37" i="60"/>
  <c r="H10" i="47"/>
  <c r="A36" i="60"/>
  <c r="H10" i="46"/>
  <c r="A35" i="60"/>
  <c r="H9" i="98"/>
  <c r="A34" i="60"/>
  <c r="H9" i="45"/>
  <c r="A33" i="60"/>
  <c r="H9" i="44"/>
  <c r="A32" i="60"/>
  <c r="H8" i="43"/>
  <c r="A31" i="60"/>
  <c r="H8" i="42"/>
  <c r="A30" i="60"/>
  <c r="H8" i="23"/>
  <c r="A29" i="60"/>
  <c r="H6" i="18"/>
  <c r="A28" i="60"/>
  <c r="H6" i="111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</calcChain>
</file>

<file path=xl/sharedStrings.xml><?xml version="1.0" encoding="utf-8"?>
<sst xmlns="http://schemas.openxmlformats.org/spreadsheetml/2006/main" count="2121" uniqueCount="351">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</sst>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11" fontId="13" fillId="17" borderId="0" xfId="9" applyNumberFormat="1" applyFont="1" applyFill="1" applyBorder="1"/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22186040"/>
        <c:axId val="422189960"/>
        <c:axId val="477604144"/>
      </c:surface3DChart>
      <c:catAx>
        <c:axId val="42218604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18996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2218996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186040"/>
        <c:crosses val="min"/>
        <c:crossBetween val="between"/>
        <c:majorUnit val="0.1"/>
      </c:valAx>
      <c:serAx>
        <c:axId val="47760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18996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0.1813416691570735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0.23608515564584465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1.1073224704115674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0.4052740440502634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0.1813416691570735</c:v>
                </c:pt>
                <c:pt idx="3">
                  <c:v>0</c:v>
                </c:pt>
                <c:pt idx="4">
                  <c:v>0.1813416691570735</c:v>
                </c:pt>
                <c:pt idx="6">
                  <c:v>2</c:v>
                </c:pt>
                <c:pt idx="7">
                  <c:v>1.1073224704115674</c:v>
                </c:pt>
                <c:pt idx="9">
                  <c:v>2</c:v>
                </c:pt>
                <c:pt idx="10">
                  <c:v>1.1073224704115674</c:v>
                </c:pt>
                <c:pt idx="12">
                  <c:v>0.1813416691570735</c:v>
                </c:pt>
                <c:pt idx="13">
                  <c:v>1.1073224704115674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0.23608515564584465</c:v>
                </c:pt>
                <c:pt idx="3">
                  <c:v>1</c:v>
                </c:pt>
                <c:pt idx="4">
                  <c:v>0.23608515564584465</c:v>
                </c:pt>
                <c:pt idx="6">
                  <c:v>1</c:v>
                </c:pt>
                <c:pt idx="7">
                  <c:v>0.4052740440502634</c:v>
                </c:pt>
                <c:pt idx="9">
                  <c:v>0</c:v>
                </c:pt>
                <c:pt idx="10">
                  <c:v>0.4052740440502634</c:v>
                </c:pt>
                <c:pt idx="12">
                  <c:v>0.23608515564584465</c:v>
                </c:pt>
                <c:pt idx="13">
                  <c:v>0.4052740440502634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187216"/>
        <c:axId val="422191920"/>
      </c:scatterChart>
      <c:valAx>
        <c:axId val="42218721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191920"/>
        <c:crosses val="autoZero"/>
        <c:crossBetween val="midCat"/>
        <c:majorUnit val="0.5"/>
      </c:valAx>
      <c:valAx>
        <c:axId val="42219192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18721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2.5139097300194582</c:v>
                </c:pt>
                <c:pt idx="2">
                  <c:v>7.3220552863263437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-1.6371493118568918</c:v>
                </c:pt>
                <c:pt idx="2">
                  <c:v>-0.26538537102510573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199760"/>
        <c:axId val="422200152"/>
      </c:scatterChart>
      <c:valAx>
        <c:axId val="42219976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200152"/>
        <c:crosses val="autoZero"/>
        <c:crossBetween val="midCat"/>
        <c:majorUnit val="1"/>
      </c:valAx>
      <c:valAx>
        <c:axId val="42220015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19976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L18" sqref="L18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8" t="s">
        <v>318</v>
      </c>
      <c r="D1" s="168"/>
      <c r="E1" s="168"/>
      <c r="F1" s="168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s="59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E6" s="59" t="s">
        <v>332</v>
      </c>
      <c r="F6" s="59" t="s">
        <v>332</v>
      </c>
      <c r="G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E7" s="59" t="s">
        <v>332</v>
      </c>
      <c r="F7" s="59" t="s">
        <v>332</v>
      </c>
      <c r="G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E8" s="59" t="s">
        <v>332</v>
      </c>
      <c r="F8" s="59" t="s">
        <v>332</v>
      </c>
      <c r="G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E9" s="59" t="s">
        <v>332</v>
      </c>
      <c r="F9" s="59" t="s">
        <v>332</v>
      </c>
      <c r="G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E10" s="59" t="s">
        <v>332</v>
      </c>
      <c r="F10" s="59" t="s">
        <v>332</v>
      </c>
      <c r="G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E11" s="59" t="s">
        <v>332</v>
      </c>
      <c r="F11" s="59" t="s">
        <v>332</v>
      </c>
      <c r="G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E12" s="59" t="s">
        <v>332</v>
      </c>
      <c r="F12" s="59" t="s">
        <v>332</v>
      </c>
      <c r="G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E13" s="59" t="s">
        <v>332</v>
      </c>
      <c r="F13" s="59" t="s">
        <v>332</v>
      </c>
      <c r="G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E14" s="59" t="s">
        <v>332</v>
      </c>
      <c r="F14" s="59" t="s">
        <v>332</v>
      </c>
      <c r="G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E15" s="59" t="s">
        <v>332</v>
      </c>
      <c r="F15" s="59" t="s">
        <v>332</v>
      </c>
      <c r="G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E16" s="59" t="s">
        <v>332</v>
      </c>
      <c r="F16" s="59" t="s">
        <v>332</v>
      </c>
      <c r="G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E17" s="59" t="s">
        <v>332</v>
      </c>
      <c r="F17" s="59" t="s">
        <v>332</v>
      </c>
      <c r="G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E18" s="59" t="s">
        <v>332</v>
      </c>
      <c r="F18" s="59" t="s">
        <v>332</v>
      </c>
      <c r="G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E19" s="59" t="s">
        <v>332</v>
      </c>
      <c r="F19" s="59" t="s">
        <v>332</v>
      </c>
      <c r="G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E20" s="59" t="s">
        <v>332</v>
      </c>
      <c r="F20" s="59" t="s">
        <v>332</v>
      </c>
      <c r="G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E21" s="59" t="s">
        <v>332</v>
      </c>
      <c r="F21" s="59" t="s">
        <v>332</v>
      </c>
      <c r="G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E22" s="59" t="s">
        <v>332</v>
      </c>
      <c r="F22" s="59" t="s">
        <v>332</v>
      </c>
      <c r="G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E23" s="59" t="s">
        <v>332</v>
      </c>
      <c r="F23" s="59" t="s">
        <v>332</v>
      </c>
      <c r="G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E24" s="59" t="s">
        <v>332</v>
      </c>
      <c r="F24" s="59" t="s">
        <v>332</v>
      </c>
      <c r="G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E25" s="59" t="s">
        <v>332</v>
      </c>
      <c r="F25" s="59" t="s">
        <v>337</v>
      </c>
      <c r="G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E26" s="59" t="s">
        <v>332</v>
      </c>
      <c r="F26" s="59" t="s">
        <v>332</v>
      </c>
      <c r="G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E28" s="59" t="s">
        <v>332</v>
      </c>
      <c r="F28" s="59" t="s">
        <v>332</v>
      </c>
      <c r="G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E29" s="59" t="s">
        <v>332</v>
      </c>
      <c r="F29" s="59" t="s">
        <v>332</v>
      </c>
      <c r="G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E30" s="59" t="s">
        <v>332</v>
      </c>
      <c r="F30" s="59" t="s">
        <v>332</v>
      </c>
      <c r="G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E31" s="59" t="s">
        <v>332</v>
      </c>
      <c r="F31" s="59" t="s">
        <v>332</v>
      </c>
      <c r="G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E32" s="59" t="s">
        <v>332</v>
      </c>
      <c r="F32" s="59" t="s">
        <v>337</v>
      </c>
      <c r="G32" s="59" t="s">
        <v>332</v>
      </c>
    </row>
    <row r="33" spans="1:7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E33" s="59" t="s">
        <v>332</v>
      </c>
      <c r="F33" s="59" t="s">
        <v>337</v>
      </c>
      <c r="G33" s="59" t="s">
        <v>332</v>
      </c>
    </row>
    <row r="34" spans="1:7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E34" s="59" t="s">
        <v>332</v>
      </c>
      <c r="F34" s="59" t="s">
        <v>332</v>
      </c>
      <c r="G34" s="59" t="s">
        <v>332</v>
      </c>
    </row>
    <row r="35" spans="1:7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E35" s="59" t="s">
        <v>332</v>
      </c>
      <c r="F35" s="59" t="s">
        <v>332</v>
      </c>
      <c r="G35" s="59" t="s">
        <v>332</v>
      </c>
    </row>
    <row r="36" spans="1:7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E36" s="59" t="s">
        <v>332</v>
      </c>
      <c r="F36" s="59" t="s">
        <v>332</v>
      </c>
      <c r="G36" s="165" t="s">
        <v>332</v>
      </c>
    </row>
    <row r="37" spans="1:7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E37" s="59" t="s">
        <v>332</v>
      </c>
      <c r="F37" s="59" t="s">
        <v>332</v>
      </c>
      <c r="G37" s="165" t="s">
        <v>332</v>
      </c>
    </row>
    <row r="38" spans="1:7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E38" s="59" t="s">
        <v>332</v>
      </c>
      <c r="F38" s="59" t="s">
        <v>332</v>
      </c>
      <c r="G38" s="59" t="s">
        <v>332</v>
      </c>
    </row>
    <row r="39" spans="1:7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E39" s="59" t="s">
        <v>332</v>
      </c>
      <c r="F39" s="59" t="s">
        <v>332</v>
      </c>
      <c r="G39" s="59" t="s">
        <v>332</v>
      </c>
    </row>
    <row r="40" spans="1:7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E40" s="59" t="s">
        <v>332</v>
      </c>
      <c r="F40" s="59" t="s">
        <v>332</v>
      </c>
      <c r="G40" s="59" t="s">
        <v>332</v>
      </c>
    </row>
    <row r="41" spans="1:7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E41" s="59" t="s">
        <v>332</v>
      </c>
      <c r="F41" s="59" t="s">
        <v>332</v>
      </c>
      <c r="G41" s="59" t="s">
        <v>332</v>
      </c>
    </row>
    <row r="42" spans="1:7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E42" s="59" t="s">
        <v>332</v>
      </c>
      <c r="F42" s="59" t="s">
        <v>337</v>
      </c>
      <c r="G42" s="59" t="s">
        <v>332</v>
      </c>
    </row>
    <row r="43" spans="1:7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E43" s="59" t="s">
        <v>332</v>
      </c>
      <c r="F43" s="59" t="s">
        <v>337</v>
      </c>
      <c r="G43" s="59" t="s">
        <v>332</v>
      </c>
    </row>
    <row r="44" spans="1:7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E44" s="59" t="s">
        <v>332</v>
      </c>
      <c r="F44" s="59" t="s">
        <v>332</v>
      </c>
      <c r="G44" s="59" t="s">
        <v>332</v>
      </c>
    </row>
    <row r="45" spans="1:7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E45" s="59" t="s">
        <v>332</v>
      </c>
      <c r="F45" s="59" t="s">
        <v>332</v>
      </c>
      <c r="G45" s="59" t="s">
        <v>332</v>
      </c>
    </row>
    <row r="46" spans="1:7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7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7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Tester.xlsm]'NamedRanges'!A1", "NamedRanges")</f>
        <v>NamedRanges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Tester.xlsm]'QuickSolve'!A1", "QuickSolve")</f>
        <v>QuickSolve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Tester.xlsm]'Sensitivity'!A1", "Sensitivity")</f>
        <v>Sensitivity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Tester.xlsm]'SensitivityNames'!A1", "SensitivityNames")</f>
        <v>SensitivityNames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Tester.xlsm]'NonLinSimple'!A1", "NonLinSimple")</f>
        <v>NonLinSimple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Tester.xlsm]'NonLinLarge'!A1", "NonLinLarge")</f>
        <v>NonLinLarge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Tester.xlsm]'NonLinObj'!A1", "NonLinObj")</f>
        <v>NonLinObj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Tester.xlsm]'NonLinPruning'!A1", "NonLinPruning")</f>
        <v>NonLinPruning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Tester.xlsm]'NonLinMinMax'!A1", "NonLinMinMax")</f>
        <v>NonLinMinMax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Tester.xlsm]'NonLinConstraints'!A1", "NonLinConstraints")</f>
        <v>NonLinConstraints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Tester.xlsm]'NonLinBinary'!A1", "NonLinBinary")</f>
        <v>NonLinBinary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Tester.xlsm]'NonLin'!A1", "NonLin")</f>
        <v>NonLin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Tester.xlsm]'NonLin2'!A1", "NonLin2")</f>
        <v>NonLin2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Tester.xlsm]'NonLin3'!A1", "NonLin3")</f>
        <v>NonLin3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Tester.xlsm]'NonLin4'!A1", "NonLin4")</f>
        <v>NonLin4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332</v>
      </c>
      <c r="H65" s="165"/>
    </row>
    <row r="66" spans="1:8" x14ac:dyDescent="0.25">
      <c r="A66" s="155" t="str">
        <f>HYPERLINK("[OpenSolver Tester.xlsm]'NonLin5'!A1", "NonLin5")</f>
        <v>NonLin5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Tester.xlsm]'NonLin6'!A1", "NonLin6")</f>
        <v>NonLin6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P22" sqref="P22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5.2941176177834963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15.88235285335049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58.23529379561846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116.47058759123692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116.47058759123692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179.99999900463888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5.2941176176478653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15.882352852943596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58.23529379412652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116.47058758825304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116.47058758825304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179.99999900002743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5.2941176177895963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15.88235285336879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58.235293795685557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116.47058759137111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116.47058759137111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179.99999900484627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5.294117617780616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15.882352853341848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58.235293795586777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116.47058759117355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179.99999900454094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69">
        <v>5.294117618309568</v>
      </c>
      <c r="F5" s="169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15.882352854928705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58.235293801405248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116.4705876028105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179.99999902252532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5.294117618309568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15.882352854928705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58.235293801405248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116.4705876028105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179.99999902252532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5.294117618309568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15.882352854928705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58.235293801405248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f>SUMPRODUCT($D$5:$F$5,D10:F10)</f>
        <v>116.4705876028105</v>
      </c>
      <c r="H10" s="169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179.99999902252532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7.7077642856761859</v>
      </c>
      <c r="E5" s="1">
        <v>0.49504993515265505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16.900678376810337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82.523192143441065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163.27921922303781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8.3970690545964608</v>
      </c>
      <c r="Q4" s="145">
        <v>0</v>
      </c>
      <c r="R4" s="10">
        <v>10.99999853872588</v>
      </c>
      <c r="S4" s="9">
        <f>SUM(Q4:R4)</f>
        <v>10.99999853872588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0.29565213961603115</v>
      </c>
      <c r="J5"/>
      <c r="K5"/>
      <c r="M5" t="s">
        <v>20</v>
      </c>
      <c r="N5">
        <v>0</v>
      </c>
      <c r="Q5" s="4">
        <v>43.999999528720579</v>
      </c>
      <c r="R5" s="5">
        <v>22.000001048775772</v>
      </c>
      <c r="S5" s="4">
        <f>SUM(Q5:R5)</f>
        <v>66.000000577496351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43.999999528720579</v>
      </c>
      <c r="R6" s="10">
        <f>SUM(R4:R5)</f>
        <v>32.999999587501648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721.43093671209283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14.547825675392374</v>
      </c>
      <c r="J9" s="1" t="s">
        <v>8</v>
      </c>
      <c r="K9" s="1">
        <f>61.2345678+2.3*N4-S5</f>
        <v>14.547826048075507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28.799999211168718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115.20000078883129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-9.4608684677129968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28.800000197207822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286.8036540745465</v>
      </c>
      <c r="Q4" s="145">
        <v>1.836601675234262</v>
      </c>
      <c r="R4" s="10">
        <v>1.9902049315984072</v>
      </c>
      <c r="S4" s="9">
        <f>SUM(Q4:R4)</f>
        <v>3.8268066068326689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</v>
      </c>
      <c r="E5" s="1">
        <v>-5.3571067330577104E-22</v>
      </c>
      <c r="F5" s="1">
        <v>0.99999999999992761</v>
      </c>
      <c r="G5" s="1">
        <v>0</v>
      </c>
      <c r="J5"/>
      <c r="K5"/>
      <c r="M5" t="s">
        <v>20</v>
      </c>
      <c r="N5">
        <v>0.53147047886256993</v>
      </c>
      <c r="Q5" s="4">
        <v>1.6560173133093246</v>
      </c>
      <c r="R5" s="5">
        <v>55.595101712985056</v>
      </c>
      <c r="S5" s="4">
        <f>SUM(Q5:R5)</f>
        <v>57.251119026294383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3.4926189885435868</v>
      </c>
      <c r="R6" s="10">
        <f>SUM(R4:R5)</f>
        <v>57.585306644583461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2063.1735193488912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10</v>
      </c>
      <c r="J9" s="1" t="s">
        <v>8</v>
      </c>
      <c r="K9" s="1">
        <f>61.2345678+2.3*N4-S5</f>
        <v>663.63185314516249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99.999999999992767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5.2941176177834963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15.88235285335049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58.23529379561846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116.47058759123692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116.47058759123692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179.99999900463888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3.3982281107704604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30.194684332311382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97.380509218475055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189.76101843695011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574.76101843695017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-381036674817.82318</v>
      </c>
      <c r="E4" s="167">
        <v>-1147995110020.4353</v>
      </c>
      <c r="F4" s="167">
        <v>-1445985330075.4199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-9989999999998.6328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-33790136919308.062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-66515325183358.523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110.7890625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7.5294117352941212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14.588235205882363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42.823529088235333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81.647058176470665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179.99999900000012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6.8545356435009372</v>
      </c>
      <c r="Q3" s="9">
        <v>0</v>
      </c>
      <c r="R3" s="10">
        <v>10.999998243782631</v>
      </c>
      <c r="S3" s="9">
        <f>SUM(Q3:R3)</f>
        <v>10.999998243782631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43.999999233475933</v>
      </c>
      <c r="R4" s="5">
        <v>22.000000756646934</v>
      </c>
      <c r="S4" s="4">
        <f>SUM(Q4:R4)</f>
        <v>65.999999990122859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43.999999233475933</v>
      </c>
      <c r="R5" s="10">
        <f>SUM(R3:R4)</f>
        <v>32.999999000429568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712.5356514442243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10.999999789929291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1.9999999999975633</v>
      </c>
      <c r="E5" s="1">
        <v>1.197313231578135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7.5919396947295317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33.17044554733512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68.340891094667796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68.340891094667796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78.708649873610284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5.2941176177834963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15.88235285335049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58.23529379561846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116.47058759123692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116.47058759123692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179.99999900463888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249.99999997449189</v>
      </c>
      <c r="E2">
        <v>100.00000000406989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49.999999998466663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349.99999997856179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100.00000000406989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-499.99999994898377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4.9999990401090182</v>
      </c>
      <c r="F4">
        <v>0</v>
      </c>
      <c r="G4">
        <v>3.9999990000655772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8.9999980401745958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3.9999990000655772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3.9999990000655772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4.9999990401090182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345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4" workbookViewId="0">
      <selection activeCell="J27" sqref="J27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99.999949589592745</v>
      </c>
      <c r="E14" s="160">
        <v>99.99994337085711</v>
      </c>
      <c r="F14" s="160">
        <v>-1.2924697071141057E-14</v>
      </c>
      <c r="G14" s="160">
        <v>-1.2924697071141057E-14</v>
      </c>
      <c r="H14" s="160">
        <v>-1.2924697071141057E-14</v>
      </c>
      <c r="I14">
        <f>SUM(D14:H14)</f>
        <v>199.99989296044987</v>
      </c>
      <c r="J14">
        <v>200</v>
      </c>
    </row>
    <row r="15" spans="1:10" x14ac:dyDescent="0.25">
      <c r="C15" t="s">
        <v>250</v>
      </c>
      <c r="D15" s="160">
        <v>-1.2924697071141057E-14</v>
      </c>
      <c r="E15" s="160">
        <v>1.7657197042126677E-6</v>
      </c>
      <c r="F15" s="160">
        <v>199.99994649273469</v>
      </c>
      <c r="G15" s="160">
        <v>99.999951824279904</v>
      </c>
      <c r="H15" s="160">
        <v>-1.2924697071141057E-14</v>
      </c>
      <c r="I15">
        <f>SUM(D15:H15)</f>
        <v>299.99990008273431</v>
      </c>
      <c r="J15">
        <v>300</v>
      </c>
    </row>
    <row r="16" spans="1:10" x14ac:dyDescent="0.25">
      <c r="C16" t="s">
        <v>251</v>
      </c>
      <c r="D16" s="160">
        <v>-1.2924697071141057E-14</v>
      </c>
      <c r="E16" s="160">
        <v>199.99995486356593</v>
      </c>
      <c r="F16" s="160">
        <v>-1.2924697071141057E-14</v>
      </c>
      <c r="G16" s="160">
        <v>3.0829204831302784E-6</v>
      </c>
      <c r="H16" s="160">
        <v>149.99992253427106</v>
      </c>
      <c r="I16">
        <f>SUM(D16:H16)</f>
        <v>349.9998804807575</v>
      </c>
      <c r="J16">
        <v>350</v>
      </c>
    </row>
    <row r="17" spans="3:10" x14ac:dyDescent="0.25">
      <c r="C17" t="s">
        <v>71</v>
      </c>
      <c r="D17">
        <f>SUM(D14:D16)</f>
        <v>99.999949589592717</v>
      </c>
      <c r="E17">
        <f>SUM(E14:E16)</f>
        <v>299.99990000014276</v>
      </c>
      <c r="F17">
        <f>SUM(F14:F16)</f>
        <v>199.99994649273469</v>
      </c>
      <c r="G17">
        <f>SUM(G14:G16)</f>
        <v>99.999954907200376</v>
      </c>
      <c r="H17">
        <f>SUM(H14:H16)</f>
        <v>149.99992253427104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13249.994499106184</v>
      </c>
      <c r="J20" t="s">
        <v>336</v>
      </c>
    </row>
    <row r="21" spans="3:10" x14ac:dyDescent="0.25">
      <c r="J21">
        <v>99999.999953299208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5.2941176178049858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252.24913216037825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58.235293795854844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116.47058759170969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179.99999900536952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2.6182822449918155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27.421607657757527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26.182822449918156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198.94736734805511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198.94736734805511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198.94736734805511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198.94736734805511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198.94736734805511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198.94736734805511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198.94736734805511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198.94736734805511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198.94736734805511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198.94736734805511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198.94736734805511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198.94736734805511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198.94736734805511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198.94736734805511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198.94736734805511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198.94736734805511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198.94736734805511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198.94736734805511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198.94736734805511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198.94736734805511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198.94736734805511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198.94736734805511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198.94736734805511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198.94736734805511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198.94736734805511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198.94736734805511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198.94736734805511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198.94736734805511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198.94736734805511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198.94736734805511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198.94736734805511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198.94736734805511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198.94736734805511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198.94736734805511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198.94736734805511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198.94736734805511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198.94736734805511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198.94736734805511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198.94736734805511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198.94736734805511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198.94736734805511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198.94736734805511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198.94736734805511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198.94736734805511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198.94736734805511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198.94736734805511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198.94736734805511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198.94736734805511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198.94736734805511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198.94736734805511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198.94736734805511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198.94736734805511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198.94736734805511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198.94736734805511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198.94736734805511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198.94736734805511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198.94736734805511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198.94736734805511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198.94736734805511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198.94736734805511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198.94736734805511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198.94736734805511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198.94736734805511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198.94736734805511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179.99999902919274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-1264.6303243310467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198.94736734805511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198.94736734805511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198.94736734805511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198.94736734805511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198.94736734805511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198.94736734805511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198.94736734805511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198.94736734805511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198.94736734805511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198.94736734805511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198.94736734805511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198.94736734805511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198.94736734805511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198.94736734805511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198.94736734805511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198.94736734805511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198.94736734805511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198.94736734805511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198.94736734805511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198.94736734805511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198.94736734805511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198.94736734805511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198.94736734805511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198.94736734805511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198.94736734805511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198.94736734805511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198.94736734805511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198.94736734805511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198.94736734805511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198.94736734805511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198.94736734805511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198.94736734805511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198.94736734805511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198.94736734805511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198.94736734805511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198.94736734805511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198.94736734805511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198.94736734805511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198.94736734805511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198.94736734805511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198.94736734805511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198.94736734805511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198.94736734805511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198.94736734805511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198.94736734805511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198.94736734805511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198.94736734805511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198.94736734805511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198.94736734805511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198.94736734805511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198.94736734805511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198.94736734805511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198.94736734805511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198.94736734805511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198.94736734805511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198.94736734805511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198.94736734805511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198.94736734805511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198.94736734805511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198.94736734805511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198.94736734805511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198.94736734805511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198.94736734805511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198.94736734805511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179.99999902919274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5.2941176176470561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252.24913214532845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58.235293794117617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116.47058758823523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116.47058758823523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179.99999899999992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32.633916975965398</v>
      </c>
      <c r="E5">
        <v>0.61285955353369803</v>
      </c>
    </row>
    <row r="6" spans="1:15" ht="15.75" thickBot="1" x14ac:dyDescent="0.3">
      <c r="A6" s="63" t="b">
        <f>AND(F22)</f>
        <v>1</v>
      </c>
      <c r="F6">
        <f>D5^2*E5^2</f>
        <v>400.00031151789761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20.000007787945922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33.246776529499094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32.633916975965398</v>
      </c>
      <c r="G10" t="s">
        <v>9</v>
      </c>
      <c r="H10">
        <v>0</v>
      </c>
    </row>
    <row r="11" spans="1:15" x14ac:dyDescent="0.25">
      <c r="F11">
        <f>E5</f>
        <v>0.61285955353369803</v>
      </c>
      <c r="H11">
        <v>0</v>
      </c>
    </row>
    <row r="12" spans="1:15" x14ac:dyDescent="0.25">
      <c r="F12">
        <f>E5*D5+E5+D5</f>
        <v>53.246784317445019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53.246784317445019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53.246784317445019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-13.246768741553176</v>
      </c>
      <c r="G15" t="s">
        <v>8</v>
      </c>
      <c r="H15">
        <v>0</v>
      </c>
      <c r="O15" s="81"/>
    </row>
    <row r="16" spans="1:15" x14ac:dyDescent="0.25">
      <c r="F16">
        <f>E5-D5*E5+D5</f>
        <v>13.246768741553176</v>
      </c>
      <c r="G16" t="s">
        <v>8</v>
      </c>
      <c r="H16">
        <v>60</v>
      </c>
      <c r="O16" s="81"/>
    </row>
    <row r="17" spans="6:15" x14ac:dyDescent="0.25">
      <c r="F17">
        <f>E5-D5+E5*D5</f>
        <v>-12.021049634485781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0.94240514019536503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135.09256030039927</v>
      </c>
      <c r="E11" s="108"/>
    </row>
    <row r="12" spans="1:5" x14ac:dyDescent="0.25">
      <c r="C12" s="106" t="s">
        <v>266</v>
      </c>
      <c r="D12" s="107">
        <f>D11/D4</f>
        <v>27.018512060079853</v>
      </c>
      <c r="E12" s="108"/>
    </row>
    <row r="13" spans="1:5" x14ac:dyDescent="0.25">
      <c r="C13" s="106" t="s">
        <v>267</v>
      </c>
      <c r="D13" s="109">
        <f>D8*D11/2</f>
        <v>0.37011660356273773</v>
      </c>
      <c r="E13" s="108"/>
    </row>
    <row r="14" spans="1:5" x14ac:dyDescent="0.25">
      <c r="C14" s="106" t="s">
        <v>268</v>
      </c>
      <c r="D14" s="110">
        <f>D5/D12</f>
        <v>0.37011660663486756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0.1813416691570735</v>
      </c>
      <c r="G2" s="114">
        <v>0.23608515564584465</v>
      </c>
      <c r="H2" s="114">
        <v>1.1073224704115674</v>
      </c>
      <c r="I2" s="114">
        <v>0.4052740440502634</v>
      </c>
      <c r="J2" s="112">
        <f>SQRT(($F$2-D2)^2+($G$2-E2)^2)</f>
        <v>0.29769279750943961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0.785143738685667</v>
      </c>
      <c r="K3" s="96"/>
      <c r="N3" s="86" t="s">
        <v>281</v>
      </c>
      <c r="O3" s="86">
        <f>$F$2</f>
        <v>0.1813416691570735</v>
      </c>
      <c r="P3" s="86">
        <f>$G$2</f>
        <v>0.23608515564584465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1.0726472553978008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0.98036739165119202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0.94131042926945063</v>
      </c>
      <c r="K6" s="96"/>
      <c r="N6" s="86" t="s">
        <v>281</v>
      </c>
      <c r="O6" s="86">
        <f>$F$2</f>
        <v>0.1813416691570735</v>
      </c>
      <c r="P6" s="86">
        <f>$G$2</f>
        <v>0.23608515564584465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4.0771616125135504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1.1073224704115674</v>
      </c>
      <c r="P9" s="86">
        <f>$I$2</f>
        <v>0.4052740440502634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1.1073224704115674</v>
      </c>
      <c r="P12" s="86">
        <f>$I$2</f>
        <v>0.4052740440502634</v>
      </c>
    </row>
    <row r="14" spans="1:16" x14ac:dyDescent="0.25">
      <c r="N14" s="86" t="s">
        <v>281</v>
      </c>
      <c r="O14" s="86">
        <f>$F$2</f>
        <v>0.1813416691570735</v>
      </c>
      <c r="P14" s="86">
        <f>$G$2</f>
        <v>0.23608515564584465</v>
      </c>
    </row>
    <row r="15" spans="1:16" x14ac:dyDescent="0.25">
      <c r="N15" s="86" t="s">
        <v>283</v>
      </c>
      <c r="O15" s="86">
        <f>$H$2</f>
        <v>1.1073224704115674</v>
      </c>
      <c r="P15" s="86">
        <f>$I$2</f>
        <v>0.4052740440502634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1" t="s">
        <v>285</v>
      </c>
      <c r="D1" s="171"/>
      <c r="E1" s="171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2.5139097300194582</v>
      </c>
      <c r="I4" s="125">
        <f>SIN(RADIANS(D7))*D2</f>
        <v>-1.6371493118568918</v>
      </c>
    </row>
    <row r="5" spans="1:9" x14ac:dyDescent="0.25">
      <c r="A5" s="62" t="s">
        <v>209</v>
      </c>
      <c r="H5" s="125">
        <f>H4+COS(RADIANS(D8))*D3</f>
        <v>7.3220552863263437</v>
      </c>
      <c r="I5" s="125">
        <f>I4+SIN(RADIANS(D8))*D3</f>
        <v>-0.26538537102510573</v>
      </c>
    </row>
    <row r="6" spans="1:9" ht="15.75" thickBot="1" x14ac:dyDescent="0.3">
      <c r="A6" s="63" t="b">
        <f>AND(F16)</f>
        <v>0</v>
      </c>
      <c r="C6" s="171" t="s">
        <v>224</v>
      </c>
      <c r="D6" s="171"/>
      <c r="E6" s="171"/>
    </row>
    <row r="7" spans="1:9" x14ac:dyDescent="0.25">
      <c r="A7" s="62" t="s">
        <v>210</v>
      </c>
      <c r="C7" s="127" t="s">
        <v>290</v>
      </c>
      <c r="D7" s="174">
        <v>16526.926363945928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74">
        <v>57255.923448285619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1" t="s">
        <v>293</v>
      </c>
      <c r="D10" s="171"/>
      <c r="E10" s="171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7.3220552863263437</v>
      </c>
      <c r="D12" s="130">
        <f>D4</f>
        <v>7</v>
      </c>
      <c r="E12" s="130">
        <f>D12-C12</f>
        <v>-0.32205528632634373</v>
      </c>
      <c r="F12" s="130">
        <f>E12^2</f>
        <v>0.10371960745074324</v>
      </c>
    </row>
    <row r="13" spans="1:9" x14ac:dyDescent="0.25">
      <c r="C13" s="130">
        <f>D2*SIN(RADIANS(D7))+D3*SIN(RADIANS(D8))</f>
        <v>-0.26538537102510573</v>
      </c>
      <c r="D13" s="130">
        <v>0</v>
      </c>
      <c r="E13" s="130">
        <f>C13-D13</f>
        <v>-0.26538537102510573</v>
      </c>
      <c r="F13" s="130">
        <f>E13^2</f>
        <v>7.0429395154133032E-2</v>
      </c>
    </row>
    <row r="15" spans="1:9" x14ac:dyDescent="0.25">
      <c r="C15" s="171" t="s">
        <v>298</v>
      </c>
      <c r="D15" s="171"/>
      <c r="E15" s="171"/>
      <c r="F15" s="131">
        <f>SUM(F12:F13)</f>
        <v>0.17414900260487626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164</vt:i4>
      </vt:variant>
    </vt:vector>
  </HeadingPairs>
  <TitlesOfParts>
    <vt:vector size="233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2015-04-11T19:57:13Z</dcterms:modified>
</cp:coreProperties>
</file>