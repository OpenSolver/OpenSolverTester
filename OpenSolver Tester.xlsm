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taiji\OpenSolverTester\"/>
    </mc:Choice>
  </mc:AlternateContent>
  <xr:revisionPtr revIDLastSave="0" documentId="13_ncr:1_{DA73AD54-73B0-47C9-B4C0-E76DDB170007}" xr6:coauthVersionLast="45" xr6:coauthVersionMax="45" xr10:uidLastSave="{00000000-0000-0000-0000-000000000000}"/>
  <bookViews>
    <workbookView xWindow="-108" yWindow="-108" windowWidth="23256" windowHeight="12576" tabRatio="884" firstSheet="2" activeTab="2" xr2:uid="{00000000-000D-0000-FFFF-FFFF00000000}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NOMADCallback" sheetId="156" r:id="rId74"/>
    <sheet name="Highlighting" sheetId="5" r:id="rId75"/>
    <sheet name="AutoModel" sheetId="40" r:id="rId76"/>
  </sheets>
  <functionGroups builtInGroupCount="19"/>
  <externalReferences>
    <externalReference r:id="rId77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Couenne</definedName>
    <definedName name="OpenSolver_ChosenSolver" localSheetId="35" hidden="1">Couenne</definedName>
    <definedName name="OpenSolver_ChosenSolver" localSheetId="20" hidden="1">Couenne</definedName>
    <definedName name="OpenSolver_ChosenSolver" localSheetId="34" hidden="1">Couenne</definedName>
    <definedName name="OpenSolver_ChosenSolver" localSheetId="8" hidden="1">Couenne</definedName>
    <definedName name="OpenSolver_ChosenSolver" localSheetId="7" hidden="1">Couenne</definedName>
    <definedName name="OpenSolver_ChosenSolver" localSheetId="47" hidden="1">Couenne</definedName>
    <definedName name="OpenSolver_ChosenSolver" localSheetId="21" hidden="1">Couenne</definedName>
    <definedName name="OpenSolver_ChosenSolver" localSheetId="22" hidden="1">Couenne</definedName>
    <definedName name="OpenSolver_ChosenSolver" localSheetId="43" hidden="1">Couenne</definedName>
    <definedName name="OpenSolver_ChosenSolver" localSheetId="40" hidden="1">Couenne</definedName>
    <definedName name="OpenSolver_ChosenSolver" localSheetId="42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53" hidden="1">Couenne</definedName>
    <definedName name="OpenSolver_ChosenSolver" localSheetId="32" hidden="1">Couenne</definedName>
    <definedName name="OpenSolver_ChosenSolver" localSheetId="11" hidden="1">Couenne</definedName>
    <definedName name="OpenSolver_ChosenSolver" localSheetId="12" hidden="1">Couenne</definedName>
    <definedName name="OpenSolver_ChosenSolver" localSheetId="10" hidden="1">Couenne</definedName>
    <definedName name="OpenSolver_ChosenSolver" localSheetId="24" hidden="1">Couenne</definedName>
    <definedName name="OpenSolver_ChosenSolver" localSheetId="28" hidden="1">Couenne</definedName>
    <definedName name="OpenSolver_ChosenSolver" localSheetId="44" hidden="1">Couenne</definedName>
    <definedName name="OpenSolver_ChosenSolver" localSheetId="46" hidden="1">Couenne</definedName>
    <definedName name="OpenSolver_ChosenSolver" localSheetId="74" hidden="1">CBC</definedName>
    <definedName name="OpenSolver_ChosenSolver" localSheetId="31" hidden="1">Couenne</definedName>
    <definedName name="OpenSolver_ChosenSolver" localSheetId="27" hidden="1">Couenne</definedName>
    <definedName name="OpenSolver_ChosenSolver" localSheetId="48" hidden="1">Couenne</definedName>
    <definedName name="OpenSolver_ChosenSolver" localSheetId="5" hidden="1">Couenne</definedName>
    <definedName name="OpenSolver_ChosenSolver" localSheetId="49" hidden="1">Couenne</definedName>
    <definedName name="OpenSolver_ChosenSolver" localSheetId="37" hidden="1">Couenne</definedName>
    <definedName name="OpenSolver_ChosenSolver" localSheetId="18" hidden="1">Couenne</definedName>
    <definedName name="OpenSolver_ChosenSolver" localSheetId="19" hidden="1">Couenne</definedName>
    <definedName name="OpenSolver_ChosenSolver" localSheetId="17" hidden="1">Couenne</definedName>
    <definedName name="OpenSolver_ChosenSolver" localSheetId="16" hidden="1">Couenne</definedName>
    <definedName name="OpenSolver_ChosenSolver" localSheetId="15" hidden="1">Couenne</definedName>
    <definedName name="OpenSolver_ChosenSolver" localSheetId="14" hidden="1">Couenne</definedName>
    <definedName name="OpenSolver_ChosenSolver" localSheetId="54" hidden="1">Couenne</definedName>
    <definedName name="OpenSolver_ChosenSolver" localSheetId="73" hidden="1">NOMAD</definedName>
    <definedName name="OpenSolver_ChosenSolver" localSheetId="67" hidden="1">Couenne</definedName>
    <definedName name="OpenSolver_ChosenSolver" localSheetId="68" hidden="1">Couenne</definedName>
    <definedName name="OpenSolver_ChosenSolver" localSheetId="69" hidden="1">Couenne</definedName>
    <definedName name="OpenSolver_ChosenSolver" localSheetId="70" hidden="1">Couenne</definedName>
    <definedName name="OpenSolver_ChosenSolver" localSheetId="71" hidden="1">Couenne</definedName>
    <definedName name="OpenSolver_ChosenSolver" localSheetId="72" hidden="1">Couenne</definedName>
    <definedName name="OpenSolver_ChosenSolver" localSheetId="66" hidden="1">Couenne</definedName>
    <definedName name="OpenSolver_ChosenSolver" localSheetId="65" hidden="1">Couenne</definedName>
    <definedName name="OpenSolver_ChosenSolver" localSheetId="61" hidden="1">Couenne</definedName>
    <definedName name="OpenSolver_ChosenSolver" localSheetId="64" hidden="1">Couenne</definedName>
    <definedName name="OpenSolver_ChosenSolver" localSheetId="62" hidden="1">Couenne</definedName>
    <definedName name="OpenSolver_ChosenSolver" localSheetId="63" hidden="1">Couenne</definedName>
    <definedName name="OpenSolver_ChosenSolver" localSheetId="60" hidden="1">Couenne</definedName>
    <definedName name="OpenSolver_ChosenSolver" localSheetId="50" hidden="1">Couenne</definedName>
    <definedName name="OpenSolver_ChosenSolver" localSheetId="6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30" hidden="1">Couenne</definedName>
    <definedName name="OpenSolver_ChosenSolver" localSheetId="55" hidden="1">Couenne</definedName>
    <definedName name="OpenSolver_ChosenSolver" localSheetId="36" hidden="1">Couenne</definedName>
    <definedName name="OpenSolver_ChosenSolver" localSheetId="2" hidden="1">CBC</definedName>
    <definedName name="OpenSolver_ChosenSolver" localSheetId="51" hidden="1">Couenne</definedName>
    <definedName name="OpenSolver_ChosenSolver" localSheetId="52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4" hidden="1">Couenne</definedName>
    <definedName name="OpenSolver_ChosenSolver" localSheetId="3" hidden="1">Couenne</definedName>
    <definedName name="OpenSolver_ChosenSolver" localSheetId="33" hidden="1">Couenne</definedName>
    <definedName name="OpenSolver_ChosenSolver" localSheetId="56" hidden="1">Couenne</definedName>
    <definedName name="OpenSolver_ChosenSolver" localSheetId="13" hidden="1">Couenne</definedName>
    <definedName name="OpenSolver_ChosenSolver" localSheetId="9" hidden="1">Couenne</definedName>
    <definedName name="OpenSolver_ChosenSolver" localSheetId="29" hidden="1">Couenne</definedName>
    <definedName name="OpenSolver_ChosenSolver" localSheetId="45" hidden="1">Couenne</definedName>
    <definedName name="OpenSolver_ChosenSolver" localSheetId="41" hidden="1">Couenne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74" hidden="1">0</definedName>
    <definedName name="OpenSolver_DualsNewSheet" localSheetId="2" hidden="1">0</definedName>
    <definedName name="OpenSolver_DualsNewSheet" localSheetId="51" hidden="1">1</definedName>
    <definedName name="OpenSolver_DualsNewSheet" localSheetId="58" hidden="1">1</definedName>
    <definedName name="OpenSolver_DualsNewSheet" localSheetId="59" hidden="1">1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73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56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73" hidden="1">NOMADCallback!$C$10:$D$10</definedName>
    <definedName name="OpenSolver_NOMADParameters" localSheetId="56" hidden="1">SolverParameters!$R$5:$S$5</definedName>
    <definedName name="OpenSolver_UpdateSensitivity" localSheetId="74" hidden="1">1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4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4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75" hidden="1">AutoModel!$B$28:$D$28,AutoModel!$C$3:$C$5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74" hidden="1">Highlighting!$L$9:$N$9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73" hidden="1">NOMADCallback!$D$6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74" hidden="1">0.0001</definedName>
    <definedName name="solver_cvg" localSheetId="5" hidden="1">0.0001</definedName>
    <definedName name="solver_cvg" localSheetId="73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74" hidden="1">1</definedName>
    <definedName name="solver_drv" localSheetId="5" hidden="1">1</definedName>
    <definedName name="solver_drv" localSheetId="73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74" hidden="1">1</definedName>
    <definedName name="solver_est" localSheetId="5" hidden="1">1</definedName>
    <definedName name="solver_est" localSheetId="73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23" hidden="1">2147483647</definedName>
    <definedName name="solver_itr" localSheetId="35" hidden="1">2147483647</definedName>
    <definedName name="solver_itr" localSheetId="20" hidden="1">2147483647</definedName>
    <definedName name="solver_itr" localSheetId="34" hidden="1">2147483647</definedName>
    <definedName name="solver_itr" localSheetId="8" hidden="1">2147483647</definedName>
    <definedName name="solver_itr" localSheetId="7" hidden="1">2147483647</definedName>
    <definedName name="solver_itr" localSheetId="47" hidden="1">2147483647</definedName>
    <definedName name="solver_itr" localSheetId="21" hidden="1">2147483647</definedName>
    <definedName name="solver_itr" localSheetId="22" hidden="1">2147483647</definedName>
    <definedName name="solver_itr" localSheetId="43" hidden="1">2147483647</definedName>
    <definedName name="solver_itr" localSheetId="40" hidden="1">2147483647</definedName>
    <definedName name="solver_itr" localSheetId="42" hidden="1">2147483647</definedName>
    <definedName name="solver_itr" localSheetId="25" hidden="1">2147483647</definedName>
    <definedName name="solver_itr" localSheetId="53" hidden="1">2147483647</definedName>
    <definedName name="solver_itr" localSheetId="32" hidden="1">2147483647</definedName>
    <definedName name="solver_itr" localSheetId="11" hidden="1">2147483647</definedName>
    <definedName name="solver_itr" localSheetId="10" hidden="1">2147483647</definedName>
    <definedName name="solver_itr" localSheetId="24" hidden="1">2147483647</definedName>
    <definedName name="solver_itr" localSheetId="28" hidden="1">2147483647</definedName>
    <definedName name="solver_itr" localSheetId="44" hidden="1">2147483647</definedName>
    <definedName name="solver_itr" localSheetId="46" hidden="1">2147483647</definedName>
    <definedName name="solver_itr" localSheetId="31" hidden="1">2147483647</definedName>
    <definedName name="solver_itr" localSheetId="27" hidden="1">2147483647</definedName>
    <definedName name="solver_itr" localSheetId="48" hidden="1">2147483647</definedName>
    <definedName name="solver_itr" localSheetId="5" hidden="1">2147483647</definedName>
    <definedName name="solver_itr" localSheetId="49" hidden="1">2147483647</definedName>
    <definedName name="solver_itr" localSheetId="37" hidden="1">2147483647</definedName>
    <definedName name="solver_itr" localSheetId="18" hidden="1">2147483647</definedName>
    <definedName name="solver_itr" localSheetId="19" hidden="1">2147483647</definedName>
    <definedName name="solver_itr" localSheetId="17" hidden="1">2147483647</definedName>
    <definedName name="solver_itr" localSheetId="15" hidden="1">2147483647</definedName>
    <definedName name="solver_itr" localSheetId="54" hidden="1">2147483647</definedName>
    <definedName name="solver_itr" localSheetId="73" hidden="1">2147483647</definedName>
    <definedName name="solver_itr" localSheetId="67" hidden="1">2147483647</definedName>
    <definedName name="solver_itr" localSheetId="68" hidden="1">2147483647</definedName>
    <definedName name="solver_itr" localSheetId="69" hidden="1">2147483647</definedName>
    <definedName name="solver_itr" localSheetId="70" hidden="1">2147483647</definedName>
    <definedName name="solver_itr" localSheetId="71" hidden="1">2147483647</definedName>
    <definedName name="solver_itr" localSheetId="72" hidden="1">2147483647</definedName>
    <definedName name="solver_itr" localSheetId="66" hidden="1">2147483647</definedName>
    <definedName name="solver_itr" localSheetId="65" hidden="1">2147483647</definedName>
    <definedName name="solver_itr" localSheetId="61" hidden="1">2147483647</definedName>
    <definedName name="solver_itr" localSheetId="64" hidden="1">2147483647</definedName>
    <definedName name="solver_itr" localSheetId="62" hidden="1">2147483647</definedName>
    <definedName name="solver_itr" localSheetId="63" hidden="1">2147483647</definedName>
    <definedName name="solver_itr" localSheetId="60" hidden="1">2147483647</definedName>
    <definedName name="solver_itr" localSheetId="50" hidden="1">2147483647</definedName>
    <definedName name="solver_itr" localSheetId="6" hidden="1">2147483647</definedName>
    <definedName name="solver_itr" localSheetId="38" hidden="1">2147483647</definedName>
    <definedName name="solver_itr" localSheetId="39" hidden="1">2147483647</definedName>
    <definedName name="solver_itr" localSheetId="36" hidden="1">2147483647</definedName>
    <definedName name="solver_itr" localSheetId="2" hidden="1">999999999</definedName>
    <definedName name="solver_itr" localSheetId="51" hidden="1">2147483647</definedName>
    <definedName name="solver_itr" localSheetId="52" hidden="1">2147483647</definedName>
    <definedName name="solver_itr" localSheetId="58" hidden="1">2147483647</definedName>
    <definedName name="solver_itr" localSheetId="59" hidden="1">2147483647</definedName>
    <definedName name="solver_itr" localSheetId="4" hidden="1">2147483647</definedName>
    <definedName name="solver_itr" localSheetId="3" hidden="1">1E+25</definedName>
    <definedName name="solver_itr" localSheetId="33" hidden="1">2147483647</definedName>
    <definedName name="solver_itr" localSheetId="56" hidden="1">2147483647</definedName>
    <definedName name="solver_itr" localSheetId="9" hidden="1">2147483647</definedName>
    <definedName name="solver_itr" localSheetId="29" hidden="1">2147483647</definedName>
    <definedName name="solver_itr" localSheetId="45" hidden="1">2147483647</definedName>
    <definedName name="solver_itr" localSheetId="41" hidden="1">2147483647</definedName>
    <definedName name="solver_itr" localSheetId="57" hidden="1">999999999</definedName>
    <definedName name="solver_lhs1" localSheetId="75" hidden="1">AutoModel!$B$20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74" hidden="1">Highlighting!$G$7:$G$8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73" hidden="1">NOMADCallback!$D$6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75" hidden="1">AutoModel!$B$14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74" hidden="1">Highlighting!$G$10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73" hidden="1">NOMADCallback!$D$6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75" hidden="1">AutoModel!$B$17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74" hidden="1">Highlighting!$G$9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75" hidden="1">AutoModel!$D$33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75" hidden="1">AutoModel!$B$28:$D$28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74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73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75" hidden="1">5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74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73" hidden="1">2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74" hidden="1">1</definedName>
    <definedName name="solver_nwt" localSheetId="5" hidden="1">1</definedName>
    <definedName name="solver_nwt" localSheetId="73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75" hidden="1">AutoModel!$C$9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74" hidden="1">Highlighting!$G$5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73" hidden="1">NOMADCallback!$D$4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73" hidden="1">0.000001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75" hidden="1">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74" hidden="1">1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73" hidden="1">3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75" hidden="1">3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74" hidden="1">2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73" hidden="1">1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75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74" hidden="1">3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75" hidden="1">3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75" hidden="1">4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75" hidden="1">AutoModel!$D$20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74" hidden="1">Highlighting!$I$7:$I$8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73" hidden="1">-10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75" hidden="1">AutoModel!$D$14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74" hidden="1">Highlighting!$I$10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73" hidden="1">10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75" hidden="1">AutoModel!$D$17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74" hidden="1">Highlighting!$I$9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75" hidden="1">AutoModel!$D$35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75" hidden="1">integer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74" hidden="1">2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73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0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56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74" hidden="1">2</definedName>
    <definedName name="solver_scl" localSheetId="5" hidden="1">2</definedName>
    <definedName name="solver_scl" localSheetId="73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73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0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56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23" hidden="1">2147483647</definedName>
    <definedName name="solver_tim" localSheetId="35" hidden="1">2147483647</definedName>
    <definedName name="solver_tim" localSheetId="20" hidden="1">2147483647</definedName>
    <definedName name="solver_tim" localSheetId="34" hidden="1">2147483647</definedName>
    <definedName name="solver_tim" localSheetId="8" hidden="1">2147483647</definedName>
    <definedName name="solver_tim" localSheetId="7" hidden="1">2147483647</definedName>
    <definedName name="solver_tim" localSheetId="47" hidden="1">2147483647</definedName>
    <definedName name="solver_tim" localSheetId="21" hidden="1">2147483647</definedName>
    <definedName name="solver_tim" localSheetId="22" hidden="1">2147483647</definedName>
    <definedName name="solver_tim" localSheetId="43" hidden="1">2147483647</definedName>
    <definedName name="solver_tim" localSheetId="40" hidden="1">2147483647</definedName>
    <definedName name="solver_tim" localSheetId="42" hidden="1">2147483647</definedName>
    <definedName name="solver_tim" localSheetId="25" hidden="1">2147483647</definedName>
    <definedName name="solver_tim" localSheetId="53" hidden="1">2147483647</definedName>
    <definedName name="solver_tim" localSheetId="32" hidden="1">2147483647</definedName>
    <definedName name="solver_tim" localSheetId="11" hidden="1">2147483647</definedName>
    <definedName name="solver_tim" localSheetId="10" hidden="1">2147483647</definedName>
    <definedName name="solver_tim" localSheetId="24" hidden="1">2147483647</definedName>
    <definedName name="solver_tim" localSheetId="28" hidden="1">2147483647</definedName>
    <definedName name="solver_tim" localSheetId="44" hidden="1">2147483647</definedName>
    <definedName name="solver_tim" localSheetId="46" hidden="1">2147483647</definedName>
    <definedName name="solver_tim" localSheetId="31" hidden="1">2147483647</definedName>
    <definedName name="solver_tim" localSheetId="27" hidden="1">2147483647</definedName>
    <definedName name="solver_tim" localSheetId="48" hidden="1">2147483647</definedName>
    <definedName name="solver_tim" localSheetId="5" hidden="1">2147483647</definedName>
    <definedName name="solver_tim" localSheetId="49" hidden="1">2147483647</definedName>
    <definedName name="solver_tim" localSheetId="37" hidden="1">2147483647</definedName>
    <definedName name="solver_tim" localSheetId="18" hidden="1">2147483647</definedName>
    <definedName name="solver_tim" localSheetId="19" hidden="1">2147483647</definedName>
    <definedName name="solver_tim" localSheetId="17" hidden="1">2147483647</definedName>
    <definedName name="solver_tim" localSheetId="15" hidden="1">2147483647</definedName>
    <definedName name="solver_tim" localSheetId="54" hidden="1">2147483647</definedName>
    <definedName name="solver_tim" localSheetId="73" hidden="1">2147483647</definedName>
    <definedName name="solver_tim" localSheetId="67" hidden="1">2147483647</definedName>
    <definedName name="solver_tim" localSheetId="68" hidden="1">2147483647</definedName>
    <definedName name="solver_tim" localSheetId="69" hidden="1">2147483647</definedName>
    <definedName name="solver_tim" localSheetId="70" hidden="1">2147483647</definedName>
    <definedName name="solver_tim" localSheetId="71" hidden="1">2147483647</definedName>
    <definedName name="solver_tim" localSheetId="72" hidden="1">2147483647</definedName>
    <definedName name="solver_tim" localSheetId="66" hidden="1">2147483647</definedName>
    <definedName name="solver_tim" localSheetId="65" hidden="1">2147483647</definedName>
    <definedName name="solver_tim" localSheetId="61" hidden="1">2147483647</definedName>
    <definedName name="solver_tim" localSheetId="64" hidden="1">2147483647</definedName>
    <definedName name="solver_tim" localSheetId="62" hidden="1">2147483647</definedName>
    <definedName name="solver_tim" localSheetId="63" hidden="1">2147483647</definedName>
    <definedName name="solver_tim" localSheetId="60" hidden="1">2147483647</definedName>
    <definedName name="solver_tim" localSheetId="50" hidden="1">2147483647</definedName>
    <definedName name="solver_tim" localSheetId="6" hidden="1">2147483647</definedName>
    <definedName name="solver_tim" localSheetId="38" hidden="1">2147483647</definedName>
    <definedName name="solver_tim" localSheetId="39" hidden="1">2147483647</definedName>
    <definedName name="solver_tim" localSheetId="36" hidden="1">2147483647</definedName>
    <definedName name="solver_tim" localSheetId="2" hidden="1">1E+25</definedName>
    <definedName name="solver_tim" localSheetId="51" hidden="1">2147483647</definedName>
    <definedName name="solver_tim" localSheetId="52" hidden="1">2147483647</definedName>
    <definedName name="solver_tim" localSheetId="58" hidden="1">2147483647</definedName>
    <definedName name="solver_tim" localSheetId="59" hidden="1">2147483647</definedName>
    <definedName name="solver_tim" localSheetId="4" hidden="1">2147483647</definedName>
    <definedName name="solver_tim" localSheetId="3" hidden="1">1E+25</definedName>
    <definedName name="solver_tim" localSheetId="33" hidden="1">2147483647</definedName>
    <definedName name="solver_tim" localSheetId="56" hidden="1">2147483647</definedName>
    <definedName name="solver_tim" localSheetId="9" hidden="1">2147483647</definedName>
    <definedName name="solver_tim" localSheetId="29" hidden="1">2147483647</definedName>
    <definedName name="solver_tim" localSheetId="45" hidden="1">2147483647</definedName>
    <definedName name="solver_tim" localSheetId="41" hidden="1">2147483647</definedName>
    <definedName name="solver_tim" localSheetId="57" hidden="1">2147483647</definedName>
    <definedName name="solver_tol" localSheetId="23" hidden="1">0.05</definedName>
    <definedName name="solver_tol" localSheetId="35" hidden="1">0.05</definedName>
    <definedName name="solver_tol" localSheetId="20" hidden="1">0.05</definedName>
    <definedName name="solver_tol" localSheetId="34" hidden="1">0.05</definedName>
    <definedName name="solver_tol" localSheetId="8" hidden="1">0.05</definedName>
    <definedName name="solver_tol" localSheetId="7" hidden="1">0.05</definedName>
    <definedName name="solver_tol" localSheetId="47" hidden="1">0.05</definedName>
    <definedName name="solver_tol" localSheetId="21" hidden="1">0.05</definedName>
    <definedName name="solver_tol" localSheetId="22" hidden="1">0.05</definedName>
    <definedName name="solver_tol" localSheetId="43" hidden="1">0.05</definedName>
    <definedName name="solver_tol" localSheetId="40" hidden="1">0.05</definedName>
    <definedName name="solver_tol" localSheetId="42" hidden="1">0.05</definedName>
    <definedName name="solver_tol" localSheetId="25" hidden="1">0.05</definedName>
    <definedName name="solver_tol" localSheetId="53" hidden="1">0.05</definedName>
    <definedName name="solver_tol" localSheetId="32" hidden="1">0.05</definedName>
    <definedName name="solver_tol" localSheetId="11" hidden="1">0.05</definedName>
    <definedName name="solver_tol" localSheetId="10" hidden="1">0.05</definedName>
    <definedName name="solver_tol" localSheetId="24" hidden="1">0.05</definedName>
    <definedName name="solver_tol" localSheetId="28" hidden="1">0.05</definedName>
    <definedName name="solver_tol" localSheetId="44" hidden="1">0.05</definedName>
    <definedName name="solver_tol" localSheetId="46" hidden="1">0.05</definedName>
    <definedName name="solver_tol" localSheetId="31" hidden="1">0.05</definedName>
    <definedName name="solver_tol" localSheetId="27" hidden="1">0.05</definedName>
    <definedName name="solver_tol" localSheetId="48" hidden="1">0.05</definedName>
    <definedName name="solver_tol" localSheetId="5" hidden="1">0.05</definedName>
    <definedName name="solver_tol" localSheetId="49" hidden="1">0.05</definedName>
    <definedName name="solver_tol" localSheetId="37" hidden="1">0.05</definedName>
    <definedName name="solver_tol" localSheetId="18" hidden="1">0.05</definedName>
    <definedName name="solver_tol" localSheetId="19" hidden="1">0.05</definedName>
    <definedName name="solver_tol" localSheetId="17" hidden="1">0.05</definedName>
    <definedName name="solver_tol" localSheetId="15" hidden="1">0.05</definedName>
    <definedName name="solver_tol" localSheetId="54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0" hidden="1">0.05</definedName>
    <definedName name="solver_tol" localSheetId="6" hidden="1">0.05</definedName>
    <definedName name="solver_tol" localSheetId="38" hidden="1">0.05</definedName>
    <definedName name="solver_tol" localSheetId="39" hidden="1">0.05</definedName>
    <definedName name="solver_tol" localSheetId="36" hidden="1">0.05</definedName>
    <definedName name="solver_tol" localSheetId="2" hidden="1">0.05</definedName>
    <definedName name="solver_tol" localSheetId="51" hidden="1">0.05</definedName>
    <definedName name="solver_tol" localSheetId="52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3" hidden="1">0.05</definedName>
    <definedName name="solver_tol" localSheetId="56" hidden="1">0.05</definedName>
    <definedName name="solver_tol" localSheetId="9" hidden="1">0.05</definedName>
    <definedName name="solver_tol" localSheetId="29" hidden="1">0.05</definedName>
    <definedName name="solver_tol" localSheetId="45" hidden="1">0.05</definedName>
    <definedName name="solver_tol" localSheetId="41" hidden="1">0.05</definedName>
    <definedName name="solver_tol" localSheetId="57" hidden="1">0</definedName>
    <definedName name="solver_typ" localSheetId="75" hidden="1">2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74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73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56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74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73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56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3" i="60" l="1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8" i="1" l="1"/>
  <c r="H9" i="1"/>
  <c r="D5" i="156"/>
  <c r="A6" i="156" s="1"/>
  <c r="A10" i="156"/>
  <c r="A9" i="156"/>
  <c r="N10" i="10"/>
  <c r="A8" i="10"/>
  <c r="A9" i="10" s="1"/>
  <c r="I18" i="10"/>
  <c r="D18" i="10"/>
  <c r="E18" i="10"/>
  <c r="F18" i="10"/>
  <c r="H7" i="10"/>
  <c r="D22" i="10" s="1"/>
  <c r="I16" i="77"/>
  <c r="C25" i="155"/>
  <c r="A10" i="155"/>
  <c r="A9" i="155"/>
  <c r="UF4" i="155"/>
  <c r="UF2" i="155"/>
  <c r="C11" i="155" s="1"/>
  <c r="C13" i="155" s="1"/>
  <c r="A6" i="155" s="1"/>
  <c r="E7" i="68"/>
  <c r="F13" i="144"/>
  <c r="E13" i="144"/>
  <c r="D13" i="144"/>
  <c r="A10" i="144"/>
  <c r="G9" i="144"/>
  <c r="A9" i="144"/>
  <c r="G8" i="144"/>
  <c r="G7" i="144"/>
  <c r="G6" i="144"/>
  <c r="G4" i="144"/>
  <c r="G13" i="144" s="1"/>
  <c r="D10" i="135"/>
  <c r="E10" i="135"/>
  <c r="D21" i="135" s="1"/>
  <c r="F17" i="135"/>
  <c r="E17" i="135"/>
  <c r="D17" i="135"/>
  <c r="A10" i="135"/>
  <c r="A9" i="135"/>
  <c r="H6" i="28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 s="1"/>
  <c r="AC8" i="114"/>
  <c r="H6" i="18"/>
  <c r="AC9" i="114" s="1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 s="1"/>
  <c r="V6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 s="1"/>
  <c r="H12" i="36"/>
  <c r="O7" i="114" s="1"/>
  <c r="O8" i="114"/>
  <c r="H7" i="36"/>
  <c r="O9" i="114" s="1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 s="1"/>
  <c r="H12" i="30"/>
  <c r="M7" i="114"/>
  <c r="M8" i="114"/>
  <c r="H7" i="30"/>
  <c r="M9" i="114" s="1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 s="1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C12" i="114" s="1"/>
  <c r="S4" i="9"/>
  <c r="I7" i="9" s="1"/>
  <c r="D20" i="77"/>
  <c r="D24" i="77" s="1"/>
  <c r="A6" i="77" s="1"/>
  <c r="C12" i="88"/>
  <c r="E12" i="88" s="1"/>
  <c r="F12" i="88" s="1"/>
  <c r="D12" i="88"/>
  <c r="C13" i="88"/>
  <c r="E13" i="88" s="1"/>
  <c r="F13" i="88" s="1"/>
  <c r="J2" i="87"/>
  <c r="J3" i="87"/>
  <c r="J6" i="87"/>
  <c r="J4" i="87"/>
  <c r="J5" i="87"/>
  <c r="P3" i="75"/>
  <c r="D34" i="75"/>
  <c r="E34" i="75"/>
  <c r="F34" i="75" s="1"/>
  <c r="P4" i="75"/>
  <c r="F4" i="68"/>
  <c r="BM9" i="114" s="1"/>
  <c r="I39" i="3"/>
  <c r="K37" i="3" s="1"/>
  <c r="A6" i="3" s="1"/>
  <c r="C6" i="95"/>
  <c r="D21" i="95" s="1"/>
  <c r="I6" i="71"/>
  <c r="BJ9" i="114" s="1"/>
  <c r="G6" i="70"/>
  <c r="BI10" i="114" s="1"/>
  <c r="F6" i="69"/>
  <c r="F22" i="69" s="1"/>
  <c r="A6" i="69" s="1"/>
  <c r="H5" i="19"/>
  <c r="BG11" i="114" s="1"/>
  <c r="H5" i="38"/>
  <c r="L3" i="38" s="1"/>
  <c r="H5" i="20"/>
  <c r="BE11" i="114" s="1"/>
  <c r="G6" i="65"/>
  <c r="BC15" i="114" s="1"/>
  <c r="H15" i="2"/>
  <c r="H24" i="2" s="1"/>
  <c r="H6" i="4"/>
  <c r="BA11" i="114" s="1"/>
  <c r="I6" i="66"/>
  <c r="I16" i="66" s="1"/>
  <c r="G17" i="92"/>
  <c r="AY12" i="114" s="1"/>
  <c r="G4" i="92"/>
  <c r="G13" i="92" s="1"/>
  <c r="H7" i="57"/>
  <c r="D22" i="57" s="1"/>
  <c r="H7" i="11"/>
  <c r="AU13" i="114" s="1"/>
  <c r="S3" i="7"/>
  <c r="I6" i="7" s="1"/>
  <c r="G4" i="90"/>
  <c r="AS12" i="114" s="1"/>
  <c r="H9" i="54"/>
  <c r="AR11" i="114" s="1"/>
  <c r="H9" i="53"/>
  <c r="AQ11" i="114" s="1"/>
  <c r="H9" i="52"/>
  <c r="AP11" i="114" s="1"/>
  <c r="H9" i="51"/>
  <c r="AO10" i="114" s="1"/>
  <c r="H9" i="50"/>
  <c r="D23" i="50" s="1"/>
  <c r="H8" i="49"/>
  <c r="D22" i="49" s="1"/>
  <c r="H10" i="48"/>
  <c r="D24" i="48" s="1"/>
  <c r="H10" i="47"/>
  <c r="AK11" i="114" s="1"/>
  <c r="H10" i="46"/>
  <c r="D24" i="46" s="1"/>
  <c r="H9" i="98"/>
  <c r="AI13" i="114" s="1"/>
  <c r="H9" i="45"/>
  <c r="AH13" i="114" s="1"/>
  <c r="H9" i="44"/>
  <c r="AG12" i="114" s="1"/>
  <c r="H8" i="43"/>
  <c r="D22" i="43" s="1"/>
  <c r="H8" i="42"/>
  <c r="D22" i="42" s="1"/>
  <c r="H8" i="23"/>
  <c r="D23" i="23" s="1"/>
  <c r="H6" i="111"/>
  <c r="AB12" i="114" s="1"/>
  <c r="J6" i="41"/>
  <c r="D21" i="41" s="1"/>
  <c r="J6" i="14"/>
  <c r="Z11" i="114" s="1"/>
  <c r="H7" i="12"/>
  <c r="X12" i="114" s="1"/>
  <c r="H6" i="94"/>
  <c r="D21" i="94" s="1"/>
  <c r="S4" i="8"/>
  <c r="I7" i="8" s="1"/>
  <c r="D22" i="8" s="1"/>
  <c r="I6" i="6"/>
  <c r="D21" i="6" s="1"/>
  <c r="H7" i="35"/>
  <c r="R11" i="114" s="1"/>
  <c r="H7" i="34"/>
  <c r="Q12" i="114" s="1"/>
  <c r="H7" i="33"/>
  <c r="D22" i="33" s="1"/>
  <c r="H7" i="31"/>
  <c r="N12" i="114" s="1"/>
  <c r="H6" i="27"/>
  <c r="D21" i="27" s="1"/>
  <c r="H6" i="26"/>
  <c r="I11" i="114" s="1"/>
  <c r="H6" i="25"/>
  <c r="H11" i="114" s="1"/>
  <c r="H6" i="32"/>
  <c r="D21" i="32" s="1"/>
  <c r="H6" i="24"/>
  <c r="F12" i="114" s="1"/>
  <c r="H6" i="22"/>
  <c r="D21" i="22" s="1"/>
  <c r="E10" i="113"/>
  <c r="D21" i="113" s="1"/>
  <c r="D8" i="85"/>
  <c r="D13" i="85"/>
  <c r="D12" i="85"/>
  <c r="D14" i="85" s="1"/>
  <c r="D17" i="113"/>
  <c r="E17" i="113"/>
  <c r="F17" i="113"/>
  <c r="D17" i="22"/>
  <c r="E17" i="22"/>
  <c r="F17" i="22"/>
  <c r="D17" i="1"/>
  <c r="E17" i="1"/>
  <c r="F17" i="1"/>
  <c r="A10" i="113"/>
  <c r="D10" i="113"/>
  <c r="D7" i="114" s="1"/>
  <c r="A9" i="113"/>
  <c r="F13" i="112"/>
  <c r="E13" i="112"/>
  <c r="D13" i="112"/>
  <c r="A10" i="112"/>
  <c r="G9" i="112"/>
  <c r="AY9" i="114" s="1"/>
  <c r="A9" i="112"/>
  <c r="G8" i="112"/>
  <c r="G7" i="112"/>
  <c r="AY8" i="114" s="1"/>
  <c r="G6" i="112"/>
  <c r="AY7" i="114" s="1"/>
  <c r="A6" i="111"/>
  <c r="H11" i="111"/>
  <c r="AB9" i="114" s="1"/>
  <c r="H10" i="111"/>
  <c r="AB8" i="114" s="1"/>
  <c r="A10" i="111"/>
  <c r="H9" i="111"/>
  <c r="A9" i="111"/>
  <c r="H8" i="111"/>
  <c r="B36" i="75"/>
  <c r="B37" i="75"/>
  <c r="B38" i="75" s="1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 s="1"/>
  <c r="H10" i="94"/>
  <c r="W8" i="114" s="1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 s="1"/>
  <c r="G6" i="92"/>
  <c r="AX8" i="114" s="1"/>
  <c r="F13" i="90"/>
  <c r="E13" i="90"/>
  <c r="D13" i="90"/>
  <c r="A10" i="90"/>
  <c r="G9" i="90"/>
  <c r="AS9" i="114" s="1"/>
  <c r="A9" i="90"/>
  <c r="G8" i="90"/>
  <c r="G7" i="90"/>
  <c r="AS8" i="114" s="1"/>
  <c r="G6" i="90"/>
  <c r="AS7" i="114" s="1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 s="1"/>
  <c r="I7" i="71"/>
  <c r="E12" i="70"/>
  <c r="D12" i="70"/>
  <c r="A10" i="70"/>
  <c r="A9" i="70"/>
  <c r="G8" i="70"/>
  <c r="BI6" i="114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 s="1"/>
  <c r="H16" i="66"/>
  <c r="G16" i="66"/>
  <c r="F16" i="66"/>
  <c r="E16" i="66"/>
  <c r="D16" i="66"/>
  <c r="I12" i="66"/>
  <c r="AZ10" i="114" s="1"/>
  <c r="I11" i="66"/>
  <c r="I10" i="66"/>
  <c r="A10" i="66"/>
  <c r="I9" i="66"/>
  <c r="AZ8" i="114" s="1"/>
  <c r="A9" i="66"/>
  <c r="I8" i="66"/>
  <c r="AZ7" i="114" s="1"/>
  <c r="F15" i="65"/>
  <c r="E15" i="65"/>
  <c r="D15" i="65"/>
  <c r="G11" i="65"/>
  <c r="BC11" i="114" s="1"/>
  <c r="C11" i="65"/>
  <c r="G10" i="65"/>
  <c r="A10" i="65"/>
  <c r="G9" i="65"/>
  <c r="BC10" i="114" s="1"/>
  <c r="A9" i="65"/>
  <c r="G8" i="65"/>
  <c r="BC9" i="114" s="1"/>
  <c r="F24" i="2"/>
  <c r="E24" i="2"/>
  <c r="D24" i="2"/>
  <c r="H20" i="2"/>
  <c r="BB10" i="114" s="1"/>
  <c r="H19" i="2"/>
  <c r="BB9" i="114" s="1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 s="1"/>
  <c r="H12" i="59"/>
  <c r="AW9" i="114" s="1"/>
  <c r="H11" i="59"/>
  <c r="AW8" i="114" s="1"/>
  <c r="H10" i="59"/>
  <c r="A10" i="59"/>
  <c r="H9" i="59"/>
  <c r="A9" i="59"/>
  <c r="F18" i="57"/>
  <c r="E18" i="57"/>
  <c r="D18" i="57"/>
  <c r="H12" i="57"/>
  <c r="AV9" i="114" s="1"/>
  <c r="H11" i="57"/>
  <c r="AV8" i="114" s="1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 s="1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 s="1"/>
  <c r="H12" i="23"/>
  <c r="AD8" i="114" s="1"/>
  <c r="H11" i="23"/>
  <c r="H10" i="23"/>
  <c r="A10" i="23"/>
  <c r="A9" i="23"/>
  <c r="H139" i="38"/>
  <c r="BF109" i="114" s="1"/>
  <c r="H138" i="38"/>
  <c r="H137" i="38"/>
  <c r="H136" i="38"/>
  <c r="H135" i="38"/>
  <c r="BF135" i="114" s="1"/>
  <c r="H134" i="38"/>
  <c r="H133" i="38"/>
  <c r="H132" i="38"/>
  <c r="H131" i="38"/>
  <c r="H130" i="38"/>
  <c r="H129" i="38"/>
  <c r="H128" i="38"/>
  <c r="BF128" i="114" s="1"/>
  <c r="H127" i="38"/>
  <c r="H126" i="38"/>
  <c r="H125" i="38"/>
  <c r="H124" i="38"/>
  <c r="H123" i="38"/>
  <c r="H122" i="38"/>
  <c r="BF122" i="114" s="1"/>
  <c r="H121" i="38"/>
  <c r="H120" i="38"/>
  <c r="H119" i="38"/>
  <c r="H118" i="38"/>
  <c r="H117" i="38"/>
  <c r="H116" i="38"/>
  <c r="H115" i="38"/>
  <c r="H114" i="38"/>
  <c r="BF114" i="114" s="1"/>
  <c r="H113" i="38"/>
  <c r="H112" i="38"/>
  <c r="H111" i="38"/>
  <c r="H110" i="38"/>
  <c r="H109" i="38"/>
  <c r="H108" i="38"/>
  <c r="BF108" i="114" s="1"/>
  <c r="H107" i="38"/>
  <c r="H106" i="38"/>
  <c r="H105" i="38"/>
  <c r="H104" i="38"/>
  <c r="H103" i="38"/>
  <c r="H102" i="38"/>
  <c r="H101" i="38"/>
  <c r="BF101" i="114" s="1"/>
  <c r="H100" i="38"/>
  <c r="H99" i="38"/>
  <c r="H98" i="38"/>
  <c r="H97" i="38"/>
  <c r="H96" i="38"/>
  <c r="H95" i="38"/>
  <c r="H94" i="38"/>
  <c r="BF94" i="114" s="1"/>
  <c r="H93" i="38"/>
  <c r="H92" i="38"/>
  <c r="H91" i="38"/>
  <c r="H90" i="38"/>
  <c r="H89" i="38"/>
  <c r="H88" i="38"/>
  <c r="BF88" i="114" s="1"/>
  <c r="H87" i="38"/>
  <c r="H86" i="38"/>
  <c r="H85" i="38"/>
  <c r="H84" i="38"/>
  <c r="BF84" i="114" s="1"/>
  <c r="H83" i="38"/>
  <c r="H82" i="38"/>
  <c r="H81" i="38"/>
  <c r="BF81" i="114" s="1"/>
  <c r="H80" i="38"/>
  <c r="H79" i="38"/>
  <c r="H78" i="38"/>
  <c r="H77" i="38"/>
  <c r="H76" i="38"/>
  <c r="H75" i="38"/>
  <c r="BF75" i="114" s="1"/>
  <c r="H74" i="38"/>
  <c r="BF93" i="114" s="1"/>
  <c r="H73" i="38"/>
  <c r="BF13" i="114" s="1"/>
  <c r="H72" i="38"/>
  <c r="H71" i="38"/>
  <c r="BF71" i="114" s="1"/>
  <c r="H70" i="38"/>
  <c r="H69" i="38"/>
  <c r="H68" i="38"/>
  <c r="H67" i="38"/>
  <c r="H66" i="38"/>
  <c r="H65" i="38"/>
  <c r="BF65" i="114" s="1"/>
  <c r="H64" i="38"/>
  <c r="H63" i="38"/>
  <c r="H62" i="38"/>
  <c r="H61" i="38"/>
  <c r="H60" i="38"/>
  <c r="H59" i="38"/>
  <c r="H58" i="38"/>
  <c r="BF58" i="114" s="1"/>
  <c r="H57" i="38"/>
  <c r="H56" i="38"/>
  <c r="H55" i="38"/>
  <c r="H54" i="38"/>
  <c r="H53" i="38"/>
  <c r="H52" i="38"/>
  <c r="BF52" i="114" s="1"/>
  <c r="H51" i="38"/>
  <c r="BF51" i="114" s="1"/>
  <c r="H50" i="38"/>
  <c r="H49" i="38"/>
  <c r="H48" i="38"/>
  <c r="H47" i="38"/>
  <c r="H46" i="38"/>
  <c r="H45" i="38"/>
  <c r="BF45" i="114" s="1"/>
  <c r="H44" i="38"/>
  <c r="H43" i="38"/>
  <c r="H42" i="38"/>
  <c r="H41" i="38"/>
  <c r="H40" i="38"/>
  <c r="H39" i="38"/>
  <c r="H38" i="38"/>
  <c r="BF38" i="114" s="1"/>
  <c r="H37" i="38"/>
  <c r="H36" i="38"/>
  <c r="H35" i="38"/>
  <c r="H34" i="38"/>
  <c r="H33" i="38"/>
  <c r="H32" i="38"/>
  <c r="BF32" i="114" s="1"/>
  <c r="H31" i="38"/>
  <c r="H30" i="38"/>
  <c r="H29" i="38"/>
  <c r="H28" i="38"/>
  <c r="H27" i="38"/>
  <c r="H26" i="38"/>
  <c r="H25" i="38"/>
  <c r="BF25" i="114" s="1"/>
  <c r="H24" i="38"/>
  <c r="H23" i="38"/>
  <c r="H22" i="38"/>
  <c r="H21" i="38"/>
  <c r="H20" i="38"/>
  <c r="H19" i="38"/>
  <c r="BF19" i="114" s="1"/>
  <c r="H18" i="38"/>
  <c r="H17" i="38"/>
  <c r="H16" i="38"/>
  <c r="H15" i="38"/>
  <c r="H14" i="38"/>
  <c r="H13" i="38"/>
  <c r="H12" i="38"/>
  <c r="BF12" i="114" s="1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 s="1"/>
  <c r="A10" i="20"/>
  <c r="H9" i="20"/>
  <c r="BE7" i="114" s="1"/>
  <c r="A9" i="20"/>
  <c r="H8" i="20"/>
  <c r="H7" i="20"/>
  <c r="F16" i="19"/>
  <c r="E16" i="19"/>
  <c r="D16" i="19"/>
  <c r="H10" i="19"/>
  <c r="BG8" i="114" s="1"/>
  <c r="A10" i="19"/>
  <c r="H9" i="19"/>
  <c r="BG7" i="114" s="1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 s="1"/>
  <c r="J10" i="41"/>
  <c r="AA8" i="114" s="1"/>
  <c r="A10" i="41"/>
  <c r="J9" i="41"/>
  <c r="A9" i="41"/>
  <c r="J8" i="41"/>
  <c r="J11" i="14"/>
  <c r="Z8" i="114" s="1"/>
  <c r="J10" i="14"/>
  <c r="Z7" i="114" s="1"/>
  <c r="A10" i="14"/>
  <c r="J9" i="14"/>
  <c r="A9" i="14"/>
  <c r="J8" i="14"/>
  <c r="H12" i="55"/>
  <c r="Y7" i="114" s="1"/>
  <c r="H11" i="55"/>
  <c r="Y6" i="114" s="1"/>
  <c r="H10" i="55"/>
  <c r="A10" i="55"/>
  <c r="H9" i="55"/>
  <c r="A9" i="55"/>
  <c r="H12" i="12"/>
  <c r="X8" i="114" s="1"/>
  <c r="H11" i="12"/>
  <c r="X7" i="114" s="1"/>
  <c r="H10" i="12"/>
  <c r="A10" i="12"/>
  <c r="H9" i="12"/>
  <c r="A9" i="12"/>
  <c r="H12" i="11"/>
  <c r="AU9" i="114" s="1"/>
  <c r="H11" i="11"/>
  <c r="AU8" i="114" s="1"/>
  <c r="H10" i="11"/>
  <c r="A10" i="11"/>
  <c r="H9" i="11"/>
  <c r="A9" i="11"/>
  <c r="H11" i="10"/>
  <c r="H10" i="10"/>
  <c r="A10" i="10"/>
  <c r="H9" i="10"/>
  <c r="W18" i="9"/>
  <c r="V18" i="9"/>
  <c r="O18" i="9"/>
  <c r="G18" i="9"/>
  <c r="F18" i="9"/>
  <c r="E18" i="9"/>
  <c r="D18" i="9"/>
  <c r="W17" i="9"/>
  <c r="V17" i="9"/>
  <c r="O17" i="9"/>
  <c r="I12" i="9"/>
  <c r="U8" i="114" s="1"/>
  <c r="N11" i="9"/>
  <c r="U28" i="114" s="1"/>
  <c r="I10" i="9"/>
  <c r="U13" i="114" s="1"/>
  <c r="A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T9" i="114" s="1"/>
  <c r="I11" i="8"/>
  <c r="T33" i="114" s="1"/>
  <c r="I10" i="8"/>
  <c r="T14" i="114" s="1"/>
  <c r="A10" i="8"/>
  <c r="I9" i="8"/>
  <c r="A9" i="8"/>
  <c r="R6" i="8"/>
  <c r="Q6" i="8"/>
  <c r="S5" i="8"/>
  <c r="K9" i="8" s="1"/>
  <c r="N37" i="7"/>
  <c r="N38" i="7" s="1"/>
  <c r="L38" i="7" s="1"/>
  <c r="L30" i="7"/>
  <c r="L33" i="7" s="1"/>
  <c r="L34" i="7" s="1"/>
  <c r="L35" i="7" s="1"/>
  <c r="L36" i="7" s="1"/>
  <c r="K33" i="7"/>
  <c r="K34" i="7" s="1"/>
  <c r="K35" i="7" s="1"/>
  <c r="W17" i="7"/>
  <c r="V17" i="7"/>
  <c r="O17" i="7"/>
  <c r="G17" i="7"/>
  <c r="F17" i="7"/>
  <c r="E17" i="7"/>
  <c r="D17" i="7"/>
  <c r="W16" i="7"/>
  <c r="V16" i="7"/>
  <c r="O16" i="7"/>
  <c r="I11" i="7"/>
  <c r="AT9" i="114" s="1"/>
  <c r="I10" i="7"/>
  <c r="AT8" i="114" s="1"/>
  <c r="A10" i="7"/>
  <c r="I9" i="7"/>
  <c r="A9" i="7"/>
  <c r="I8" i="7"/>
  <c r="R5" i="7"/>
  <c r="Q5" i="7"/>
  <c r="S4" i="7"/>
  <c r="K8" i="7" s="1"/>
  <c r="G17" i="6"/>
  <c r="F17" i="6"/>
  <c r="E17" i="6"/>
  <c r="D17" i="6"/>
  <c r="I11" i="6"/>
  <c r="S9" i="114" s="1"/>
  <c r="I10" i="6"/>
  <c r="S8" i="114" s="1"/>
  <c r="A10" i="6"/>
  <c r="I9" i="6"/>
  <c r="A9" i="6"/>
  <c r="I8" i="6"/>
  <c r="F18" i="35"/>
  <c r="E18" i="35"/>
  <c r="D18" i="35"/>
  <c r="H12" i="35"/>
  <c r="R8" i="114" s="1"/>
  <c r="A10" i="35"/>
  <c r="H9" i="35"/>
  <c r="A9" i="35"/>
  <c r="F18" i="34"/>
  <c r="E18" i="34"/>
  <c r="D18" i="34"/>
  <c r="H12" i="34"/>
  <c r="Q9" i="114" s="1"/>
  <c r="H11" i="34"/>
  <c r="Q8" i="114" s="1"/>
  <c r="G10" i="34"/>
  <c r="A10" i="34"/>
  <c r="H9" i="34"/>
  <c r="A9" i="34"/>
  <c r="F18" i="33"/>
  <c r="E18" i="33"/>
  <c r="D18" i="33"/>
  <c r="H12" i="33"/>
  <c r="P9" i="114" s="1"/>
  <c r="H11" i="33"/>
  <c r="P8" i="114" s="1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 s="1"/>
  <c r="H11" i="31"/>
  <c r="N8" i="114" s="1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 s="1"/>
  <c r="H10" i="29"/>
  <c r="L6" i="114" s="1"/>
  <c r="A10" i="29"/>
  <c r="H9" i="29"/>
  <c r="A9" i="29"/>
  <c r="H8" i="29"/>
  <c r="F17" i="28"/>
  <c r="E17" i="28"/>
  <c r="D17" i="28"/>
  <c r="H11" i="28"/>
  <c r="K7" i="114" s="1"/>
  <c r="H10" i="28"/>
  <c r="K6" i="114" s="1"/>
  <c r="A10" i="28"/>
  <c r="H9" i="28"/>
  <c r="A9" i="28"/>
  <c r="H8" i="28"/>
  <c r="D21" i="28"/>
  <c r="F17" i="27"/>
  <c r="E17" i="27"/>
  <c r="D17" i="27"/>
  <c r="H11" i="27"/>
  <c r="J8" i="114" s="1"/>
  <c r="A10" i="27"/>
  <c r="H9" i="27"/>
  <c r="A9" i="27"/>
  <c r="H8" i="27"/>
  <c r="F17" i="26"/>
  <c r="E17" i="26"/>
  <c r="D17" i="26"/>
  <c r="H11" i="26"/>
  <c r="I8" i="114" s="1"/>
  <c r="H10" i="26"/>
  <c r="I7" i="114" s="1"/>
  <c r="A10" i="26"/>
  <c r="H9" i="26"/>
  <c r="A9" i="26"/>
  <c r="H8" i="26"/>
  <c r="F17" i="25"/>
  <c r="E17" i="25"/>
  <c r="D17" i="25"/>
  <c r="H11" i="25"/>
  <c r="H8" i="114" s="1"/>
  <c r="H10" i="25"/>
  <c r="H7" i="114" s="1"/>
  <c r="A10" i="25"/>
  <c r="H9" i="25"/>
  <c r="A9" i="25"/>
  <c r="H8" i="25"/>
  <c r="F17" i="32"/>
  <c r="E17" i="32"/>
  <c r="D17" i="32"/>
  <c r="H11" i="32"/>
  <c r="G9" i="114" s="1"/>
  <c r="A10" i="32"/>
  <c r="H9" i="32"/>
  <c r="A9" i="32"/>
  <c r="H8" i="32"/>
  <c r="A6" i="32"/>
  <c r="F17" i="24"/>
  <c r="E17" i="24"/>
  <c r="D17" i="24"/>
  <c r="H11" i="24"/>
  <c r="F9" i="114" s="1"/>
  <c r="H10" i="24"/>
  <c r="F8" i="114" s="1"/>
  <c r="A10" i="24"/>
  <c r="H9" i="24"/>
  <c r="A9" i="24"/>
  <c r="H8" i="24"/>
  <c r="A6" i="24"/>
  <c r="H11" i="22"/>
  <c r="E9" i="114" s="1"/>
  <c r="H10" i="22"/>
  <c r="E8" i="114" s="1"/>
  <c r="A10" i="22"/>
  <c r="H9" i="22"/>
  <c r="A9" i="22"/>
  <c r="H8" i="22"/>
  <c r="H11" i="1"/>
  <c r="C9" i="114" s="1"/>
  <c r="H10" i="1"/>
  <c r="C8" i="114" s="1"/>
  <c r="A10" i="1"/>
  <c r="A9" i="1"/>
  <c r="F11" i="68"/>
  <c r="J11" i="114"/>
  <c r="D21" i="26"/>
  <c r="E36" i="75"/>
  <c r="F35" i="75"/>
  <c r="S13" i="75"/>
  <c r="BN10" i="114" s="1"/>
  <c r="D35" i="75"/>
  <c r="F37" i="75"/>
  <c r="C36" i="75"/>
  <c r="D37" i="75"/>
  <c r="E35" i="75"/>
  <c r="F36" i="75"/>
  <c r="C37" i="75"/>
  <c r="D36" i="75"/>
  <c r="E37" i="75"/>
  <c r="I16" i="71" l="1"/>
  <c r="A6" i="71" s="1"/>
  <c r="G13" i="90"/>
  <c r="A6" i="90" s="1"/>
  <c r="D23" i="53"/>
  <c r="A6" i="53" s="1"/>
  <c r="D23" i="52"/>
  <c r="A6" i="52" s="1"/>
  <c r="D24" i="47"/>
  <c r="A6" i="47" s="1"/>
  <c r="D23" i="45"/>
  <c r="A6" i="45" s="1"/>
  <c r="D21" i="25"/>
  <c r="D16" i="85"/>
  <c r="BO4" i="114" s="1"/>
  <c r="BL13" i="114"/>
  <c r="G12" i="70"/>
  <c r="A6" i="70" s="1"/>
  <c r="BH11" i="114"/>
  <c r="BF16" i="114"/>
  <c r="BF415" i="114"/>
  <c r="BF448" i="114"/>
  <c r="BF82" i="114"/>
  <c r="BF102" i="114"/>
  <c r="BF156" i="114"/>
  <c r="BF535" i="114"/>
  <c r="BF502" i="114"/>
  <c r="BF349" i="114"/>
  <c r="BF329" i="114"/>
  <c r="BF335" i="114"/>
  <c r="BF189" i="114"/>
  <c r="BF482" i="114"/>
  <c r="BF256" i="114"/>
  <c r="BF302" i="114"/>
  <c r="BF143" i="114"/>
  <c r="BF282" i="114"/>
  <c r="BF169" i="114"/>
  <c r="BF529" i="114"/>
  <c r="BF343" i="114"/>
  <c r="BF95" i="114"/>
  <c r="BF296" i="114"/>
  <c r="BF63" i="114"/>
  <c r="BF509" i="114"/>
  <c r="BF215" i="114"/>
  <c r="BF456" i="114"/>
  <c r="BF548" i="114"/>
  <c r="BF295" i="114"/>
  <c r="BF582" i="114"/>
  <c r="BF402" i="114"/>
  <c r="BF202" i="114"/>
  <c r="BF23" i="114"/>
  <c r="BF429" i="114"/>
  <c r="BF269" i="114"/>
  <c r="BF89" i="114"/>
  <c r="BF435" i="114"/>
  <c r="BF428" i="114"/>
  <c r="BF562" i="114"/>
  <c r="BF589" i="114"/>
  <c r="BF69" i="114"/>
  <c r="BF563" i="114"/>
  <c r="BF163" i="114"/>
  <c r="BF263" i="114"/>
  <c r="BF182" i="114"/>
  <c r="BF249" i="114"/>
  <c r="BF196" i="114"/>
  <c r="BF96" i="114"/>
  <c r="BF495" i="114"/>
  <c r="BF542" i="114"/>
  <c r="BF362" i="114"/>
  <c r="BF162" i="114"/>
  <c r="BF569" i="114"/>
  <c r="BF389" i="114"/>
  <c r="BF229" i="114"/>
  <c r="BF49" i="114"/>
  <c r="BF596" i="114"/>
  <c r="BF576" i="114"/>
  <c r="BF515" i="114"/>
  <c r="BF382" i="114"/>
  <c r="BF409" i="114"/>
  <c r="BF496" i="114"/>
  <c r="BF376" i="114"/>
  <c r="BF136" i="114"/>
  <c r="BF176" i="114"/>
  <c r="BF476" i="114"/>
  <c r="BF36" i="114"/>
  <c r="BF356" i="114"/>
  <c r="BF463" i="114"/>
  <c r="BF123" i="114"/>
  <c r="BF522" i="114"/>
  <c r="BF322" i="114"/>
  <c r="BF130" i="114"/>
  <c r="BF561" i="114"/>
  <c r="BF369" i="114"/>
  <c r="BF209" i="114"/>
  <c r="BF29" i="114"/>
  <c r="BF555" i="114"/>
  <c r="BF115" i="114"/>
  <c r="BF363" i="114"/>
  <c r="BF442" i="114"/>
  <c r="BF230" i="114"/>
  <c r="BF30" i="114"/>
  <c r="BF489" i="114"/>
  <c r="BF309" i="114"/>
  <c r="BF149" i="114"/>
  <c r="BF276" i="114"/>
  <c r="BF236" i="114"/>
  <c r="BF43" i="114"/>
  <c r="BF396" i="114"/>
  <c r="BF243" i="114"/>
  <c r="BF76" i="114"/>
  <c r="BF56" i="114"/>
  <c r="BF315" i="114"/>
  <c r="BF602" i="114"/>
  <c r="BF422" i="114"/>
  <c r="BF222" i="114"/>
  <c r="BF10" i="114"/>
  <c r="BF469" i="114"/>
  <c r="BF289" i="114"/>
  <c r="BF454" i="114"/>
  <c r="BF400" i="114"/>
  <c r="BF574" i="114"/>
  <c r="BF341" i="114"/>
  <c r="BF147" i="114"/>
  <c r="BF419" i="114"/>
  <c r="BF539" i="114"/>
  <c r="BF54" i="114"/>
  <c r="BF420" i="114"/>
  <c r="BF473" i="114"/>
  <c r="BF587" i="114"/>
  <c r="BF73" i="114"/>
  <c r="BF467" i="114"/>
  <c r="BF174" i="114"/>
  <c r="BF86" i="114"/>
  <c r="BF26" i="114"/>
  <c r="BF412" i="114"/>
  <c r="BF239" i="114"/>
  <c r="BF552" i="114"/>
  <c r="BD14" i="114"/>
  <c r="G15" i="65"/>
  <c r="A6" i="65" s="1"/>
  <c r="A6" i="2"/>
  <c r="BB13" i="114"/>
  <c r="H16" i="4"/>
  <c r="H20" i="4"/>
  <c r="AZ13" i="114"/>
  <c r="AV12" i="114"/>
  <c r="D23" i="51"/>
  <c r="A6" i="51" s="1"/>
  <c r="AL11" i="114"/>
  <c r="A6" i="46"/>
  <c r="D23" i="98"/>
  <c r="A6" i="98" s="1"/>
  <c r="D23" i="44"/>
  <c r="A6" i="44" s="1"/>
  <c r="AD14" i="114"/>
  <c r="W12" i="114"/>
  <c r="V7" i="114"/>
  <c r="T17" i="114"/>
  <c r="D22" i="35"/>
  <c r="D22" i="34"/>
  <c r="A6" i="34" s="1"/>
  <c r="D22" i="31"/>
  <c r="A6" i="31" s="1"/>
  <c r="D21" i="24"/>
  <c r="E12" i="114"/>
  <c r="D11" i="114"/>
  <c r="D21" i="1"/>
  <c r="A6" i="1" s="1"/>
  <c r="B39" i="75"/>
  <c r="C38" i="75"/>
  <c r="D38" i="75"/>
  <c r="E38" i="75"/>
  <c r="G34" i="75"/>
  <c r="F38" i="75"/>
  <c r="K38" i="7"/>
  <c r="K36" i="7"/>
  <c r="BF395" i="114"/>
  <c r="BF586" i="114"/>
  <c r="BF425" i="114"/>
  <c r="A6" i="22"/>
  <c r="BF259" i="114"/>
  <c r="BF486" i="114"/>
  <c r="BF305" i="114"/>
  <c r="BF472" i="114"/>
  <c r="BF386" i="114"/>
  <c r="BF205" i="114"/>
  <c r="A6" i="33"/>
  <c r="BF392" i="114"/>
  <c r="BF528" i="114"/>
  <c r="BF286" i="114"/>
  <c r="BF105" i="114"/>
  <c r="BF120" i="114"/>
  <c r="BF79" i="114"/>
  <c r="BF186" i="114"/>
  <c r="J7" i="87"/>
  <c r="J24" i="87" s="1"/>
  <c r="E39" i="3"/>
  <c r="J41" i="3" s="1"/>
  <c r="O41" i="3" s="1"/>
  <c r="A6" i="68"/>
  <c r="BF532" i="114"/>
  <c r="BF192" i="114"/>
  <c r="BF525" i="114"/>
  <c r="F15" i="88"/>
  <c r="BQ12" i="114" s="1"/>
  <c r="BF372" i="114"/>
  <c r="BF592" i="114"/>
  <c r="BF328" i="114"/>
  <c r="BF459" i="114"/>
  <c r="BF219" i="114"/>
  <c r="BF512" i="114"/>
  <c r="BF519" i="114"/>
  <c r="BF172" i="114"/>
  <c r="BF366" i="114"/>
  <c r="BF166" i="114"/>
  <c r="BF39" i="114"/>
  <c r="BF405" i="114"/>
  <c r="BF153" i="114"/>
  <c r="BF608" i="114"/>
  <c r="BF228" i="114"/>
  <c r="BF572" i="114"/>
  <c r="BF312" i="114"/>
  <c r="BF159" i="114"/>
  <c r="BF432" i="114"/>
  <c r="BF359" i="114"/>
  <c r="BF112" i="114"/>
  <c r="BF139" i="114"/>
  <c r="BF199" i="114"/>
  <c r="BF595" i="114"/>
  <c r="BF499" i="114"/>
  <c r="BF299" i="114"/>
  <c r="BF99" i="114"/>
  <c r="BF558" i="114"/>
  <c r="BF462" i="114"/>
  <c r="BF346" i="114"/>
  <c r="BF262" i="114"/>
  <c r="BF146" i="114"/>
  <c r="BF62" i="114"/>
  <c r="BF605" i="114"/>
  <c r="BF453" i="114"/>
  <c r="BF353" i="114"/>
  <c r="BF233" i="114"/>
  <c r="BF133" i="114"/>
  <c r="BF33" i="114"/>
  <c r="BF360" i="114"/>
  <c r="BF387" i="114"/>
  <c r="BF220" i="114"/>
  <c r="BF374" i="114"/>
  <c r="BF47" i="114"/>
  <c r="BF273" i="114"/>
  <c r="BF195" i="114"/>
  <c r="BF379" i="114"/>
  <c r="BF272" i="114"/>
  <c r="BF599" i="114"/>
  <c r="BF319" i="114"/>
  <c r="BF566" i="114"/>
  <c r="BF466" i="114"/>
  <c r="BF266" i="114"/>
  <c r="BF66" i="114"/>
  <c r="BF505" i="114"/>
  <c r="BF253" i="114"/>
  <c r="BF53" i="114"/>
  <c r="A6" i="38"/>
  <c r="BF212" i="114"/>
  <c r="BF492" i="114"/>
  <c r="BF292" i="114"/>
  <c r="BF20" i="114"/>
  <c r="BF399" i="114"/>
  <c r="BF332" i="114"/>
  <c r="BF72" i="114"/>
  <c r="BF92" i="114"/>
  <c r="BF179" i="114"/>
  <c r="BF579" i="114"/>
  <c r="BF479" i="114"/>
  <c r="BF279" i="114"/>
  <c r="BF59" i="114"/>
  <c r="BF538" i="114"/>
  <c r="BF438" i="114"/>
  <c r="BF338" i="114"/>
  <c r="BF246" i="114"/>
  <c r="BF126" i="114"/>
  <c r="BF46" i="114"/>
  <c r="BF545" i="114"/>
  <c r="BF445" i="114"/>
  <c r="BF325" i="114"/>
  <c r="BF225" i="114"/>
  <c r="BF129" i="114"/>
  <c r="BF559" i="114"/>
  <c r="BF180" i="114"/>
  <c r="BF187" i="114"/>
  <c r="BF254" i="114"/>
  <c r="BF553" i="114"/>
  <c r="BF141" i="114"/>
  <c r="D20" i="20"/>
  <c r="A6" i="20" s="1"/>
  <c r="AX13" i="114"/>
  <c r="A6" i="57"/>
  <c r="AT16" i="114"/>
  <c r="D21" i="7"/>
  <c r="A6" i="7" s="1"/>
  <c r="F15" i="7"/>
  <c r="A6" i="50"/>
  <c r="AM11" i="114"/>
  <c r="A6" i="49"/>
  <c r="A6" i="43"/>
  <c r="AE11" i="114"/>
  <c r="A6" i="42"/>
  <c r="A6" i="23"/>
  <c r="AA12" i="114"/>
  <c r="A6" i="41"/>
  <c r="F16" i="9"/>
  <c r="F16" i="8"/>
  <c r="A6" i="6"/>
  <c r="G12" i="114"/>
  <c r="BK10" i="114"/>
  <c r="D20" i="19"/>
  <c r="A6" i="19" s="1"/>
  <c r="BF340" i="114"/>
  <c r="BF507" i="114"/>
  <c r="BF260" i="114"/>
  <c r="BF520" i="114"/>
  <c r="BF320" i="114"/>
  <c r="BF107" i="114"/>
  <c r="BF367" i="114"/>
  <c r="BF160" i="114"/>
  <c r="BF567" i="114"/>
  <c r="BF339" i="114"/>
  <c r="BF8" i="114"/>
  <c r="BF167" i="114"/>
  <c r="BF546" i="114"/>
  <c r="BF446" i="114"/>
  <c r="BF354" i="114"/>
  <c r="BF234" i="114"/>
  <c r="BF154" i="114"/>
  <c r="BF34" i="114"/>
  <c r="BF27" i="114"/>
  <c r="BF533" i="114"/>
  <c r="BF433" i="114"/>
  <c r="BF333" i="114"/>
  <c r="BF241" i="114"/>
  <c r="BF121" i="114"/>
  <c r="BF41" i="114"/>
  <c r="BF267" i="114"/>
  <c r="BF460" i="114"/>
  <c r="BF600" i="114"/>
  <c r="BF500" i="114"/>
  <c r="BF300" i="114"/>
  <c r="BF100" i="114"/>
  <c r="BF207" i="114"/>
  <c r="BF127" i="114"/>
  <c r="BF487" i="114"/>
  <c r="BF307" i="114"/>
  <c r="BF347" i="114"/>
  <c r="BF140" i="114"/>
  <c r="BF526" i="114"/>
  <c r="BF426" i="114"/>
  <c r="BF326" i="114"/>
  <c r="BF226" i="114"/>
  <c r="BF134" i="114"/>
  <c r="BF14" i="114"/>
  <c r="BF7" i="114"/>
  <c r="BF513" i="114"/>
  <c r="BF413" i="114"/>
  <c r="BF313" i="114"/>
  <c r="BF213" i="114"/>
  <c r="BF113" i="114"/>
  <c r="BF21" i="114"/>
  <c r="BF540" i="114"/>
  <c r="BF80" i="114"/>
  <c r="BF380" i="114"/>
  <c r="BF580" i="114"/>
  <c r="BF480" i="114"/>
  <c r="BF280" i="114"/>
  <c r="BF440" i="114"/>
  <c r="BF200" i="114"/>
  <c r="BF87" i="114"/>
  <c r="BF407" i="114"/>
  <c r="BF287" i="114"/>
  <c r="BF247" i="114"/>
  <c r="BF60" i="114"/>
  <c r="BF474" i="114"/>
  <c r="BF406" i="114"/>
  <c r="BF274" i="114"/>
  <c r="BF206" i="114"/>
  <c r="BF74" i="114"/>
  <c r="BF67" i="114"/>
  <c r="BF593" i="114"/>
  <c r="BF493" i="114"/>
  <c r="BF393" i="114"/>
  <c r="BF293" i="114"/>
  <c r="BF193" i="114"/>
  <c r="A6" i="66"/>
  <c r="G13" i="112"/>
  <c r="A6" i="112" s="1"/>
  <c r="A6" i="92"/>
  <c r="D23" i="54"/>
  <c r="A6" i="54" s="1"/>
  <c r="AN11" i="114"/>
  <c r="A6" i="48"/>
  <c r="AJ11" i="114"/>
  <c r="AF11" i="114"/>
  <c r="A6" i="10"/>
  <c r="U17" i="114"/>
  <c r="D22" i="9"/>
  <c r="T8" i="114"/>
  <c r="A6" i="8"/>
  <c r="I14" i="8"/>
  <c r="S14" i="114"/>
  <c r="P12" i="114"/>
  <c r="A6" i="135"/>
  <c r="A6" i="113"/>
  <c r="F16" i="88" l="1"/>
  <c r="A6" i="88" s="1"/>
  <c r="D17" i="85"/>
  <c r="A6" i="85" s="1"/>
  <c r="J42" i="3"/>
  <c r="O42" i="3" s="1"/>
  <c r="J40" i="3"/>
  <c r="O40" i="3" s="1"/>
  <c r="J43" i="3"/>
  <c r="BL8" i="114" s="1"/>
  <c r="J44" i="3"/>
  <c r="BL9" i="114" s="1"/>
  <c r="BP8" i="114"/>
  <c r="H34" i="75"/>
  <c r="G39" i="75"/>
  <c r="G37" i="75"/>
  <c r="G40" i="75"/>
  <c r="G36" i="75"/>
  <c r="G38" i="75"/>
  <c r="G35" i="75"/>
  <c r="B40" i="75"/>
  <c r="F39" i="75"/>
  <c r="E39" i="75"/>
  <c r="C39" i="75"/>
  <c r="D39" i="75"/>
  <c r="BL6" i="114" l="1"/>
  <c r="O43" i="3"/>
  <c r="O44" i="3"/>
  <c r="B41" i="75"/>
  <c r="E40" i="75"/>
  <c r="D40" i="75"/>
  <c r="C40" i="75"/>
  <c r="F40" i="75"/>
  <c r="H39" i="75"/>
  <c r="I34" i="75"/>
  <c r="H37" i="75"/>
  <c r="H38" i="75"/>
  <c r="H35" i="75"/>
  <c r="H41" i="75"/>
  <c r="H40" i="75"/>
  <c r="H36" i="75"/>
  <c r="I35" i="75" l="1"/>
  <c r="J34" i="75"/>
  <c r="I40" i="75"/>
  <c r="I39" i="75"/>
  <c r="I38" i="75"/>
  <c r="I37" i="75"/>
  <c r="I36" i="75"/>
  <c r="I42" i="75"/>
  <c r="I41" i="75"/>
  <c r="E41" i="75"/>
  <c r="B42" i="75"/>
  <c r="C41" i="75"/>
  <c r="D41" i="75"/>
  <c r="F41" i="75"/>
  <c r="G41" i="75"/>
  <c r="J39" i="75" l="1"/>
  <c r="J40" i="75"/>
  <c r="J35" i="75"/>
  <c r="K34" i="75"/>
  <c r="J41" i="75"/>
  <c r="J37" i="75"/>
  <c r="J36" i="75"/>
  <c r="J38" i="75"/>
  <c r="J42" i="75"/>
  <c r="D42" i="75"/>
  <c r="B43" i="75"/>
  <c r="J43" i="75" s="1"/>
  <c r="E42" i="75"/>
  <c r="F42" i="75"/>
  <c r="C42" i="75"/>
  <c r="G42" i="75"/>
  <c r="H42" i="75"/>
  <c r="B44" i="75" l="1"/>
  <c r="D43" i="75"/>
  <c r="E43" i="75"/>
  <c r="C43" i="75"/>
  <c r="F43" i="75"/>
  <c r="G43" i="75"/>
  <c r="H43" i="75"/>
  <c r="I43" i="75"/>
  <c r="K38" i="75"/>
  <c r="K37" i="75"/>
  <c r="K36" i="75"/>
  <c r="K42" i="75"/>
  <c r="L34" i="75"/>
  <c r="K41" i="75"/>
  <c r="K40" i="75"/>
  <c r="K35" i="75"/>
  <c r="K44" i="75"/>
  <c r="K39" i="75"/>
  <c r="K43" i="75"/>
  <c r="L38" i="75" l="1"/>
  <c r="L42" i="75"/>
  <c r="L39" i="75"/>
  <c r="L35" i="75"/>
  <c r="M34" i="75"/>
  <c r="L43" i="75"/>
  <c r="L40" i="75"/>
  <c r="L37" i="75"/>
  <c r="L44" i="75"/>
  <c r="L36" i="75"/>
  <c r="L41" i="75"/>
  <c r="B45" i="75"/>
  <c r="L45" i="75" s="1"/>
  <c r="D44" i="75"/>
  <c r="F44" i="75"/>
  <c r="E44" i="75"/>
  <c r="C44" i="75"/>
  <c r="G44" i="75"/>
  <c r="H44" i="75"/>
  <c r="I44" i="75"/>
  <c r="J44" i="75"/>
  <c r="N34" i="75" l="1"/>
  <c r="M37" i="75"/>
  <c r="M40" i="75"/>
  <c r="M36" i="75"/>
  <c r="M39" i="75"/>
  <c r="M41" i="75"/>
  <c r="M35" i="75"/>
  <c r="M43" i="75"/>
  <c r="M46" i="75"/>
  <c r="M38" i="75"/>
  <c r="M44" i="75"/>
  <c r="M45" i="75"/>
  <c r="M42" i="75"/>
  <c r="B46" i="75"/>
  <c r="C45" i="75"/>
  <c r="D45" i="75"/>
  <c r="F45" i="75"/>
  <c r="E45" i="75"/>
  <c r="G45" i="75"/>
  <c r="H45" i="75"/>
  <c r="I45" i="75"/>
  <c r="J45" i="75"/>
  <c r="K45" i="75"/>
  <c r="B47" i="75" l="1"/>
  <c r="C46" i="75"/>
  <c r="E46" i="75"/>
  <c r="D46" i="75"/>
  <c r="F46" i="75"/>
  <c r="G46" i="75"/>
  <c r="H46" i="75"/>
  <c r="I46" i="75"/>
  <c r="J46" i="75"/>
  <c r="K46" i="75"/>
  <c r="L46" i="75"/>
  <c r="N44" i="75"/>
  <c r="O34" i="75"/>
  <c r="N42" i="75"/>
  <c r="N37" i="75"/>
  <c r="N40" i="75"/>
  <c r="N45" i="75"/>
  <c r="N38" i="75"/>
  <c r="N35" i="75"/>
  <c r="N39" i="75"/>
  <c r="N47" i="75"/>
  <c r="N41" i="75"/>
  <c r="N36" i="75"/>
  <c r="N43" i="75"/>
  <c r="N46" i="75"/>
  <c r="P34" i="75" l="1"/>
  <c r="O38" i="75"/>
  <c r="O35" i="75"/>
  <c r="O42" i="75"/>
  <c r="O44" i="75"/>
  <c r="O46" i="75"/>
  <c r="O36" i="75"/>
  <c r="O45" i="75"/>
  <c r="O41" i="75"/>
  <c r="O37" i="75"/>
  <c r="O39" i="75"/>
  <c r="O43" i="75"/>
  <c r="O40" i="75"/>
  <c r="O47" i="75"/>
  <c r="O48" i="75"/>
  <c r="C47" i="75"/>
  <c r="B48" i="75"/>
  <c r="E47" i="75"/>
  <c r="F47" i="75"/>
  <c r="D47" i="75"/>
  <c r="G47" i="75"/>
  <c r="H47" i="75"/>
  <c r="I47" i="75"/>
  <c r="J47" i="75"/>
  <c r="K47" i="75"/>
  <c r="L47" i="75"/>
  <c r="M47" i="75"/>
  <c r="E48" i="75" l="1"/>
  <c r="B49" i="75"/>
  <c r="C48" i="75"/>
  <c r="F48" i="75"/>
  <c r="D48" i="75"/>
  <c r="G48" i="75"/>
  <c r="H48" i="75"/>
  <c r="I48" i="75"/>
  <c r="J48" i="75"/>
  <c r="K48" i="75"/>
  <c r="L48" i="75"/>
  <c r="M48" i="75"/>
  <c r="N48" i="75"/>
  <c r="P37" i="75"/>
  <c r="P43" i="75"/>
  <c r="P35" i="75"/>
  <c r="Q34" i="75"/>
  <c r="P36" i="75"/>
  <c r="P39" i="75"/>
  <c r="P49" i="75"/>
  <c r="P41" i="75"/>
  <c r="P45" i="75"/>
  <c r="P38" i="75"/>
  <c r="P42" i="75"/>
  <c r="P47" i="75"/>
  <c r="P40" i="75"/>
  <c r="P48" i="75"/>
  <c r="P44" i="75"/>
  <c r="P46" i="75"/>
  <c r="Q40" i="75" l="1"/>
  <c r="Q35" i="75"/>
  <c r="R34" i="75"/>
  <c r="Q39" i="75"/>
  <c r="Q36" i="75"/>
  <c r="Q42" i="75"/>
  <c r="Q49" i="75"/>
  <c r="Q41" i="75"/>
  <c r="Q44" i="75"/>
  <c r="Q38" i="75"/>
  <c r="Q48" i="75"/>
  <c r="Q46" i="75"/>
  <c r="Q43" i="75"/>
  <c r="Q47" i="75"/>
  <c r="Q45" i="75"/>
  <c r="Q37" i="75"/>
  <c r="B50" i="75"/>
  <c r="Q50" i="75" s="1"/>
  <c r="C49" i="75"/>
  <c r="F49" i="75"/>
  <c r="D49" i="75"/>
  <c r="E49" i="75"/>
  <c r="G49" i="75"/>
  <c r="H49" i="75"/>
  <c r="I49" i="75"/>
  <c r="J49" i="75"/>
  <c r="K49" i="75"/>
  <c r="L49" i="75"/>
  <c r="M49" i="75"/>
  <c r="N49" i="75"/>
  <c r="O49" i="75"/>
  <c r="R36" i="75" l="1"/>
  <c r="R37" i="75"/>
  <c r="S34" i="75"/>
  <c r="R39" i="75"/>
  <c r="R45" i="75"/>
  <c r="R44" i="75"/>
  <c r="R41" i="75"/>
  <c r="R49" i="75"/>
  <c r="R42" i="75"/>
  <c r="R48" i="75"/>
  <c r="R47" i="75"/>
  <c r="R40" i="75"/>
  <c r="R43" i="75"/>
  <c r="R46" i="75"/>
  <c r="R38" i="75"/>
  <c r="R50" i="75"/>
  <c r="R35" i="75"/>
  <c r="B51" i="75"/>
  <c r="R51" i="75" s="1"/>
  <c r="E50" i="75"/>
  <c r="C50" i="75"/>
  <c r="D50" i="75"/>
  <c r="F50" i="75"/>
  <c r="G50" i="75"/>
  <c r="H50" i="75"/>
  <c r="I50" i="75"/>
  <c r="J50" i="75"/>
  <c r="K50" i="75"/>
  <c r="L50" i="75"/>
  <c r="M50" i="75"/>
  <c r="N50" i="75"/>
  <c r="O50" i="75"/>
  <c r="P50" i="75"/>
  <c r="S41" i="75" l="1"/>
  <c r="T34" i="75"/>
  <c r="S38" i="75"/>
  <c r="S37" i="75"/>
  <c r="S45" i="75"/>
  <c r="S35" i="75"/>
  <c r="S50" i="75"/>
  <c r="S42" i="75"/>
  <c r="S43" i="75"/>
  <c r="S51" i="75"/>
  <c r="S36" i="75"/>
  <c r="S44" i="75"/>
  <c r="S49" i="75"/>
  <c r="S47" i="75"/>
  <c r="S39" i="75"/>
  <c r="S40" i="75"/>
  <c r="S48" i="75"/>
  <c r="S52" i="75"/>
  <c r="S46" i="75"/>
  <c r="B52" i="75"/>
  <c r="C51" i="75"/>
  <c r="D51" i="75"/>
  <c r="E51" i="75"/>
  <c r="F51" i="75"/>
  <c r="G51" i="75"/>
  <c r="H51" i="75"/>
  <c r="I51" i="75"/>
  <c r="J51" i="75"/>
  <c r="K51" i="75"/>
  <c r="L51" i="75"/>
  <c r="M51" i="75"/>
  <c r="N51" i="75"/>
  <c r="O51" i="75"/>
  <c r="P51" i="75"/>
  <c r="Q51" i="75"/>
  <c r="B53" i="75" l="1"/>
  <c r="C52" i="75"/>
  <c r="E52" i="75"/>
  <c r="F52" i="75"/>
  <c r="D52" i="75"/>
  <c r="G52" i="75"/>
  <c r="H52" i="75"/>
  <c r="I52" i="75"/>
  <c r="J52" i="75"/>
  <c r="K52" i="75"/>
  <c r="L52" i="75"/>
  <c r="M52" i="75"/>
  <c r="N52" i="75"/>
  <c r="O52" i="75"/>
  <c r="P52" i="75"/>
  <c r="Q52" i="75"/>
  <c r="R52" i="75"/>
  <c r="T50" i="75"/>
  <c r="T35" i="75"/>
  <c r="T39" i="75"/>
  <c r="U34" i="75"/>
  <c r="T37" i="75"/>
  <c r="T46" i="75"/>
  <c r="T43" i="75"/>
  <c r="T40" i="75"/>
  <c r="T51" i="75"/>
  <c r="T36" i="75"/>
  <c r="T38" i="75"/>
  <c r="T41" i="75"/>
  <c r="T45" i="75"/>
  <c r="T47" i="75"/>
  <c r="T52" i="75"/>
  <c r="T48" i="75"/>
  <c r="T44" i="75"/>
  <c r="T49" i="75"/>
  <c r="T42" i="75"/>
  <c r="B54" i="75" l="1"/>
  <c r="U54" i="75" s="1"/>
  <c r="E53" i="75"/>
  <c r="F53" i="75"/>
  <c r="C53" i="75"/>
  <c r="D53" i="75"/>
  <c r="G53" i="75"/>
  <c r="H53" i="75"/>
  <c r="I53" i="75"/>
  <c r="J53" i="75"/>
  <c r="K53" i="75"/>
  <c r="L53" i="75"/>
  <c r="M53" i="75"/>
  <c r="N53" i="75"/>
  <c r="O53" i="75"/>
  <c r="P53" i="75"/>
  <c r="Q53" i="75"/>
  <c r="R53" i="75"/>
  <c r="S53" i="75"/>
  <c r="T53" i="75"/>
  <c r="V34" i="75"/>
  <c r="U39" i="75"/>
  <c r="U48" i="75"/>
  <c r="U43" i="75"/>
  <c r="U40" i="75"/>
  <c r="U47" i="75"/>
  <c r="U37" i="75"/>
  <c r="U45" i="75"/>
  <c r="U38" i="75"/>
  <c r="U51" i="75"/>
  <c r="U53" i="75"/>
  <c r="U44" i="75"/>
  <c r="U46" i="75"/>
  <c r="U36" i="75"/>
  <c r="U41" i="75"/>
  <c r="U42" i="75"/>
  <c r="U49" i="75"/>
  <c r="U50" i="75"/>
  <c r="U52" i="75"/>
  <c r="U35" i="75"/>
  <c r="W34" i="75" l="1"/>
  <c r="V35" i="75"/>
  <c r="V36" i="75"/>
  <c r="V37" i="75"/>
  <c r="V49" i="75"/>
  <c r="V50" i="75"/>
  <c r="V43" i="75"/>
  <c r="V45" i="75"/>
  <c r="V41" i="75"/>
  <c r="V39" i="75"/>
  <c r="V47" i="75"/>
  <c r="V42" i="75"/>
  <c r="V46" i="75"/>
  <c r="V44" i="75"/>
  <c r="V53" i="75"/>
  <c r="V48" i="75"/>
  <c r="V38" i="75"/>
  <c r="V52" i="75"/>
  <c r="V40" i="75"/>
  <c r="V55" i="75"/>
  <c r="V51" i="75"/>
  <c r="V54" i="75"/>
  <c r="B55" i="75"/>
  <c r="D54" i="75"/>
  <c r="C54" i="75"/>
  <c r="F54" i="75"/>
  <c r="E54" i="75"/>
  <c r="G54" i="75"/>
  <c r="H54" i="75"/>
  <c r="I54" i="75"/>
  <c r="J54" i="75"/>
  <c r="K54" i="75"/>
  <c r="L54" i="75"/>
  <c r="M54" i="75"/>
  <c r="N54" i="75"/>
  <c r="O54" i="75"/>
  <c r="P54" i="75"/>
  <c r="Q54" i="75"/>
  <c r="R54" i="75"/>
  <c r="S54" i="75"/>
  <c r="T54" i="75"/>
  <c r="B56" i="75" l="1"/>
  <c r="C55" i="75"/>
  <c r="D55" i="75"/>
  <c r="E55" i="75"/>
  <c r="F55" i="75"/>
  <c r="G55" i="75"/>
  <c r="H55" i="75"/>
  <c r="I55" i="75"/>
  <c r="J55" i="75"/>
  <c r="K55" i="75"/>
  <c r="L55" i="75"/>
  <c r="M55" i="75"/>
  <c r="N55" i="75"/>
  <c r="O55" i="75"/>
  <c r="P55" i="75"/>
  <c r="Q55" i="75"/>
  <c r="R55" i="75"/>
  <c r="S55" i="75"/>
  <c r="T55" i="75"/>
  <c r="U55" i="75"/>
  <c r="W51" i="75"/>
  <c r="W46" i="75"/>
  <c r="X34" i="75"/>
  <c r="W36" i="75"/>
  <c r="W38" i="75"/>
  <c r="W40" i="75"/>
  <c r="W37" i="75"/>
  <c r="W42" i="75"/>
  <c r="W44" i="75"/>
  <c r="W41" i="75"/>
  <c r="W48" i="75"/>
  <c r="W39" i="75"/>
  <c r="W49" i="75"/>
  <c r="W45" i="75"/>
  <c r="W50" i="75"/>
  <c r="W53" i="75"/>
  <c r="W35" i="75"/>
  <c r="W54" i="75"/>
  <c r="W52" i="75"/>
  <c r="W43" i="75"/>
  <c r="W47" i="75"/>
  <c r="W56" i="75"/>
  <c r="W55" i="75"/>
  <c r="X44" i="75" l="1"/>
  <c r="Y34" i="75"/>
  <c r="X53" i="75"/>
  <c r="X36" i="75"/>
  <c r="X37" i="75"/>
  <c r="X51" i="75"/>
  <c r="X38" i="75"/>
  <c r="X39" i="75"/>
  <c r="X40" i="75"/>
  <c r="X42" i="75"/>
  <c r="X50" i="75"/>
  <c r="X41" i="75"/>
  <c r="X35" i="75"/>
  <c r="X47" i="75"/>
  <c r="X52" i="75"/>
  <c r="X54" i="75"/>
  <c r="X43" i="75"/>
  <c r="X46" i="75"/>
  <c r="X55" i="75"/>
  <c r="X49" i="75"/>
  <c r="X45" i="75"/>
  <c r="X48" i="75"/>
  <c r="X56" i="75"/>
  <c r="X57" i="75"/>
  <c r="C56" i="75"/>
  <c r="B57" i="75"/>
  <c r="F56" i="75"/>
  <c r="E56" i="75"/>
  <c r="D56" i="75"/>
  <c r="G56" i="75"/>
  <c r="H56" i="75"/>
  <c r="I56" i="75"/>
  <c r="J56" i="75"/>
  <c r="K56" i="75"/>
  <c r="L56" i="75"/>
  <c r="M56" i="75"/>
  <c r="N56" i="75"/>
  <c r="O56" i="75"/>
  <c r="P56" i="75"/>
  <c r="Q56" i="75"/>
  <c r="R56" i="75"/>
  <c r="S56" i="75"/>
  <c r="T56" i="75"/>
  <c r="U56" i="75"/>
  <c r="V56" i="75"/>
  <c r="Y50" i="75" l="1"/>
  <c r="Y38" i="75"/>
  <c r="Y39" i="75"/>
  <c r="Y44" i="75"/>
  <c r="Z34" i="75"/>
  <c r="Y41" i="75"/>
  <c r="Y52" i="75"/>
  <c r="Y49" i="75"/>
  <c r="Y46" i="75"/>
  <c r="Y43" i="75"/>
  <c r="Y35" i="75"/>
  <c r="Y56" i="75"/>
  <c r="Y42" i="75"/>
  <c r="Y36" i="75"/>
  <c r="Y54" i="75"/>
  <c r="Y37" i="75"/>
  <c r="Y47" i="75"/>
  <c r="Y57" i="75"/>
  <c r="Y40" i="75"/>
  <c r="Y55" i="75"/>
  <c r="Y45" i="75"/>
  <c r="Y51" i="75"/>
  <c r="Y48" i="75"/>
  <c r="Y53" i="75"/>
  <c r="E57" i="75"/>
  <c r="B58" i="75"/>
  <c r="F57" i="75"/>
  <c r="D57" i="75"/>
  <c r="C57" i="75"/>
  <c r="G57" i="75"/>
  <c r="H57" i="75"/>
  <c r="I57" i="75"/>
  <c r="J57" i="75"/>
  <c r="K57" i="75"/>
  <c r="L57" i="75"/>
  <c r="M57" i="75"/>
  <c r="N57" i="75"/>
  <c r="O57" i="75"/>
  <c r="P57" i="75"/>
  <c r="Q57" i="75"/>
  <c r="R57" i="75"/>
  <c r="S57" i="75"/>
  <c r="T57" i="75"/>
  <c r="U57" i="75"/>
  <c r="V57" i="75"/>
  <c r="W57" i="75"/>
  <c r="B59" i="75" l="1"/>
  <c r="D58" i="75"/>
  <c r="C58" i="75"/>
  <c r="F58" i="75"/>
  <c r="E58" i="75"/>
  <c r="G58" i="75"/>
  <c r="H58" i="75"/>
  <c r="I58" i="75"/>
  <c r="J58" i="75"/>
  <c r="K58" i="75"/>
  <c r="L58" i="75"/>
  <c r="M58" i="75"/>
  <c r="N58" i="75"/>
  <c r="O58" i="75"/>
  <c r="P58" i="75"/>
  <c r="Q58" i="75"/>
  <c r="R58" i="75"/>
  <c r="S58" i="75"/>
  <c r="T58" i="75"/>
  <c r="U58" i="75"/>
  <c r="V58" i="75"/>
  <c r="W58" i="75"/>
  <c r="X58" i="75"/>
  <c r="Y58" i="75"/>
  <c r="Z36" i="75"/>
  <c r="Z37" i="75"/>
  <c r="Z50" i="75"/>
  <c r="AA34" i="75"/>
  <c r="Z40" i="75"/>
  <c r="Z58" i="75"/>
  <c r="Z41" i="75"/>
  <c r="Z35" i="75"/>
  <c r="Z47" i="75"/>
  <c r="Z44" i="75"/>
  <c r="Z56" i="75"/>
  <c r="Z49" i="75"/>
  <c r="Z53" i="75"/>
  <c r="Z38" i="75"/>
  <c r="Z54" i="75"/>
  <c r="Z51" i="75"/>
  <c r="Z57" i="75"/>
  <c r="Z52" i="75"/>
  <c r="Z45" i="75"/>
  <c r="Z48" i="75"/>
  <c r="Z39" i="75"/>
  <c r="Z55" i="75"/>
  <c r="Z46" i="75"/>
  <c r="Z43" i="75"/>
  <c r="Z42" i="75"/>
  <c r="AA39" i="75" l="1"/>
  <c r="AA52" i="75"/>
  <c r="AA44" i="75"/>
  <c r="AA55" i="75"/>
  <c r="AA38" i="75"/>
  <c r="AB34" i="75"/>
  <c r="AA36" i="75"/>
  <c r="AA42" i="75"/>
  <c r="AA41" i="75"/>
  <c r="AA46" i="75"/>
  <c r="AA49" i="75"/>
  <c r="AA48" i="75"/>
  <c r="AA54" i="75"/>
  <c r="AA37" i="75"/>
  <c r="AA45" i="75"/>
  <c r="AA58" i="75"/>
  <c r="AA51" i="75"/>
  <c r="AA35" i="75"/>
  <c r="AA59" i="75"/>
  <c r="AA57" i="75"/>
  <c r="AA40" i="75"/>
  <c r="AA53" i="75"/>
  <c r="AA43" i="75"/>
  <c r="AA56" i="75"/>
  <c r="AA47" i="75"/>
  <c r="AA50" i="75"/>
  <c r="B60" i="75"/>
  <c r="AA60" i="75" s="1"/>
  <c r="C59" i="75"/>
  <c r="D59" i="75"/>
  <c r="F59" i="75"/>
  <c r="E59" i="75"/>
  <c r="G59" i="75"/>
  <c r="H59" i="75"/>
  <c r="I59" i="75"/>
  <c r="J59" i="75"/>
  <c r="K59" i="75"/>
  <c r="L59" i="75"/>
  <c r="M59" i="75"/>
  <c r="N59" i="75"/>
  <c r="O59" i="75"/>
  <c r="P59" i="75"/>
  <c r="Q59" i="75"/>
  <c r="R59" i="75"/>
  <c r="S59" i="75"/>
  <c r="T59" i="75"/>
  <c r="U59" i="75"/>
  <c r="V59" i="75"/>
  <c r="W59" i="75"/>
  <c r="X59" i="75"/>
  <c r="Y59" i="75"/>
  <c r="Z59" i="75"/>
  <c r="AB60" i="75" l="1"/>
  <c r="AB40" i="75"/>
  <c r="AB36" i="75"/>
  <c r="AB47" i="75"/>
  <c r="AB42" i="75"/>
  <c r="AB39" i="75"/>
  <c r="AC34" i="75"/>
  <c r="AB35" i="75"/>
  <c r="AB43" i="75"/>
  <c r="AB41" i="75"/>
  <c r="AB59" i="75"/>
  <c r="AB45" i="75"/>
  <c r="AB50" i="75"/>
  <c r="AB38" i="75"/>
  <c r="AB44" i="75"/>
  <c r="AB56" i="75"/>
  <c r="AB57" i="75"/>
  <c r="AB46" i="75"/>
  <c r="AB48" i="75"/>
  <c r="AB49" i="75"/>
  <c r="AB52" i="75"/>
  <c r="AB37" i="75"/>
  <c r="AB58" i="75"/>
  <c r="AB55" i="75"/>
  <c r="AB53" i="75"/>
  <c r="AB51" i="75"/>
  <c r="AB54" i="75"/>
  <c r="C60" i="75"/>
  <c r="B61" i="75"/>
  <c r="D60" i="75"/>
  <c r="E60" i="75"/>
  <c r="F60" i="75"/>
  <c r="G60" i="75"/>
  <c r="H60" i="75"/>
  <c r="I60" i="75"/>
  <c r="J60" i="75"/>
  <c r="K60" i="75"/>
  <c r="L60" i="75"/>
  <c r="M60" i="75"/>
  <c r="N60" i="75"/>
  <c r="O60" i="75"/>
  <c r="P60" i="75"/>
  <c r="Q60" i="75"/>
  <c r="R60" i="75"/>
  <c r="S60" i="75"/>
  <c r="T60" i="75"/>
  <c r="U60" i="75"/>
  <c r="V60" i="75"/>
  <c r="W60" i="75"/>
  <c r="X60" i="75"/>
  <c r="Y60" i="75"/>
  <c r="Z60" i="75"/>
  <c r="B62" i="75" l="1"/>
  <c r="C61" i="75"/>
  <c r="D61" i="75"/>
  <c r="F61" i="75"/>
  <c r="E61" i="75"/>
  <c r="G61" i="75"/>
  <c r="H61" i="75"/>
  <c r="I61" i="75"/>
  <c r="J61" i="75"/>
  <c r="K61" i="75"/>
  <c r="L61" i="75"/>
  <c r="M61" i="75"/>
  <c r="N61" i="75"/>
  <c r="O61" i="75"/>
  <c r="P61" i="75"/>
  <c r="Q61" i="75"/>
  <c r="R61" i="75"/>
  <c r="S61" i="75"/>
  <c r="T61" i="75"/>
  <c r="U61" i="75"/>
  <c r="V61" i="75"/>
  <c r="W61" i="75"/>
  <c r="X61" i="75"/>
  <c r="Y61" i="75"/>
  <c r="Z61" i="75"/>
  <c r="AA61" i="75"/>
  <c r="AB61" i="75"/>
  <c r="AD34" i="75"/>
  <c r="AC36" i="75"/>
  <c r="AC57" i="75"/>
  <c r="AC56" i="75"/>
  <c r="AC58" i="75"/>
  <c r="AC38" i="75"/>
  <c r="AC50" i="75"/>
  <c r="AC37" i="75"/>
  <c r="AC35" i="75"/>
  <c r="AC44" i="75"/>
  <c r="AC39" i="75"/>
  <c r="AC59" i="75"/>
  <c r="AC52" i="75"/>
  <c r="AC60" i="75"/>
  <c r="AC41" i="75"/>
  <c r="AC48" i="75"/>
  <c r="AC51" i="75"/>
  <c r="AC40" i="75"/>
  <c r="AC42" i="75"/>
  <c r="AC43" i="75"/>
  <c r="AC53" i="75"/>
  <c r="AC45" i="75"/>
  <c r="AC46" i="75"/>
  <c r="AC54" i="75"/>
  <c r="AC55" i="75"/>
  <c r="AC49" i="75"/>
  <c r="AC61" i="75"/>
  <c r="AC62" i="75"/>
  <c r="AC47" i="75"/>
  <c r="B63" i="75" l="1"/>
  <c r="C62" i="75"/>
  <c r="D62" i="75"/>
  <c r="E62" i="75"/>
  <c r="F62" i="75"/>
  <c r="G62" i="75"/>
  <c r="H62" i="75"/>
  <c r="I62" i="75"/>
  <c r="J62" i="75"/>
  <c r="K62" i="75"/>
  <c r="L62" i="75"/>
  <c r="M62" i="75"/>
  <c r="N62" i="75"/>
  <c r="O62" i="75"/>
  <c r="P62" i="75"/>
  <c r="Q62" i="75"/>
  <c r="R62" i="75"/>
  <c r="S62" i="75"/>
  <c r="T62" i="75"/>
  <c r="U62" i="75"/>
  <c r="V62" i="75"/>
  <c r="W62" i="75"/>
  <c r="X62" i="75"/>
  <c r="Y62" i="75"/>
  <c r="Z62" i="75"/>
  <c r="AA62" i="75"/>
  <c r="AB62" i="75"/>
  <c r="AD55" i="75"/>
  <c r="AD49" i="75"/>
  <c r="AD41" i="75"/>
  <c r="AE34" i="75"/>
  <c r="AD36" i="75"/>
  <c r="AD52" i="75"/>
  <c r="AD37" i="75"/>
  <c r="AD51" i="75"/>
  <c r="AD63" i="75"/>
  <c r="AD62" i="75"/>
  <c r="AD40" i="75"/>
  <c r="AD47" i="75"/>
  <c r="AD35" i="75"/>
  <c r="AD54" i="75"/>
  <c r="AD39" i="75"/>
  <c r="AD48" i="75"/>
  <c r="AD44" i="75"/>
  <c r="AD56" i="75"/>
  <c r="AD45" i="75"/>
  <c r="AD61" i="75"/>
  <c r="AD53" i="75"/>
  <c r="AD50" i="75"/>
  <c r="AD58" i="75"/>
  <c r="AD59" i="75"/>
  <c r="AD42" i="75"/>
  <c r="AD57" i="75"/>
  <c r="AD38" i="75"/>
  <c r="AD43" i="75"/>
  <c r="AD46" i="75"/>
  <c r="AD60" i="75"/>
  <c r="AE58" i="75" l="1"/>
  <c r="AF34" i="75"/>
  <c r="AE38" i="75"/>
  <c r="AE54" i="75"/>
  <c r="AE59" i="75"/>
  <c r="AE44" i="75"/>
  <c r="AE50" i="75"/>
  <c r="AE53" i="75"/>
  <c r="AE36" i="75"/>
  <c r="AE35" i="75"/>
  <c r="AE47" i="75"/>
  <c r="AE37" i="75"/>
  <c r="AE52" i="75"/>
  <c r="AE61" i="75"/>
  <c r="AE62" i="75"/>
  <c r="AE56" i="75"/>
  <c r="AE42" i="75"/>
  <c r="AE40" i="75"/>
  <c r="AE46" i="75"/>
  <c r="AE49" i="75"/>
  <c r="AE55" i="75"/>
  <c r="AE57" i="75"/>
  <c r="AE48" i="75"/>
  <c r="AE60" i="75"/>
  <c r="AE41" i="75"/>
  <c r="AE63" i="75"/>
  <c r="AE43" i="75"/>
  <c r="AE39" i="75"/>
  <c r="AE51" i="75"/>
  <c r="AE45" i="75"/>
  <c r="C63" i="75"/>
  <c r="B64" i="75"/>
  <c r="D63" i="75"/>
  <c r="E63" i="75"/>
  <c r="F63" i="75"/>
  <c r="G63" i="75"/>
  <c r="H63" i="75"/>
  <c r="I63" i="75"/>
  <c r="J63" i="75"/>
  <c r="K63" i="75"/>
  <c r="L63" i="75"/>
  <c r="M63" i="75"/>
  <c r="N63" i="75"/>
  <c r="O63" i="75"/>
  <c r="P63" i="75"/>
  <c r="Q63" i="75"/>
  <c r="R63" i="75"/>
  <c r="S63" i="75"/>
  <c r="T63" i="75"/>
  <c r="U63" i="75"/>
  <c r="V63" i="75"/>
  <c r="W63" i="75"/>
  <c r="X63" i="75"/>
  <c r="Y63" i="75"/>
  <c r="Z63" i="75"/>
  <c r="AA63" i="75"/>
  <c r="AB63" i="75"/>
  <c r="AC63" i="75"/>
  <c r="B65" i="75" l="1"/>
  <c r="C64" i="75"/>
  <c r="D64" i="75"/>
  <c r="F64" i="75"/>
  <c r="E64" i="75"/>
  <c r="G64" i="75"/>
  <c r="H64" i="75"/>
  <c r="I64" i="75"/>
  <c r="J64" i="75"/>
  <c r="K64" i="75"/>
  <c r="L64" i="75"/>
  <c r="M64" i="75"/>
  <c r="N64" i="75"/>
  <c r="O64" i="75"/>
  <c r="P64" i="75"/>
  <c r="Q64" i="75"/>
  <c r="R64" i="75"/>
  <c r="S64" i="75"/>
  <c r="T64" i="75"/>
  <c r="U64" i="75"/>
  <c r="V64" i="75"/>
  <c r="W64" i="75"/>
  <c r="X64" i="75"/>
  <c r="Y64" i="75"/>
  <c r="Z64" i="75"/>
  <c r="AA64" i="75"/>
  <c r="AB64" i="75"/>
  <c r="AC64" i="75"/>
  <c r="AD64" i="75"/>
  <c r="AE64" i="75"/>
  <c r="AF59" i="75"/>
  <c r="AF48" i="75"/>
  <c r="AG34" i="75"/>
  <c r="AF62" i="75"/>
  <c r="AF64" i="75"/>
  <c r="AF38" i="75"/>
  <c r="AF63" i="75"/>
  <c r="AF56" i="75"/>
  <c r="AF37" i="75"/>
  <c r="AF55" i="75"/>
  <c r="AF53" i="75"/>
  <c r="AF47" i="75"/>
  <c r="AF51" i="75"/>
  <c r="AF54" i="75"/>
  <c r="AF35" i="75"/>
  <c r="AF50" i="75"/>
  <c r="AF43" i="75"/>
  <c r="AF41" i="75"/>
  <c r="AF45" i="75"/>
  <c r="AF42" i="75"/>
  <c r="AF44" i="75"/>
  <c r="AF46" i="75"/>
  <c r="AF58" i="75"/>
  <c r="AF57" i="75"/>
  <c r="AF36" i="75"/>
  <c r="AF52" i="75"/>
  <c r="AF49" i="75"/>
  <c r="AF61" i="75"/>
  <c r="AF60" i="75"/>
  <c r="AF39" i="75"/>
  <c r="AF65" i="75"/>
  <c r="AF40" i="75"/>
  <c r="AG52" i="75" l="1"/>
  <c r="AG65" i="75"/>
  <c r="AG64" i="75"/>
  <c r="AH34" i="75"/>
  <c r="AG40" i="75"/>
  <c r="AG60" i="75"/>
  <c r="AG62" i="75"/>
  <c r="AG43" i="75"/>
  <c r="AG48" i="75"/>
  <c r="AG56" i="75"/>
  <c r="AG55" i="75"/>
  <c r="AG35" i="75"/>
  <c r="AG37" i="75"/>
  <c r="AG46" i="75"/>
  <c r="AG51" i="75"/>
  <c r="AG44" i="75"/>
  <c r="AG39" i="75"/>
  <c r="AG38" i="75"/>
  <c r="AG36" i="75"/>
  <c r="AG41" i="75"/>
  <c r="AG50" i="75"/>
  <c r="AG57" i="75"/>
  <c r="AG61" i="75"/>
  <c r="AG63" i="75"/>
  <c r="AG53" i="75"/>
  <c r="AG54" i="75"/>
  <c r="AG49" i="75"/>
  <c r="AG42" i="75"/>
  <c r="AG47" i="75"/>
  <c r="AG45" i="75"/>
  <c r="AG59" i="75"/>
  <c r="AG58" i="75"/>
  <c r="E65" i="75"/>
  <c r="B66" i="75"/>
  <c r="C65" i="75"/>
  <c r="D65" i="75"/>
  <c r="F65" i="75"/>
  <c r="G65" i="75"/>
  <c r="H65" i="75"/>
  <c r="I65" i="75"/>
  <c r="J65" i="75"/>
  <c r="K65" i="75"/>
  <c r="L65" i="75"/>
  <c r="M65" i="75"/>
  <c r="N65" i="75"/>
  <c r="O65" i="75"/>
  <c r="P65" i="75"/>
  <c r="Q65" i="75"/>
  <c r="R65" i="75"/>
  <c r="S65" i="75"/>
  <c r="T65" i="75"/>
  <c r="U65" i="75"/>
  <c r="V65" i="75"/>
  <c r="W65" i="75"/>
  <c r="X65" i="75"/>
  <c r="Y65" i="75"/>
  <c r="Z65" i="75"/>
  <c r="AA65" i="75"/>
  <c r="AB65" i="75"/>
  <c r="AC65" i="75"/>
  <c r="AD65" i="75"/>
  <c r="AE65" i="75"/>
  <c r="AH41" i="75" l="1"/>
  <c r="AH66" i="75"/>
  <c r="AH37" i="75"/>
  <c r="AH65" i="75"/>
  <c r="AH63" i="75"/>
  <c r="AH36" i="75"/>
  <c r="AI34" i="75"/>
  <c r="AH39" i="75"/>
  <c r="AH45" i="75"/>
  <c r="AH59" i="75"/>
  <c r="AH48" i="75"/>
  <c r="AH40" i="75"/>
  <c r="AH35" i="75"/>
  <c r="AH44" i="75"/>
  <c r="AH62" i="75"/>
  <c r="AH46" i="75"/>
  <c r="AH53" i="75"/>
  <c r="AH60" i="75"/>
  <c r="AH57" i="75"/>
  <c r="AH42" i="75"/>
  <c r="AH61" i="75"/>
  <c r="AH43" i="75"/>
  <c r="AH38" i="75"/>
  <c r="AH49" i="75"/>
  <c r="AH52" i="75"/>
  <c r="AH47" i="75"/>
  <c r="AH50" i="75"/>
  <c r="AH54" i="75"/>
  <c r="AH55" i="75"/>
  <c r="AH51" i="75"/>
  <c r="AH64" i="75"/>
  <c r="AH58" i="75"/>
  <c r="AH56" i="75"/>
  <c r="B67" i="75"/>
  <c r="AH67" i="75" s="1"/>
  <c r="E66" i="75"/>
  <c r="D66" i="75"/>
  <c r="C66" i="75"/>
  <c r="F66" i="75"/>
  <c r="G66" i="75"/>
  <c r="H66" i="75"/>
  <c r="I66" i="75"/>
  <c r="J66" i="75"/>
  <c r="K66" i="75"/>
  <c r="L66" i="75"/>
  <c r="M66" i="75"/>
  <c r="N66" i="75"/>
  <c r="O66" i="75"/>
  <c r="P66" i="75"/>
  <c r="Q66" i="75"/>
  <c r="R66" i="75"/>
  <c r="S66" i="75"/>
  <c r="T66" i="75"/>
  <c r="U66" i="75"/>
  <c r="V66" i="75"/>
  <c r="W66" i="75"/>
  <c r="X66" i="75"/>
  <c r="Y66" i="75"/>
  <c r="Z66" i="75"/>
  <c r="AA66" i="75"/>
  <c r="AB66" i="75"/>
  <c r="AC66" i="75"/>
  <c r="AD66" i="75"/>
  <c r="AE66" i="75"/>
  <c r="AF66" i="75"/>
  <c r="AG66" i="75"/>
  <c r="B68" i="75" l="1"/>
  <c r="D67" i="75"/>
  <c r="F67" i="75"/>
  <c r="C67" i="75"/>
  <c r="E67" i="75"/>
  <c r="G67" i="75"/>
  <c r="H67" i="75"/>
  <c r="I67" i="75"/>
  <c r="J67" i="75"/>
  <c r="K67" i="75"/>
  <c r="L67" i="75"/>
  <c r="M67" i="75"/>
  <c r="N67" i="75"/>
  <c r="O67" i="75"/>
  <c r="P67" i="75"/>
  <c r="Q67" i="75"/>
  <c r="R67" i="75"/>
  <c r="S67" i="75"/>
  <c r="T67" i="75"/>
  <c r="U67" i="75"/>
  <c r="V67" i="75"/>
  <c r="W67" i="75"/>
  <c r="X67" i="75"/>
  <c r="Y67" i="75"/>
  <c r="Z67" i="75"/>
  <c r="AA67" i="75"/>
  <c r="AB67" i="75"/>
  <c r="AC67" i="75"/>
  <c r="AD67" i="75"/>
  <c r="AE67" i="75"/>
  <c r="AF67" i="75"/>
  <c r="AG67" i="75"/>
  <c r="AI60" i="75"/>
  <c r="AI52" i="75"/>
  <c r="AI50" i="75"/>
  <c r="AI37" i="75"/>
  <c r="AJ34" i="75"/>
  <c r="AI56" i="75"/>
  <c r="AI65" i="75"/>
  <c r="AI62" i="75"/>
  <c r="AI38" i="75"/>
  <c r="AI42" i="75"/>
  <c r="AI53" i="75"/>
  <c r="AI51" i="75"/>
  <c r="AI45" i="75"/>
  <c r="AI58" i="75"/>
  <c r="AI64" i="75"/>
  <c r="AI41" i="75"/>
  <c r="AI48" i="75"/>
  <c r="AI49" i="75"/>
  <c r="AI54" i="75"/>
  <c r="AI36" i="75"/>
  <c r="AI40" i="75"/>
  <c r="AI59" i="75"/>
  <c r="AI43" i="75"/>
  <c r="AI47" i="75"/>
  <c r="AI61" i="75"/>
  <c r="AI63" i="75"/>
  <c r="AI68" i="75"/>
  <c r="AI67" i="75"/>
  <c r="AI46" i="75"/>
  <c r="AI35" i="75"/>
  <c r="AI44" i="75"/>
  <c r="AI55" i="75"/>
  <c r="AI39" i="75"/>
  <c r="AI57" i="75"/>
  <c r="AI66" i="75"/>
  <c r="AJ68" i="75" l="1"/>
  <c r="AJ56" i="75"/>
  <c r="AJ44" i="75"/>
  <c r="AJ40" i="75"/>
  <c r="AJ60" i="75"/>
  <c r="AJ35" i="75"/>
  <c r="AJ39" i="75"/>
  <c r="AK34" i="75"/>
  <c r="AJ37" i="75"/>
  <c r="AJ58" i="75"/>
  <c r="AJ49" i="75"/>
  <c r="AJ51" i="75"/>
  <c r="AJ42" i="75"/>
  <c r="AJ41" i="75"/>
  <c r="AJ48" i="75"/>
  <c r="AJ43" i="75"/>
  <c r="AJ54" i="75"/>
  <c r="AJ36" i="75"/>
  <c r="AJ50" i="75"/>
  <c r="AJ53" i="75"/>
  <c r="AJ61" i="75"/>
  <c r="AJ63" i="75"/>
  <c r="AJ64" i="75"/>
  <c r="AJ62" i="75"/>
  <c r="AJ38" i="75"/>
  <c r="AJ67" i="75"/>
  <c r="AJ46" i="75"/>
  <c r="AJ47" i="75"/>
  <c r="AJ65" i="75"/>
  <c r="AJ52" i="75"/>
  <c r="AJ45" i="75"/>
  <c r="AJ59" i="75"/>
  <c r="AJ66" i="75"/>
  <c r="AJ55" i="75"/>
  <c r="AJ57" i="75"/>
  <c r="B69" i="75"/>
  <c r="D68" i="75"/>
  <c r="C68" i="75"/>
  <c r="E68" i="75"/>
  <c r="F68" i="75"/>
  <c r="G68" i="75"/>
  <c r="H68" i="75"/>
  <c r="I68" i="75"/>
  <c r="J68" i="75"/>
  <c r="K68" i="75"/>
  <c r="L68" i="75"/>
  <c r="M68" i="75"/>
  <c r="N68" i="75"/>
  <c r="O68" i="75"/>
  <c r="P68" i="75"/>
  <c r="Q68" i="75"/>
  <c r="R68" i="75"/>
  <c r="S68" i="75"/>
  <c r="T68" i="75"/>
  <c r="U68" i="75"/>
  <c r="V68" i="75"/>
  <c r="W68" i="75"/>
  <c r="X68" i="75"/>
  <c r="Y68" i="75"/>
  <c r="Z68" i="75"/>
  <c r="AA68" i="75"/>
  <c r="AB68" i="75"/>
  <c r="AC68" i="75"/>
  <c r="AD68" i="75"/>
  <c r="AE68" i="75"/>
  <c r="AF68" i="75"/>
  <c r="AG68" i="75"/>
  <c r="AH68" i="75"/>
  <c r="E69" i="75" l="1"/>
  <c r="B70" i="75"/>
  <c r="C69" i="75"/>
  <c r="F69" i="75"/>
  <c r="D69" i="75"/>
  <c r="G69" i="75"/>
  <c r="H69" i="75"/>
  <c r="I69" i="75"/>
  <c r="J69" i="75"/>
  <c r="K69" i="75"/>
  <c r="L69" i="75"/>
  <c r="M69" i="75"/>
  <c r="N69" i="75"/>
  <c r="O69" i="75"/>
  <c r="P69" i="75"/>
  <c r="Q69" i="75"/>
  <c r="R69" i="75"/>
  <c r="S69" i="75"/>
  <c r="T69" i="75"/>
  <c r="U69" i="75"/>
  <c r="V69" i="75"/>
  <c r="W69" i="75"/>
  <c r="X69" i="75"/>
  <c r="Y69" i="75"/>
  <c r="Z69" i="75"/>
  <c r="AA69" i="75"/>
  <c r="AB69" i="75"/>
  <c r="AC69" i="75"/>
  <c r="AD69" i="75"/>
  <c r="AE69" i="75"/>
  <c r="AF69" i="75"/>
  <c r="AG69" i="75"/>
  <c r="AH69" i="75"/>
  <c r="AI69" i="75"/>
  <c r="AL34" i="75"/>
  <c r="AK57" i="75"/>
  <c r="AK45" i="75"/>
  <c r="AK39" i="75"/>
  <c r="AK35" i="75"/>
  <c r="AK65" i="75"/>
  <c r="AK48" i="75"/>
  <c r="AK62" i="75"/>
  <c r="AK43" i="75"/>
  <c r="AK40" i="75"/>
  <c r="AK42" i="75"/>
  <c r="AK47" i="75"/>
  <c r="AK69" i="75"/>
  <c r="AK63" i="75"/>
  <c r="AK52" i="75"/>
  <c r="AK60" i="75"/>
  <c r="AK37" i="75"/>
  <c r="AK46" i="75"/>
  <c r="AK36" i="75"/>
  <c r="AK55" i="75"/>
  <c r="AK38" i="75"/>
  <c r="AK51" i="75"/>
  <c r="AK53" i="75"/>
  <c r="AK64" i="75"/>
  <c r="AK59" i="75"/>
  <c r="AK49" i="75"/>
  <c r="AK54" i="75"/>
  <c r="AK70" i="75"/>
  <c r="AK68" i="75"/>
  <c r="AK61" i="75"/>
  <c r="AK44" i="75"/>
  <c r="AK41" i="75"/>
  <c r="AK50" i="75"/>
  <c r="AK66" i="75"/>
  <c r="AK67" i="75"/>
  <c r="AK56" i="75"/>
  <c r="AK58" i="75"/>
  <c r="AJ69" i="75"/>
  <c r="AL58" i="75" l="1"/>
  <c r="AM34" i="75"/>
  <c r="AL37" i="75"/>
  <c r="AL69" i="75"/>
  <c r="AL70" i="75"/>
  <c r="AL35" i="75"/>
  <c r="AL66" i="75"/>
  <c r="AL40" i="75"/>
  <c r="AL56" i="75"/>
  <c r="AL41" i="75"/>
  <c r="AL38" i="75"/>
  <c r="AL57" i="75"/>
  <c r="AL64" i="75"/>
  <c r="AL50" i="75"/>
  <c r="AL53" i="75"/>
  <c r="AL47" i="75"/>
  <c r="AL45" i="75"/>
  <c r="AL46" i="75"/>
  <c r="AL43" i="75"/>
  <c r="AL68" i="75"/>
  <c r="AL60" i="75"/>
  <c r="AL59" i="75"/>
  <c r="AL67" i="75"/>
  <c r="AL52" i="75"/>
  <c r="AL44" i="75"/>
  <c r="AL51" i="75"/>
  <c r="AL61" i="75"/>
  <c r="AL55" i="75"/>
  <c r="AL48" i="75"/>
  <c r="AL49" i="75"/>
  <c r="AL42" i="75"/>
  <c r="AL62" i="75"/>
  <c r="AL63" i="75"/>
  <c r="AL54" i="75"/>
  <c r="AL36" i="75"/>
  <c r="AL65" i="75"/>
  <c r="AL39" i="75"/>
  <c r="B71" i="75"/>
  <c r="AL71" i="75" s="1"/>
  <c r="E70" i="75"/>
  <c r="D70" i="75"/>
  <c r="C70" i="75"/>
  <c r="F70" i="75"/>
  <c r="G70" i="75"/>
  <c r="H70" i="75"/>
  <c r="I70" i="75"/>
  <c r="J70" i="75"/>
  <c r="K70" i="75"/>
  <c r="L70" i="75"/>
  <c r="M70" i="75"/>
  <c r="N70" i="75"/>
  <c r="O70" i="75"/>
  <c r="P70" i="75"/>
  <c r="Q70" i="75"/>
  <c r="R70" i="75"/>
  <c r="S70" i="75"/>
  <c r="T70" i="75"/>
  <c r="U70" i="75"/>
  <c r="V70" i="75"/>
  <c r="W70" i="75"/>
  <c r="X70" i="75"/>
  <c r="Y70" i="75"/>
  <c r="Z70" i="75"/>
  <c r="AA70" i="75"/>
  <c r="AB70" i="75"/>
  <c r="AC70" i="75"/>
  <c r="AD70" i="75"/>
  <c r="AE70" i="75"/>
  <c r="AF70" i="75"/>
  <c r="AG70" i="75"/>
  <c r="AH70" i="75"/>
  <c r="AI70" i="75"/>
  <c r="AJ70" i="75"/>
  <c r="B72" i="75" l="1"/>
  <c r="F71" i="75"/>
  <c r="C71" i="75"/>
  <c r="D71" i="75"/>
  <c r="E71" i="75"/>
  <c r="G71" i="75"/>
  <c r="H71" i="75"/>
  <c r="I71" i="75"/>
  <c r="J71" i="75"/>
  <c r="K71" i="75"/>
  <c r="L71" i="75"/>
  <c r="M71" i="75"/>
  <c r="N71" i="75"/>
  <c r="O71" i="75"/>
  <c r="P71" i="75"/>
  <c r="Q71" i="75"/>
  <c r="R71" i="75"/>
  <c r="S71" i="75"/>
  <c r="T71" i="75"/>
  <c r="U71" i="75"/>
  <c r="V71" i="75"/>
  <c r="W71" i="75"/>
  <c r="X71" i="75"/>
  <c r="Y71" i="75"/>
  <c r="Z71" i="75"/>
  <c r="AA71" i="75"/>
  <c r="AB71" i="75"/>
  <c r="AC71" i="75"/>
  <c r="AD71" i="75"/>
  <c r="AE71" i="75"/>
  <c r="AF71" i="75"/>
  <c r="AG71" i="75"/>
  <c r="AH71" i="75"/>
  <c r="AI71" i="75"/>
  <c r="AJ71" i="75"/>
  <c r="AK71" i="75"/>
  <c r="AN34" i="75"/>
  <c r="AM70" i="75"/>
  <c r="AM71" i="75"/>
  <c r="AM67" i="75"/>
  <c r="AM66" i="75"/>
  <c r="AM62" i="75"/>
  <c r="AM37" i="75"/>
  <c r="AM39" i="75"/>
  <c r="AM58" i="75"/>
  <c r="AM63" i="75"/>
  <c r="AM44" i="75"/>
  <c r="AM50" i="75"/>
  <c r="AM40" i="75"/>
  <c r="AM57" i="75"/>
  <c r="AM55" i="75"/>
  <c r="AM65" i="75"/>
  <c r="AM53" i="75"/>
  <c r="AM36" i="75"/>
  <c r="AM38" i="75"/>
  <c r="AM35" i="75"/>
  <c r="AM45" i="75"/>
  <c r="AM47" i="75"/>
  <c r="AM56" i="75"/>
  <c r="AM46" i="75"/>
  <c r="AM41" i="75"/>
  <c r="AM61" i="75"/>
  <c r="AM48" i="75"/>
  <c r="AM43" i="75"/>
  <c r="AM51" i="75"/>
  <c r="AM60" i="75"/>
  <c r="AM49" i="75"/>
  <c r="AM69" i="75"/>
  <c r="AM52" i="75"/>
  <c r="AM54" i="75"/>
  <c r="AM42" i="75"/>
  <c r="AM59" i="75"/>
  <c r="AM72" i="75"/>
  <c r="AM68" i="75"/>
  <c r="AM64" i="75"/>
  <c r="AN72" i="75" l="1"/>
  <c r="AN71" i="75"/>
  <c r="AO34" i="75"/>
  <c r="AN60" i="75"/>
  <c r="AN68" i="75"/>
  <c r="AN51" i="75"/>
  <c r="AN39" i="75"/>
  <c r="AN50" i="75"/>
  <c r="AN44" i="75"/>
  <c r="AN46" i="75"/>
  <c r="AN49" i="75"/>
  <c r="AN42" i="75"/>
  <c r="AN58" i="75"/>
  <c r="AN41" i="75"/>
  <c r="AN43" i="75"/>
  <c r="AN35" i="75"/>
  <c r="AN38" i="75"/>
  <c r="AN54" i="75"/>
  <c r="AN47" i="75"/>
  <c r="AN45" i="75"/>
  <c r="AN40" i="75"/>
  <c r="AN52" i="75"/>
  <c r="AN70" i="75"/>
  <c r="AN37" i="75"/>
  <c r="AN59" i="75"/>
  <c r="AN62" i="75"/>
  <c r="AN63" i="75"/>
  <c r="AN64" i="75"/>
  <c r="AN66" i="75"/>
  <c r="AN53" i="75"/>
  <c r="AN56" i="75"/>
  <c r="AN55" i="75"/>
  <c r="AN67" i="75"/>
  <c r="AN48" i="75"/>
  <c r="AN69" i="75"/>
  <c r="AN61" i="75"/>
  <c r="AN36" i="75"/>
  <c r="AN57" i="75"/>
  <c r="AN65" i="75"/>
  <c r="D72" i="75"/>
  <c r="B73" i="75"/>
  <c r="AN73" i="75" s="1"/>
  <c r="E72" i="75"/>
  <c r="C72" i="75"/>
  <c r="F72" i="75"/>
  <c r="G72" i="75"/>
  <c r="H72" i="75"/>
  <c r="I72" i="75"/>
  <c r="J72" i="75"/>
  <c r="K72" i="75"/>
  <c r="L72" i="75"/>
  <c r="M72" i="75"/>
  <c r="N72" i="75"/>
  <c r="O72" i="75"/>
  <c r="P72" i="75"/>
  <c r="Q72" i="75"/>
  <c r="R72" i="75"/>
  <c r="S72" i="75"/>
  <c r="T72" i="75"/>
  <c r="U72" i="75"/>
  <c r="V72" i="75"/>
  <c r="W72" i="75"/>
  <c r="X72" i="75"/>
  <c r="Y72" i="75"/>
  <c r="Z72" i="75"/>
  <c r="AA72" i="75"/>
  <c r="AB72" i="75"/>
  <c r="AC72" i="75"/>
  <c r="AD72" i="75"/>
  <c r="AE72" i="75"/>
  <c r="AF72" i="75"/>
  <c r="AG72" i="75"/>
  <c r="AH72" i="75"/>
  <c r="AI72" i="75"/>
  <c r="AJ72" i="75"/>
  <c r="AK72" i="75"/>
  <c r="AL72" i="75"/>
  <c r="B74" i="75" l="1"/>
  <c r="D73" i="75"/>
  <c r="C73" i="75"/>
  <c r="E73" i="75"/>
  <c r="F73" i="75"/>
  <c r="G73" i="75"/>
  <c r="H73" i="75"/>
  <c r="I73" i="75"/>
  <c r="J73" i="75"/>
  <c r="K73" i="75"/>
  <c r="L73" i="75"/>
  <c r="M73" i="75"/>
  <c r="N73" i="75"/>
  <c r="O73" i="75"/>
  <c r="P73" i="75"/>
  <c r="Q73" i="75"/>
  <c r="R73" i="75"/>
  <c r="S73" i="75"/>
  <c r="T73" i="75"/>
  <c r="U73" i="75"/>
  <c r="V73" i="75"/>
  <c r="W73" i="75"/>
  <c r="X73" i="75"/>
  <c r="Y73" i="75"/>
  <c r="Z73" i="75"/>
  <c r="AA73" i="75"/>
  <c r="AB73" i="75"/>
  <c r="AC73" i="75"/>
  <c r="AD73" i="75"/>
  <c r="AE73" i="75"/>
  <c r="AF73" i="75"/>
  <c r="AG73" i="75"/>
  <c r="AH73" i="75"/>
  <c r="AI73" i="75"/>
  <c r="AJ73" i="75"/>
  <c r="AK73" i="75"/>
  <c r="AL73" i="75"/>
  <c r="AM73" i="75"/>
  <c r="AO40" i="75"/>
  <c r="AO39" i="75"/>
  <c r="AO74" i="75"/>
  <c r="AO65" i="75"/>
  <c r="AO68" i="75"/>
  <c r="AO54" i="75"/>
  <c r="AP34" i="75"/>
  <c r="AO38" i="75"/>
  <c r="AO44" i="75"/>
  <c r="AO69" i="75"/>
  <c r="AO67" i="75"/>
  <c r="AO41" i="75"/>
  <c r="AO60" i="75"/>
  <c r="AO53" i="75"/>
  <c r="AO35" i="75"/>
  <c r="AO36" i="75"/>
  <c r="AO56" i="75"/>
  <c r="AO43" i="75"/>
  <c r="AO42" i="75"/>
  <c r="AO49" i="75"/>
  <c r="AO52" i="75"/>
  <c r="AO47" i="75"/>
  <c r="AO59" i="75"/>
  <c r="AO64" i="75"/>
  <c r="AO72" i="75"/>
  <c r="AO37" i="75"/>
  <c r="AO62" i="75"/>
  <c r="AO66" i="75"/>
  <c r="AO73" i="75"/>
  <c r="AO61" i="75"/>
  <c r="AO58" i="75"/>
  <c r="AO46" i="75"/>
  <c r="AO70" i="75"/>
  <c r="AO57" i="75"/>
  <c r="AO51" i="75"/>
  <c r="AO55" i="75"/>
  <c r="AO50" i="75"/>
  <c r="AO71" i="75"/>
  <c r="AO45" i="75"/>
  <c r="AO48" i="75"/>
  <c r="AO63" i="75"/>
  <c r="AP42" i="75" l="1"/>
  <c r="AP53" i="75"/>
  <c r="AP73" i="75"/>
  <c r="AP67" i="75"/>
  <c r="AP72" i="75"/>
  <c r="AP36" i="75"/>
  <c r="AQ34" i="75"/>
  <c r="AP59" i="75"/>
  <c r="AP66" i="75"/>
  <c r="AP41" i="75"/>
  <c r="AP44" i="75"/>
  <c r="AP49" i="75"/>
  <c r="AP60" i="75"/>
  <c r="AP51" i="75"/>
  <c r="AP61" i="75"/>
  <c r="AP43" i="75"/>
  <c r="AP55" i="75"/>
  <c r="AP56" i="75"/>
  <c r="AP45" i="75"/>
  <c r="AP48" i="75"/>
  <c r="AP46" i="75"/>
  <c r="AP39" i="75"/>
  <c r="AP40" i="75"/>
  <c r="AP52" i="75"/>
  <c r="AP50" i="75"/>
  <c r="AP57" i="75"/>
  <c r="AP63" i="75"/>
  <c r="AP47" i="75"/>
  <c r="AP74" i="75"/>
  <c r="AP37" i="75"/>
  <c r="AP71" i="75"/>
  <c r="AP69" i="75"/>
  <c r="AP58" i="75"/>
  <c r="AP38" i="75"/>
  <c r="AP65" i="75"/>
  <c r="AP54" i="75"/>
  <c r="AP62" i="75"/>
  <c r="AP68" i="75"/>
  <c r="AP70" i="75"/>
  <c r="AP64" i="75"/>
  <c r="AP35" i="75"/>
  <c r="E74" i="75"/>
  <c r="B75" i="75"/>
  <c r="AP75" i="75" s="1"/>
  <c r="C74" i="75"/>
  <c r="D74" i="75"/>
  <c r="F74" i="75"/>
  <c r="G74" i="75"/>
  <c r="H74" i="75"/>
  <c r="I74" i="75"/>
  <c r="J74" i="75"/>
  <c r="K74" i="75"/>
  <c r="L74" i="75"/>
  <c r="M74" i="75"/>
  <c r="N74" i="75"/>
  <c r="O74" i="75"/>
  <c r="P74" i="75"/>
  <c r="Q74" i="75"/>
  <c r="R74" i="75"/>
  <c r="S74" i="75"/>
  <c r="T74" i="75"/>
  <c r="U74" i="75"/>
  <c r="V74" i="75"/>
  <c r="W74" i="75"/>
  <c r="X74" i="75"/>
  <c r="Y74" i="75"/>
  <c r="Z74" i="75"/>
  <c r="AA74" i="75"/>
  <c r="AB74" i="75"/>
  <c r="AC74" i="75"/>
  <c r="AD74" i="75"/>
  <c r="AE74" i="75"/>
  <c r="AF74" i="75"/>
  <c r="AG74" i="75"/>
  <c r="AH74" i="75"/>
  <c r="AI74" i="75"/>
  <c r="AJ74" i="75"/>
  <c r="AK74" i="75"/>
  <c r="AL74" i="75"/>
  <c r="AM74" i="75"/>
  <c r="AN74" i="75"/>
  <c r="AQ59" i="75" l="1"/>
  <c r="AQ35" i="75"/>
  <c r="AQ37" i="75"/>
  <c r="AQ53" i="75"/>
  <c r="AQ48" i="75"/>
  <c r="AQ75" i="75"/>
  <c r="AQ69" i="75"/>
  <c r="AQ61" i="75"/>
  <c r="AQ66" i="75"/>
  <c r="AQ74" i="75"/>
  <c r="AQ38" i="75"/>
  <c r="AQ67" i="75"/>
  <c r="AQ56" i="75"/>
  <c r="AQ36" i="75"/>
  <c r="AQ42" i="75"/>
  <c r="AQ50" i="75"/>
  <c r="AQ45" i="75"/>
  <c r="AQ41" i="75"/>
  <c r="AQ49" i="75"/>
  <c r="AQ39" i="75"/>
  <c r="AQ72" i="75"/>
  <c r="AQ47" i="75"/>
  <c r="AQ44" i="75"/>
  <c r="AQ54" i="75"/>
  <c r="AQ51" i="75"/>
  <c r="AQ73" i="75"/>
  <c r="AQ40" i="75"/>
  <c r="AQ62" i="75"/>
  <c r="AQ58" i="75"/>
  <c r="AQ65" i="75"/>
  <c r="AQ52" i="75"/>
  <c r="AQ60" i="75"/>
  <c r="AQ63" i="75"/>
  <c r="AQ64" i="75"/>
  <c r="AQ68" i="75"/>
  <c r="AQ55" i="75"/>
  <c r="AQ43" i="75"/>
  <c r="AQ46" i="75"/>
  <c r="AQ57" i="75"/>
  <c r="AQ70" i="75"/>
  <c r="AQ71" i="75"/>
  <c r="D75" i="75"/>
  <c r="C75" i="75"/>
  <c r="E75" i="75"/>
  <c r="F75" i="75"/>
  <c r="G75" i="75"/>
  <c r="H75" i="75"/>
  <c r="I75" i="75"/>
  <c r="J75" i="75"/>
  <c r="K75" i="75"/>
  <c r="L75" i="75"/>
  <c r="M75" i="75"/>
  <c r="N75" i="75"/>
  <c r="O75" i="75"/>
  <c r="P75" i="75"/>
  <c r="Q75" i="75"/>
  <c r="R75" i="75"/>
  <c r="S75" i="75"/>
  <c r="T75" i="75"/>
  <c r="U75" i="75"/>
  <c r="V75" i="75"/>
  <c r="W75" i="75"/>
  <c r="X75" i="75"/>
  <c r="Y75" i="75"/>
  <c r="Z75" i="75"/>
  <c r="AA75" i="75"/>
  <c r="AB75" i="75"/>
  <c r="AC75" i="75"/>
  <c r="AD75" i="75"/>
  <c r="AE75" i="75"/>
  <c r="AF75" i="75"/>
  <c r="AG75" i="75"/>
  <c r="AH75" i="75"/>
  <c r="AI75" i="75"/>
  <c r="AJ75" i="75"/>
  <c r="AK75" i="75"/>
  <c r="AL75" i="75"/>
  <c r="AM75" i="75"/>
  <c r="AN75" i="75"/>
  <c r="AO75" i="75"/>
  <c r="C77" i="75" l="1"/>
  <c r="AB78" i="75" l="1"/>
  <c r="AS56" i="75"/>
  <c r="AS43" i="75"/>
  <c r="AS44" i="75"/>
  <c r="I78" i="75"/>
  <c r="AF78" i="75"/>
  <c r="AM78" i="75"/>
  <c r="AA78" i="75"/>
  <c r="AS53" i="75"/>
  <c r="AQ78" i="75"/>
  <c r="AS39" i="75"/>
  <c r="AS69" i="75"/>
  <c r="AS75" i="75"/>
  <c r="AD78" i="75"/>
  <c r="AG78" i="75"/>
  <c r="AS59" i="75"/>
  <c r="O78" i="75"/>
  <c r="J78" i="75"/>
  <c r="S78" i="75"/>
  <c r="F78" i="75"/>
  <c r="AS61" i="75"/>
  <c r="AS55" i="75"/>
  <c r="AS62" i="75"/>
  <c r="E78" i="75"/>
  <c r="L78" i="75"/>
  <c r="V78" i="75"/>
  <c r="AS50" i="75"/>
  <c r="AS36" i="75"/>
  <c r="AS72" i="75"/>
  <c r="N78" i="75"/>
  <c r="AS74" i="75"/>
  <c r="AI78" i="75"/>
  <c r="Z78" i="75"/>
  <c r="X78" i="75"/>
  <c r="AS40" i="75"/>
  <c r="R78" i="75"/>
  <c r="AS42" i="75"/>
  <c r="AO78" i="75"/>
  <c r="AS41" i="75"/>
  <c r="AN78" i="75"/>
  <c r="AS65" i="75"/>
  <c r="AS38" i="75"/>
  <c r="Q78" i="75"/>
  <c r="T78" i="75"/>
  <c r="K78" i="75"/>
  <c r="P78" i="75"/>
  <c r="AS63" i="75"/>
  <c r="AS70" i="75"/>
  <c r="AS67" i="75"/>
  <c r="AK78" i="75"/>
  <c r="AS64" i="75"/>
  <c r="AS60" i="75"/>
  <c r="D78" i="75"/>
  <c r="AS37" i="75"/>
  <c r="Y78" i="75"/>
  <c r="AS66" i="75"/>
  <c r="AS47" i="75"/>
  <c r="AS45" i="75"/>
  <c r="W78" i="75"/>
  <c r="AS73" i="75"/>
  <c r="AS35" i="75"/>
  <c r="C80" i="75" s="1"/>
  <c r="L3" i="75" s="1"/>
  <c r="M3" i="75" s="1"/>
  <c r="AS54" i="75"/>
  <c r="AL78" i="75"/>
  <c r="AS71" i="75"/>
  <c r="AS51" i="75"/>
  <c r="AE78" i="75"/>
  <c r="H78" i="75"/>
  <c r="C78" i="75"/>
  <c r="C81" i="75" s="1"/>
  <c r="L2" i="75" s="1"/>
  <c r="M2" i="75" s="1"/>
  <c r="AC78" i="75"/>
  <c r="AJ78" i="75"/>
  <c r="AS49" i="75"/>
  <c r="AS68" i="75"/>
  <c r="AS58" i="75"/>
  <c r="U78" i="75"/>
  <c r="G78" i="75"/>
  <c r="AS52" i="75"/>
  <c r="AH78" i="75"/>
  <c r="AS46" i="75"/>
  <c r="M78" i="75"/>
  <c r="AP78" i="75"/>
  <c r="AS48" i="75"/>
  <c r="AS57" i="75"/>
  <c r="A6" i="75" l="1"/>
</calcChain>
</file>

<file path=xl/sharedStrings.xml><?xml version="1.0" encoding="utf-8"?>
<sst xmlns="http://schemas.openxmlformats.org/spreadsheetml/2006/main" count="2547" uniqueCount="433">
  <si>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</si>
  <si>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</si>
  <si>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</si>
  <si>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</si>
  <si>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</si>
  <si>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</si>
  <si>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</si>
  <si>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</si>
  <si>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</si>
  <si>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</si>
  <si>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</si>
  <si>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</si>
  <si>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</si>
  <si>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</si>
  <si>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</si>
  <si>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</si>
  <si>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</si>
  <si>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</si>
  <si>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</si>
  <si>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</si>
  <si>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</si>
  <si>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</si>
  <si>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</si>
  <si>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</si>
  <si>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</si>
  <si>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</si>
  <si>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</si>
  <si>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</si>
  <si>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</si>
  <si>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</si>
  <si>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</si>
  <si>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</si>
  <si>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</si>
  <si>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</si>
  <si>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</si>
  <si>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</si>
  <si>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</si>
  <si>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</si>
  <si>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</si>
  <si>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</si>
  <si>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</si>
  <si>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</si>
  <si>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</si>
  <si>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</si>
  <si>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</si>
  <si>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</si>
  <si>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</si>
  <si>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</si>
  <si>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</si>
  <si>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</si>
  <si>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</si>
  <si>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</si>
  <si>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</si>
  <si>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</si>
  <si>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</si>
  <si>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</si>
  <si>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</si>
  <si>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</si>
  <si>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</si>
  <si>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</si>
  <si>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</si>
  <si>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</si>
  <si>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</si>
  <si>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</si>
  <si>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</si>
  <si>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</si>
  <si>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</si>
  <si>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</si>
  <si>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</si>
  <si>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</si>
  <si>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</si>
  <si>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</si>
  <si>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</si>
  <si>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</si>
  <si>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</si>
  <si>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</si>
  <si>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</si>
  <si>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</si>
  <si>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</si>
  <si>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</si>
  <si>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</si>
  <si>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</si>
  <si>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</si>
  <si>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</si>
  <si>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</si>
  <si>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</si>
  <si>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</si>
  <si>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</si>
  <si>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</si>
  <si>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</si>
  <si>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</si>
  <si>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</si>
  <si>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</si>
  <si>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</si>
  <si>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</si>
  <si>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</si>
  <si>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</si>
  <si>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</si>
  <si>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</si>
  <si>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</si>
  <si>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</si>
  <si>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</si>
  <si>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</si>
  <si>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</si>
  <si>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</si>
  <si>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</si>
  <si>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</si>
  <si>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</si>
  <si>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</si>
  <si>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</si>
  <si>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</si>
  <si>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</si>
  <si>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</si>
  <si>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</si>
  <si>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</si>
  <si>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</si>
  <si>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</si>
  <si>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</si>
  <si>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</si>
  <si>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</si>
  <si>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</si>
  <si>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</si>
  <si>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</si>
  <si>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</si>
  <si>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</si>
  <si>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</si>
  <si>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</si>
  <si>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</si>
  <si>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</si>
  <si>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</si>
  <si>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</si>
  <si>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</si>
  <si>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</si>
  <si>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</si>
  <si>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</si>
  <si>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</si>
  <si>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</si>
  <si>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</si>
  <si>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</si>
  <si>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</si>
  <si>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</si>
  <si>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</si>
  <si>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</si>
  <si>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</si>
  <si>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</si>
  <si>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</si>
  <si>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</si>
  <si>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</si>
  <si>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</si>
  <si>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</si>
  <si>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</si>
  <si>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</si>
  <si>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</si>
  <si>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</si>
  <si>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</si>
  <si>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</si>
  <si>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</si>
  <si>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</si>
  <si>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</si>
  <si>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</si>
  <si>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</si>
  <si>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</si>
  <si>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</si>
  <si>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</si>
  <si>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</si>
  <si>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</si>
  <si>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</si>
  <si>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</si>
  <si>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</si>
  <si>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</si>
  <si>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</si>
  <si>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</si>
  <si>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</si>
  <si>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</si>
  <si>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</si>
  <si>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</si>
  <si>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</si>
  <si>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</si>
  <si>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</si>
  <si>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</si>
  <si>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</si>
  <si>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</si>
  <si>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</si>
  <si>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</si>
  <si>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</si>
  <si>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</si>
  <si>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</si>
  <si>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</si>
  <si>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</si>
  <si>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</si>
  <si>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</si>
  <si>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</si>
  <si>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</si>
  <si>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</si>
  <si>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</si>
  <si>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</si>
  <si>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</si>
  <si>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</si>
  <si>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</si>
  <si>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</si>
  <si>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</si>
  <si>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</si>
  <si>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</si>
  <si>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</si>
  <si>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</si>
  <si>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</si>
  <si>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</si>
  <si>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</si>
  <si>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</si>
  <si>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</si>
  <si>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</si>
  <si>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</si>
  <si>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</si>
  <si>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</si>
  <si>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</si>
  <si>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</si>
  <si>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</si>
  <si>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</si>
  <si>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</si>
  <si>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</si>
  <si>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</si>
  <si>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</si>
  <si>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</si>
  <si>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</si>
  <si>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</si>
  <si>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</si>
  <si>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</si>
  <si>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</si>
  <si>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</si>
  <si>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</si>
  <si>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</si>
  <si>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</si>
  <si>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</si>
  <si>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</si>
  <si>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</si>
  <si>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</si>
  <si>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</si>
  <si>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</si>
  <si>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</si>
  <si>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</si>
  <si>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</si>
  <si>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</si>
  <si>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</si>
  <si>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</si>
  <si>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</si>
  <si>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</si>
  <si>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</si>
  <si>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</si>
  <si>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</si>
  <si>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</si>
  <si>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</si>
  <si>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</si>
  <si>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</si>
  <si>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</si>
  <si>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</si>
  <si>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</si>
  <si>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</si>
  <si>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</si>
  <si>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</si>
  <si>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</si>
  <si>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</si>
  <si>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</si>
  <si>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</si>
  <si>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</si>
  <si>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</si>
  <si>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</si>
  <si>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</si>
  <si>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</si>
  <si>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</si>
  <si>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</si>
  <si>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</si>
  <si>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</si>
  <si>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</si>
  <si>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</si>
  <si>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</si>
  <si>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</si>
  <si>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</si>
  <si>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</si>
  <si>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</si>
  <si>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</si>
  <si>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</si>
  <si>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</si>
  <si>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</si>
  <si>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</si>
  <si>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</si>
  <si>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</si>
  <si>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</si>
  <si>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</si>
  <si>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</si>
  <si>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</si>
  <si>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</si>
  <si>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</si>
  <si>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</si>
  <si>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</si>
  <si>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</si>
  <si>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</si>
  <si>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</si>
  <si>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</si>
  <si>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</si>
  <si>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</si>
  <si>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</si>
  <si>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</si>
  <si>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</si>
  <si>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</si>
  <si>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</si>
  <si>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</si>
  <si>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</si>
  <si>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</si>
  <si>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</si>
  <si>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</si>
  <si>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</si>
  <si>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</si>
  <si>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</si>
  <si>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</si>
  <si>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</si>
  <si>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</si>
  <si>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</si>
  <si>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</si>
  <si>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</si>
  <si>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</si>
  <si>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</si>
  <si>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</si>
  <si>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</si>
  <si>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</si>
  <si>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</si>
  <si>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</si>
  <si>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</si>
  <si>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</si>
  <si>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</si>
  <si>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</si>
  <si>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</si>
  <si>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</si>
  <si>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</si>
  <si>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</si>
  <si>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</si>
  <si>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</si>
  <si>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</si>
  <si>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</si>
  <si>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</si>
  <si>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</si>
  <si>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</si>
  <si>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</si>
  <si>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</si>
  <si>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</si>
  <si>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</si>
  <si>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</si>
  <si>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</si>
  <si>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</si>
  <si>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</si>
  <si>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</si>
  <si>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</si>
  <si>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</si>
  <si>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</si>
  <si>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</si>
  <si>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</si>
  <si>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</si>
  <si>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</si>
  <si>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</si>
  <si>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</si>
  <si>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</si>
  <si>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</si>
  <si>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</si>
  <si>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</si>
  <si>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</si>
  <si>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</si>
  <si>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</si>
  <si>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</si>
  <si>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</si>
  <si>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</si>
  <si>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</si>
  <si>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</si>
  <si>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</si>
  <si>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</si>
  <si>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</si>
  <si>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</si>
  <si>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</si>
  <si>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</si>
  <si>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</si>
  <si>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</si>
  <si>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</si>
  <si>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</si>
  <si>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</si>
  <si>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</si>
  <si>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</si>
  <si>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</si>
  <si>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</si>
  <si>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</si>
  <si>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</si>
  <si>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</si>
  <si>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</si>
  <si>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</si>
  <si>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</si>
  <si>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</si>
  <si>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</si>
  <si>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</si>
  <si>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</si>
  <si>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</si>
  <si>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</si>
  <si>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</si>
  <si>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</si>
  <si>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</si>
  <si>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</si>
  <si>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</si>
  <si>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</si>
  <si>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</si>
  <si>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</si>
  <si>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</si>
  <si>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</si>
  <si>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</si>
  <si>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</si>
  <si>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</si>
  <si>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</si>
  <si>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</si>
  <si>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</si>
  <si>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</si>
  <si>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</si>
  <si>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</si>
  <si>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</si>
  <si>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</si>
  <si>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NA</t>
  </si>
  <si>
    <t>Works on Excel 2016, result now changes based on INFO function</t>
  </si>
  <si>
    <t>Problem: minimize x^2, x in [-10, 10]</t>
  </si>
  <si>
    <t>objective</t>
  </si>
  <si>
    <t>This cell is updated by the 'updateObjective' macro, NOT a formula</t>
  </si>
  <si>
    <t>variable</t>
  </si>
  <si>
    <t>NOMAD ExtraParameters (set in 'Solver Options')</t>
  </si>
  <si>
    <t>OpenSolver_Callback</t>
  </si>
  <si>
    <t>add the macro name here, prefixed with the workbook name and !</t>
  </si>
  <si>
    <t>'OpenSolver Tester.xlsm'!NOMADCallback_updateObjective</t>
  </si>
  <si>
    <t>FAIL</t>
  </si>
  <si>
    <t>NeosCplex</t>
  </si>
  <si>
    <t>FAIL*</t>
  </si>
  <si>
    <t>time_limit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</si>
</sst>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7" xfId="0" quotePrefix="1" applyBorder="1"/>
    <xf numFmtId="0" fontId="0" fillId="0" borderId="0" xfId="0" applyAlignment="1">
      <alignment horizontal="center"/>
    </xf>
    <xf numFmtId="11" fontId="0" fillId="0" borderId="24" xfId="0" applyNumberFormat="1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 xr:uid="{00000000-0005-0000-0000-000008000000}"/>
    <cellStyle name="Normal 3" xfId="10" xr:uid="{00000000-0005-0000-0000-000009000000}"/>
    <cellStyle name="Normal_ExcelSolverExample2" xfId="9" xr:uid="{00000000-0005-0000-0000-00000A000000}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142562056"/>
        <c:axId val="2140061272"/>
        <c:axId val="2140067480"/>
      </c:surface3DChart>
      <c:catAx>
        <c:axId val="214256205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006127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14006127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562056"/>
        <c:crosses val="min"/>
        <c:crossBetween val="between"/>
        <c:majorUnit val="0.1"/>
      </c:valAx>
      <c:serAx>
        <c:axId val="2140067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006127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825800"/>
        <c:axId val="2142829288"/>
      </c:scatterChart>
      <c:valAx>
        <c:axId val="214282580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829288"/>
        <c:crosses val="autoZero"/>
        <c:crossBetween val="midCat"/>
        <c:majorUnit val="0.5"/>
      </c:valAx>
      <c:valAx>
        <c:axId val="214282928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8258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2.3571428552810598</c:v>
                </c:pt>
                <c:pt idx="2">
                  <c:v>6.9999999979988861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1.8557687247600261</c:v>
                </c:pt>
                <c:pt idx="2">
                  <c:v>2.0162513880706001E-9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70808"/>
        <c:axId val="2143474296"/>
      </c:scatterChart>
      <c:valAx>
        <c:axId val="21434708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3474296"/>
        <c:crosses val="autoZero"/>
        <c:crossBetween val="midCat"/>
        <c:majorUnit val="1"/>
      </c:valAx>
      <c:valAx>
        <c:axId val="21434742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34708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198120</xdr:rowOff>
        </xdr:from>
        <xdr:to>
          <xdr:col>1</xdr:col>
          <xdr:colOff>449580</xdr:colOff>
          <xdr:row>0</xdr:row>
          <xdr:rowOff>640080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:a16="http://schemas.microsoft.com/office/drawing/2014/main" id="{00000000-0008-0000-0200-000007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  <a:ext uri="{FF2B5EF4-FFF2-40B4-BE49-F238E27FC236}">
              <a16:creationId xmlns:a16="http://schemas.microsoft.com/office/drawing/2014/main" id="{00000000-0008-0000-0200-00000A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  <a:ext uri="{FF2B5EF4-FFF2-40B4-BE49-F238E27FC236}">
              <a16:creationId xmlns:a16="http://schemas.microsoft.com/office/drawing/2014/main" id="{00000000-0008-0000-0200-00000B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0</xdr:row>
          <xdr:rowOff>198120</xdr:rowOff>
        </xdr:from>
        <xdr:to>
          <xdr:col>8</xdr:col>
          <xdr:colOff>457200</xdr:colOff>
          <xdr:row>0</xdr:row>
          <xdr:rowOff>640080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0</xdr:row>
          <xdr:rowOff>190500</xdr:rowOff>
        </xdr:from>
        <xdr:to>
          <xdr:col>11</xdr:col>
          <xdr:colOff>563880</xdr:colOff>
          <xdr:row>0</xdr:row>
          <xdr:rowOff>640080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160020</xdr:colOff>
          <xdr:row>0</xdr:row>
          <xdr:rowOff>640080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1476375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799147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629602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3057525" y="1171575"/>
          <a:ext cx="11525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120650</xdr:rowOff>
    </xdr:from>
    <xdr:to>
      <xdr:col>8</xdr:col>
      <xdr:colOff>221564</xdr:colOff>
      <xdr:row>6</xdr:row>
      <xdr:rowOff>47625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7" name="OpenSolver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>
          <a:off x="3057525" y="1552575"/>
          <a:ext cx="115252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>
          <a:off x="4410075" y="1552575"/>
          <a:ext cx="10858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9" name="OpenSolver8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CxnSpPr>
          <a:stCxn id="37" idx="3"/>
          <a:endCxn id="38" idx="1"/>
        </xdr:cNvCxnSpPr>
      </xdr:nvCxnSpPr>
      <xdr:spPr>
        <a:xfrm>
          <a:off x="421005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1062038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>
          <a:off x="411956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>
          <a:off x="4410075" y="1952625"/>
          <a:ext cx="10858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/>
      </xdr:nvSpPr>
      <xdr:spPr>
        <a:xfrm>
          <a:off x="6296025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43" name="OpenSolver1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CxnSpPr>
          <a:stCxn id="41" idx="3"/>
          <a:endCxn id="42" idx="1"/>
        </xdr:cNvCxnSpPr>
      </xdr:nvCxnSpPr>
      <xdr:spPr>
        <a:xfrm>
          <a:off x="5495925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/>
      </xdr:nvSpPr>
      <xdr:spPr>
        <a:xfrm>
          <a:off x="5705475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5" name="OpenSolver1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>
          <a:off x="3057525" y="2143125"/>
          <a:ext cx="11525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SpPr/>
      </xdr:nvSpPr>
      <xdr:spPr>
        <a:xfrm>
          <a:off x="4410075" y="2143125"/>
          <a:ext cx="10858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7" name="OpenSolver1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CxnSpPr>
          <a:stCxn id="45" idx="3"/>
          <a:endCxn id="46" idx="1"/>
        </xdr:cNvCxnSpPr>
      </xdr:nvCxnSpPr>
      <xdr:spPr>
        <a:xfrm>
          <a:off x="42100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1062038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8" name="OpenSolver1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/>
      </xdr:nvSpPr>
      <xdr:spPr>
        <a:xfrm>
          <a:off x="41195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9" name="OpenSolver18"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SpPr/>
      </xdr:nvSpPr>
      <xdr:spPr>
        <a:xfrm>
          <a:off x="866775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0" name="OpenSolver19"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SpPr/>
      </xdr:nvSpPr>
      <xdr:spPr>
        <a:xfrm>
          <a:off x="913447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1" name="OpenSolver20"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CxnSpPr>
          <a:stCxn id="49" idx="3"/>
          <a:endCxn id="50" idx="1"/>
        </xdr:cNvCxnSpPr>
      </xdr:nvCxnSpPr>
      <xdr:spPr>
        <a:xfrm>
          <a:off x="8934450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2" name="OpenSolver21">
          <a:extLst>
            <a:ext uri="{FF2B5EF4-FFF2-40B4-BE49-F238E27FC236}">
              <a16:creationId xmlns:a16="http://schemas.microsoft.com/office/drawing/2014/main" id="{00000000-0008-0000-1600-000034000000}"/>
            </a:ext>
          </a:extLst>
        </xdr:cNvPr>
        <xdr:cNvSpPr/>
      </xdr:nvSpPr>
      <xdr:spPr>
        <a:xfrm>
          <a:off x="884396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3" name="OpenSolver22"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SpPr/>
      </xdr:nvSpPr>
      <xdr:spPr>
        <a:xfrm>
          <a:off x="799147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4" name="OpenSolver23">
          <a:extLst>
            <a:ext uri="{FF2B5EF4-FFF2-40B4-BE49-F238E27FC236}">
              <a16:creationId xmlns:a16="http://schemas.microsoft.com/office/drawing/2014/main" id="{00000000-0008-0000-1600-000036000000}"/>
            </a:ext>
          </a:extLst>
        </xdr:cNvPr>
        <xdr:cNvSpPr/>
      </xdr:nvSpPr>
      <xdr:spPr>
        <a:xfrm>
          <a:off x="799147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5" name="OpenSolver24"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CxnSpPr>
          <a:stCxn id="53" idx="2"/>
          <a:endCxn id="54" idx="0"/>
        </xdr:cNvCxnSpPr>
      </xdr:nvCxnSpPr>
      <xdr:spPr>
        <a:xfrm>
          <a:off x="8329613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6" name="OpenSolver25">
          <a:extLst>
            <a:ext uri="{FF2B5EF4-FFF2-40B4-BE49-F238E27FC236}">
              <a16:creationId xmlns:a16="http://schemas.microsoft.com/office/drawing/2014/main" id="{00000000-0008-0000-1600-000038000000}"/>
            </a:ext>
          </a:extLst>
        </xdr:cNvPr>
        <xdr:cNvSpPr/>
      </xdr:nvSpPr>
      <xdr:spPr>
        <a:xfrm>
          <a:off x="813911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7" name="OpenSolverI10"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SpPr/>
      </xdr:nvSpPr>
      <xdr:spPr>
        <a:xfrm>
          <a:off x="3057525" y="1752600"/>
          <a:ext cx="115252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58" name="OpenSolverI14">
          <a:extLst>
            <a:ext uri="{FF2B5EF4-FFF2-40B4-BE49-F238E27FC236}">
              <a16:creationId xmlns:a16="http://schemas.microsoft.com/office/drawing/2014/main" id="{00000000-0008-0000-1600-00003A000000}"/>
            </a:ext>
          </a:extLst>
        </xdr:cNvPr>
        <xdr:cNvSpPr/>
      </xdr:nvSpPr>
      <xdr:spPr>
        <a:xfrm>
          <a:off x="3057525" y="2524125"/>
          <a:ext cx="1152525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9" name="OpenSolver28"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SpPr/>
      </xdr:nvSpPr>
      <xdr:spPr>
        <a:xfrm>
          <a:off x="18288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60" name="OpenSolver29">
          <a:extLst>
            <a:ext uri="{FF2B5EF4-FFF2-40B4-BE49-F238E27FC236}">
              <a16:creationId xmlns:a16="http://schemas.microsoft.com/office/drawing/2014/main" id="{00000000-0008-0000-1600-00003C000000}"/>
            </a:ext>
          </a:extLst>
        </xdr:cNvPr>
        <xdr:cNvSpPr/>
      </xdr:nvSpPr>
      <xdr:spPr>
        <a:xfrm>
          <a:off x="21717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6350</xdr:rowOff>
    </xdr:from>
    <xdr:to>
      <xdr:col>3</xdr:col>
      <xdr:colOff>61655</xdr:colOff>
      <xdr:row>4</xdr:row>
      <xdr:rowOff>120650</xdr:rowOff>
    </xdr:to>
    <xdr:sp macro="" textlink="">
      <xdr:nvSpPr>
        <xdr:cNvPr id="61" name="OpenSolver30"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SpPr/>
      </xdr:nvSpPr>
      <xdr:spPr>
        <a:xfrm>
          <a:off x="14859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2200-000016000000}"/>
            </a:ext>
          </a:extLst>
        </xdr:cNvPr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2200-000017000000}"/>
            </a:ext>
          </a:extLst>
        </xdr:cNvPr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2200-000018000000}"/>
            </a:ext>
          </a:extLst>
        </xdr:cNvPr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2200-000019000000}"/>
            </a:ext>
          </a:extLst>
        </xdr:cNvPr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2200-00001A000000}"/>
            </a:ext>
          </a:extLst>
        </xdr:cNvPr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22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2200-00001C000000}"/>
            </a:ext>
          </a:extLst>
        </xdr:cNvPr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2200-00001D000000}"/>
            </a:ext>
          </a:extLst>
        </xdr:cNvPr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2200-000020000000}"/>
            </a:ext>
          </a:extLst>
        </xdr:cNvPr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2200-000021000000}"/>
            </a:ext>
          </a:extLst>
        </xdr:cNvPr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>
          <a:extLst>
            <a:ext uri="{FF2B5EF4-FFF2-40B4-BE49-F238E27FC236}">
              <a16:creationId xmlns:a16="http://schemas.microsoft.com/office/drawing/2014/main" id="{00000000-0008-0000-2300-000014000000}"/>
            </a:ext>
          </a:extLst>
        </xdr:cNvPr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>
          <a:extLst>
            <a:ext uri="{FF2B5EF4-FFF2-40B4-BE49-F238E27FC236}">
              <a16:creationId xmlns:a16="http://schemas.microsoft.com/office/drawing/2014/main" id="{00000000-0008-0000-2300-000016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2300-000017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>
          <a:extLst>
            <a:ext uri="{FF2B5EF4-FFF2-40B4-BE49-F238E27FC236}">
              <a16:creationId xmlns:a16="http://schemas.microsoft.com/office/drawing/2014/main" id="{00000000-0008-0000-2300-000018000000}"/>
            </a:ext>
          </a:extLst>
        </xdr:cNvPr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2300-000019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>
          <a:extLst>
            <a:ext uri="{FF2B5EF4-FFF2-40B4-BE49-F238E27FC236}">
              <a16:creationId xmlns:a16="http://schemas.microsoft.com/office/drawing/2014/main" id="{00000000-0008-0000-2300-00001A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>
          <a:extLst>
            <a:ext uri="{FF2B5EF4-FFF2-40B4-BE49-F238E27FC236}">
              <a16:creationId xmlns:a16="http://schemas.microsoft.com/office/drawing/2014/main" id="{00000000-0008-0000-2400-000017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>
          <a:extLst>
            <a:ext uri="{FF2B5EF4-FFF2-40B4-BE49-F238E27FC236}">
              <a16:creationId xmlns:a16="http://schemas.microsoft.com/office/drawing/2014/main" id="{00000000-0008-0000-2400-000018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>
          <a:extLst>
            <a:ext uri="{FF2B5EF4-FFF2-40B4-BE49-F238E27FC236}">
              <a16:creationId xmlns:a16="http://schemas.microsoft.com/office/drawing/2014/main" id="{00000000-0008-0000-2400-000019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>
          <a:extLst>
            <a:ext uri="{FF2B5EF4-FFF2-40B4-BE49-F238E27FC236}">
              <a16:creationId xmlns:a16="http://schemas.microsoft.com/office/drawing/2014/main" id="{00000000-0008-0000-2400-00001A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>
          <a:extLst>
            <a:ext uri="{FF2B5EF4-FFF2-40B4-BE49-F238E27FC236}">
              <a16:creationId xmlns:a16="http://schemas.microsoft.com/office/drawing/2014/main" id="{00000000-0008-0000-2400-00001C000000}"/>
            </a:ext>
          </a:extLst>
        </xdr:cNvPr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>
          <a:extLst>
            <a:ext uri="{FF2B5EF4-FFF2-40B4-BE49-F238E27FC236}">
              <a16:creationId xmlns:a16="http://schemas.microsoft.com/office/drawing/2014/main" id="{00000000-0008-0000-2400-00001D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>
          <a:extLst>
            <a:ext uri="{FF2B5EF4-FFF2-40B4-BE49-F238E27FC236}">
              <a16:creationId xmlns:a16="http://schemas.microsoft.com/office/drawing/2014/main" id="{00000000-0008-0000-2400-00001E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>
          <a:extLst>
            <a:ext uri="{FF2B5EF4-FFF2-40B4-BE49-F238E27FC236}">
              <a16:creationId xmlns:a16="http://schemas.microsoft.com/office/drawing/2014/main" id="{00000000-0008-0000-2400-00001F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>
          <a:extLst>
            <a:ext uri="{FF2B5EF4-FFF2-40B4-BE49-F238E27FC236}">
              <a16:creationId xmlns:a16="http://schemas.microsoft.com/office/drawing/2014/main" id="{00000000-0008-0000-2400-000020000000}"/>
            </a:ext>
          </a:extLst>
        </xdr:cNvPr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>
          <a:extLst>
            <a:ext uri="{FF2B5EF4-FFF2-40B4-BE49-F238E27FC236}">
              <a16:creationId xmlns:a16="http://schemas.microsoft.com/office/drawing/2014/main" id="{00000000-0008-0000-2400-000021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>
          <a:extLst>
            <a:ext uri="{FF2B5EF4-FFF2-40B4-BE49-F238E27FC236}">
              <a16:creationId xmlns:a16="http://schemas.microsoft.com/office/drawing/2014/main" id="{00000000-0008-0000-2400-000022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>
          <a:extLst>
            <a:ext uri="{FF2B5EF4-FFF2-40B4-BE49-F238E27FC236}">
              <a16:creationId xmlns:a16="http://schemas.microsoft.com/office/drawing/2014/main" id="{00000000-0008-0000-2400-000023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500-000015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500-000016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500-000017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500-000018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500-000019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5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500-00001B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500-00001E000000}"/>
            </a:ext>
          </a:extLst>
        </xdr:cNvPr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500-00001F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800-000016000000}"/>
            </a:ext>
          </a:extLst>
        </xdr:cNvPr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800-000018000000}"/>
            </a:ext>
          </a:extLst>
        </xdr:cNvPr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8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8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900-000017000000}"/>
            </a:ext>
          </a:extLst>
        </xdr:cNvPr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900-000018000000}"/>
            </a:ext>
          </a:extLst>
        </xdr:cNvPr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900-00001C000000}"/>
            </a:ext>
          </a:extLst>
        </xdr:cNvPr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900-00001D000000}"/>
            </a:ext>
          </a:extLst>
        </xdr:cNvPr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9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900-00001F000000}"/>
            </a:ext>
          </a:extLst>
        </xdr:cNvPr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>
          <a:extLst>
            <a:ext uri="{FF2B5EF4-FFF2-40B4-BE49-F238E27FC236}">
              <a16:creationId xmlns:a16="http://schemas.microsoft.com/office/drawing/2014/main" id="{00000000-0008-0000-2B00-000009000000}"/>
            </a:ext>
          </a:extLst>
        </xdr:cNvPr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>
          <a:extLst>
            <a:ext uri="{FF2B5EF4-FFF2-40B4-BE49-F238E27FC236}">
              <a16:creationId xmlns:a16="http://schemas.microsoft.com/office/drawing/2014/main" id="{00000000-0008-0000-2C00-000012000000}"/>
            </a:ext>
          </a:extLst>
        </xdr:cNvPr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>
          <a:extLst>
            <a:ext uri="{FF2B5EF4-FFF2-40B4-BE49-F238E27FC236}">
              <a16:creationId xmlns:a16="http://schemas.microsoft.com/office/drawing/2014/main" id="{00000000-0008-0000-2C00-000013000000}"/>
            </a:ext>
          </a:extLst>
        </xdr:cNvPr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>
          <a:extLst>
            <a:ext uri="{FF2B5EF4-FFF2-40B4-BE49-F238E27FC236}">
              <a16:creationId xmlns:a16="http://schemas.microsoft.com/office/drawing/2014/main" id="{00000000-0008-0000-2C00-000014000000}"/>
            </a:ext>
          </a:extLst>
        </xdr:cNvPr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>
          <a:extLst>
            <a:ext uri="{FF2B5EF4-FFF2-40B4-BE49-F238E27FC236}">
              <a16:creationId xmlns:a16="http://schemas.microsoft.com/office/drawing/2014/main" id="{00000000-0008-0000-2C00-000015000000}"/>
            </a:ext>
          </a:extLst>
        </xdr:cNvPr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>
          <a:extLst>
            <a:ext uri="{FF2B5EF4-FFF2-40B4-BE49-F238E27FC236}">
              <a16:creationId xmlns:a16="http://schemas.microsoft.com/office/drawing/2014/main" id="{00000000-0008-0000-2C00-000016000000}"/>
            </a:ext>
          </a:extLst>
        </xdr:cNvPr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>
          <a:extLst>
            <a:ext uri="{FF2B5EF4-FFF2-40B4-BE49-F238E27FC236}">
              <a16:creationId xmlns:a16="http://schemas.microsoft.com/office/drawing/2014/main" id="{00000000-0008-0000-2C00-000017000000}"/>
            </a:ext>
          </a:extLst>
        </xdr:cNvPr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>
          <a:extLst>
            <a:ext uri="{FF2B5EF4-FFF2-40B4-BE49-F238E27FC236}">
              <a16:creationId xmlns:a16="http://schemas.microsoft.com/office/drawing/2014/main" id="{00000000-0008-0000-2C00-000018000000}"/>
            </a:ext>
          </a:extLst>
        </xdr:cNvPr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>
          <a:extLst>
            <a:ext uri="{FF2B5EF4-FFF2-40B4-BE49-F238E27FC236}">
              <a16:creationId xmlns:a16="http://schemas.microsoft.com/office/drawing/2014/main" id="{00000000-0008-0000-2C00-000019000000}"/>
            </a:ext>
          </a:extLst>
        </xdr:cNvPr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>
          <a:extLst>
            <a:ext uri="{FF2B5EF4-FFF2-40B4-BE49-F238E27FC236}">
              <a16:creationId xmlns:a16="http://schemas.microsoft.com/office/drawing/2014/main" id="{00000000-0008-0000-2D00-00000D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>
          <a:extLst>
            <a:ext uri="{FF2B5EF4-FFF2-40B4-BE49-F238E27FC236}">
              <a16:creationId xmlns:a16="http://schemas.microsoft.com/office/drawing/2014/main" id="{00000000-0008-0000-2D00-00000E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>
          <a:extLst>
            <a:ext uri="{FF2B5EF4-FFF2-40B4-BE49-F238E27FC236}">
              <a16:creationId xmlns:a16="http://schemas.microsoft.com/office/drawing/2014/main" id="{00000000-0008-0000-2D00-00000F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>
          <a:extLst>
            <a:ext uri="{FF2B5EF4-FFF2-40B4-BE49-F238E27FC236}">
              <a16:creationId xmlns:a16="http://schemas.microsoft.com/office/drawing/2014/main" id="{00000000-0008-0000-2D00-000010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>
          <a:extLst>
            <a:ext uri="{FF2B5EF4-FFF2-40B4-BE49-F238E27FC236}">
              <a16:creationId xmlns:a16="http://schemas.microsoft.com/office/drawing/2014/main" id="{00000000-0008-0000-2D00-000011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>
          <a:extLst>
            <a:ext uri="{FF2B5EF4-FFF2-40B4-BE49-F238E27FC236}">
              <a16:creationId xmlns:a16="http://schemas.microsoft.com/office/drawing/2014/main" id="{00000000-0008-0000-2D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>
          <a:extLst>
            <a:ext uri="{FF2B5EF4-FFF2-40B4-BE49-F238E27FC236}">
              <a16:creationId xmlns:a16="http://schemas.microsoft.com/office/drawing/2014/main" id="{00000000-0008-0000-2D00-000013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>
          <a:extLst>
            <a:ext uri="{FF2B5EF4-FFF2-40B4-BE49-F238E27FC236}">
              <a16:creationId xmlns:a16="http://schemas.microsoft.com/office/drawing/2014/main" id="{00000000-0008-0000-2D00-000014000000}"/>
            </a:ext>
          </a:extLst>
        </xdr:cNvPr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>
          <a:extLst>
            <a:ext uri="{FF2B5EF4-FFF2-40B4-BE49-F238E27FC236}">
              <a16:creationId xmlns:a16="http://schemas.microsoft.com/office/drawing/2014/main" id="{00000000-0008-0000-2D00-000015000000}"/>
            </a:ext>
          </a:extLst>
        </xdr:cNvPr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>
          <a:extLst>
            <a:ext uri="{FF2B5EF4-FFF2-40B4-BE49-F238E27FC236}">
              <a16:creationId xmlns:a16="http://schemas.microsoft.com/office/drawing/2014/main" id="{00000000-0008-0000-2D00-000016000000}"/>
            </a:ext>
          </a:extLst>
        </xdr:cNvPr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>
          <a:extLst>
            <a:ext uri="{FF2B5EF4-FFF2-40B4-BE49-F238E27FC236}">
              <a16:creationId xmlns:a16="http://schemas.microsoft.com/office/drawing/2014/main" id="{00000000-0008-0000-2D00-000017000000}"/>
            </a:ext>
          </a:extLst>
        </xdr:cNvPr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E00-000009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E00-00000C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2E00-00000D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2E00-00000E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2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2E00-000010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>
          <a:extLst>
            <a:ext uri="{FF2B5EF4-FFF2-40B4-BE49-F238E27FC236}">
              <a16:creationId xmlns:a16="http://schemas.microsoft.com/office/drawing/2014/main" id="{00000000-0008-0000-2F00-00001D000000}"/>
            </a:ext>
          </a:extLst>
        </xdr:cNvPr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>
          <a:extLst>
            <a:ext uri="{FF2B5EF4-FFF2-40B4-BE49-F238E27FC236}">
              <a16:creationId xmlns:a16="http://schemas.microsoft.com/office/drawing/2014/main" id="{00000000-0008-0000-2F00-00001E000000}"/>
            </a:ext>
          </a:extLst>
        </xdr:cNvPr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>
          <a:extLst>
            <a:ext uri="{FF2B5EF4-FFF2-40B4-BE49-F238E27FC236}">
              <a16:creationId xmlns:a16="http://schemas.microsoft.com/office/drawing/2014/main" id="{00000000-0008-0000-2F00-00001F000000}"/>
            </a:ext>
          </a:extLst>
        </xdr:cNvPr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>
          <a:extLst>
            <a:ext uri="{FF2B5EF4-FFF2-40B4-BE49-F238E27FC236}">
              <a16:creationId xmlns:a16="http://schemas.microsoft.com/office/drawing/2014/main" id="{00000000-0008-0000-2F00-000020000000}"/>
            </a:ext>
          </a:extLst>
        </xdr:cNvPr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>
          <a:extLst>
            <a:ext uri="{FF2B5EF4-FFF2-40B4-BE49-F238E27FC236}">
              <a16:creationId xmlns:a16="http://schemas.microsoft.com/office/drawing/2014/main" id="{00000000-0008-0000-2F00-000021000000}"/>
            </a:ext>
          </a:extLst>
        </xdr:cNvPr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>
          <a:extLst>
            <a:ext uri="{FF2B5EF4-FFF2-40B4-BE49-F238E27FC236}">
              <a16:creationId xmlns:a16="http://schemas.microsoft.com/office/drawing/2014/main" id="{00000000-0008-0000-2F00-000022000000}"/>
            </a:ext>
          </a:extLst>
        </xdr:cNvPr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>
          <a:extLst>
            <a:ext uri="{FF2B5EF4-FFF2-40B4-BE49-F238E27FC236}">
              <a16:creationId xmlns:a16="http://schemas.microsoft.com/office/drawing/2014/main" id="{00000000-0008-0000-2F00-000023000000}"/>
            </a:ext>
          </a:extLst>
        </xdr:cNvPr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>
          <a:extLst>
            <a:ext uri="{FF2B5EF4-FFF2-40B4-BE49-F238E27FC236}">
              <a16:creationId xmlns:a16="http://schemas.microsoft.com/office/drawing/2014/main" id="{00000000-0008-0000-2F00-000024000000}"/>
            </a:ext>
          </a:extLst>
        </xdr:cNvPr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>
          <a:extLst>
            <a:ext uri="{FF2B5EF4-FFF2-40B4-BE49-F238E27FC236}">
              <a16:creationId xmlns:a16="http://schemas.microsoft.com/office/drawing/2014/main" id="{00000000-0008-0000-2F00-000025000000}"/>
            </a:ext>
          </a:extLst>
        </xdr:cNvPr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>
          <a:extLst>
            <a:ext uri="{FF2B5EF4-FFF2-40B4-BE49-F238E27FC236}">
              <a16:creationId xmlns:a16="http://schemas.microsoft.com/office/drawing/2014/main" id="{00000000-0008-0000-2F00-000026000000}"/>
            </a:ext>
          </a:extLst>
        </xdr:cNvPr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>
          <a:extLst>
            <a:ext uri="{FF2B5EF4-FFF2-40B4-BE49-F238E27FC236}">
              <a16:creationId xmlns:a16="http://schemas.microsoft.com/office/drawing/2014/main" id="{00000000-0008-0000-2F00-000027000000}"/>
            </a:ext>
          </a:extLst>
        </xdr:cNvPr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>
          <a:extLst>
            <a:ext uri="{FF2B5EF4-FFF2-40B4-BE49-F238E27FC236}">
              <a16:creationId xmlns:a16="http://schemas.microsoft.com/office/drawing/2014/main" id="{00000000-0008-0000-2F00-000028000000}"/>
            </a:ext>
          </a:extLst>
        </xdr:cNvPr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>
          <a:extLst>
            <a:ext uri="{FF2B5EF4-FFF2-40B4-BE49-F238E27FC236}">
              <a16:creationId xmlns:a16="http://schemas.microsoft.com/office/drawing/2014/main" id="{00000000-0008-0000-2F00-000029000000}"/>
            </a:ext>
          </a:extLst>
        </xdr:cNvPr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>
          <a:extLst>
            <a:ext uri="{FF2B5EF4-FFF2-40B4-BE49-F238E27FC236}">
              <a16:creationId xmlns:a16="http://schemas.microsoft.com/office/drawing/2014/main" id="{00000000-0008-0000-2F00-00002A000000}"/>
            </a:ext>
          </a:extLst>
        </xdr:cNvPr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>
          <a:extLst>
            <a:ext uri="{FF2B5EF4-FFF2-40B4-BE49-F238E27FC236}">
              <a16:creationId xmlns:a16="http://schemas.microsoft.com/office/drawing/2014/main" id="{00000000-0008-0000-2F00-00002B000000}"/>
            </a:ext>
          </a:extLst>
        </xdr:cNvPr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>
          <a:extLst>
            <a:ext uri="{FF2B5EF4-FFF2-40B4-BE49-F238E27FC236}">
              <a16:creationId xmlns:a16="http://schemas.microsoft.com/office/drawing/2014/main" id="{00000000-0008-0000-2F00-00002C000000}"/>
            </a:ext>
          </a:extLst>
        </xdr:cNvPr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>
          <a:extLst>
            <a:ext uri="{FF2B5EF4-FFF2-40B4-BE49-F238E27FC236}">
              <a16:creationId xmlns:a16="http://schemas.microsoft.com/office/drawing/2014/main" id="{00000000-0008-0000-2F00-00002D000000}"/>
            </a:ext>
          </a:extLst>
        </xdr:cNvPr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>
          <a:extLst>
            <a:ext uri="{FF2B5EF4-FFF2-40B4-BE49-F238E27FC236}">
              <a16:creationId xmlns:a16="http://schemas.microsoft.com/office/drawing/2014/main" id="{00000000-0008-0000-2F00-00002E000000}"/>
            </a:ext>
          </a:extLst>
        </xdr:cNvPr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>
          <a:extLst>
            <a:ext uri="{FF2B5EF4-FFF2-40B4-BE49-F238E27FC236}">
              <a16:creationId xmlns:a16="http://schemas.microsoft.com/office/drawing/2014/main" id="{00000000-0008-0000-2F00-00002F000000}"/>
            </a:ext>
          </a:extLst>
        </xdr:cNvPr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>
          <a:extLst>
            <a:ext uri="{FF2B5EF4-FFF2-40B4-BE49-F238E27FC236}">
              <a16:creationId xmlns:a16="http://schemas.microsoft.com/office/drawing/2014/main" id="{00000000-0008-0000-2F00-000030000000}"/>
            </a:ext>
          </a:extLst>
        </xdr:cNvPr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>
          <a:extLst>
            <a:ext uri="{FF2B5EF4-FFF2-40B4-BE49-F238E27FC236}">
              <a16:creationId xmlns:a16="http://schemas.microsoft.com/office/drawing/2014/main" id="{00000000-0008-0000-2F00-000031000000}"/>
            </a:ext>
          </a:extLst>
        </xdr:cNvPr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>
          <a:extLst>
            <a:ext uri="{FF2B5EF4-FFF2-40B4-BE49-F238E27FC236}">
              <a16:creationId xmlns:a16="http://schemas.microsoft.com/office/drawing/2014/main" id="{00000000-0008-0000-2F00-000032000000}"/>
            </a:ext>
          </a:extLst>
        </xdr:cNvPr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>
          <a:extLst>
            <a:ext uri="{FF2B5EF4-FFF2-40B4-BE49-F238E27FC236}">
              <a16:creationId xmlns:a16="http://schemas.microsoft.com/office/drawing/2014/main" id="{00000000-0008-0000-2F00-000033000000}"/>
            </a:ext>
          </a:extLst>
        </xdr:cNvPr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>
          <a:extLst>
            <a:ext uri="{FF2B5EF4-FFF2-40B4-BE49-F238E27FC236}">
              <a16:creationId xmlns:a16="http://schemas.microsoft.com/office/drawing/2014/main" id="{00000000-0008-0000-2F00-000034000000}"/>
            </a:ext>
          </a:extLst>
        </xdr:cNvPr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>
          <a:extLst>
            <a:ext uri="{FF2B5EF4-FFF2-40B4-BE49-F238E27FC236}">
              <a16:creationId xmlns:a16="http://schemas.microsoft.com/office/drawing/2014/main" id="{00000000-0008-0000-2F00-000035000000}"/>
            </a:ext>
          </a:extLst>
        </xdr:cNvPr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>
          <a:extLst>
            <a:ext uri="{FF2B5EF4-FFF2-40B4-BE49-F238E27FC236}">
              <a16:creationId xmlns:a16="http://schemas.microsoft.com/office/drawing/2014/main" id="{00000000-0008-0000-2F00-000036000000}"/>
            </a:ext>
          </a:extLst>
        </xdr:cNvPr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>
          <a:extLst>
            <a:ext uri="{FF2B5EF4-FFF2-40B4-BE49-F238E27FC236}">
              <a16:creationId xmlns:a16="http://schemas.microsoft.com/office/drawing/2014/main" id="{00000000-0008-0000-2F00-000037000000}"/>
            </a:ext>
          </a:extLst>
        </xdr:cNvPr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>
          <a:extLst>
            <a:ext uri="{FF2B5EF4-FFF2-40B4-BE49-F238E27FC236}">
              <a16:creationId xmlns:a16="http://schemas.microsoft.com/office/drawing/2014/main" id="{00000000-0008-0000-2F00-000039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0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0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0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0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0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0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0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>
          <a:extLst>
            <a:ext uri="{FF2B5EF4-FFF2-40B4-BE49-F238E27FC236}">
              <a16:creationId xmlns:a16="http://schemas.microsoft.com/office/drawing/2014/main" id="{00000000-0008-0000-3000-000011000000}"/>
            </a:ext>
          </a:extLst>
        </xdr:cNvPr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1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1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1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1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1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1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1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3300-000011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3300-000012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3300-000013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3300-000014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3300-000015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33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3300-000017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3300-000018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3300-000019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33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3300-00001B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3300-00001D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33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3300-00001F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3400-000021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3400-000022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3400-00002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3400-000024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34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3400-000026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3400-000027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3400-000028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34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3400-00002A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3400-00002B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3400-00002C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34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3400-00002E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700-00000A000000}"/>
            </a:ext>
          </a:extLst>
        </xdr:cNvPr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700-00000C000000}"/>
            </a:ext>
          </a:extLst>
        </xdr:cNvPr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A00-000008000000}"/>
            </a:ext>
          </a:extLst>
        </xdr:cNvPr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A00-000009000000}"/>
            </a:ext>
          </a:extLst>
        </xdr:cNvPr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A00-00000A000000}"/>
            </a:ext>
          </a:extLst>
        </xdr:cNvPr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A00-00000C000000}"/>
            </a:ext>
          </a:extLst>
        </xdr:cNvPr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A00-00000D000000}"/>
            </a:ext>
          </a:extLst>
        </xdr:cNvPr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A00-00000E000000}"/>
            </a:ext>
          </a:extLst>
        </xdr:cNvPr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A00-000010000000}"/>
            </a:ext>
          </a:extLst>
        </xdr:cNvPr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>
          <a:extLst>
            <a:ext uri="{FF2B5EF4-FFF2-40B4-BE49-F238E27FC236}">
              <a16:creationId xmlns:a16="http://schemas.microsoft.com/office/drawing/2014/main" id="{00000000-0008-0000-3A00-000024000000}"/>
            </a:ext>
          </a:extLst>
        </xdr:cNvPr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>
          <a:extLst>
            <a:ext uri="{FF2B5EF4-FFF2-40B4-BE49-F238E27FC236}">
              <a16:creationId xmlns:a16="http://schemas.microsoft.com/office/drawing/2014/main" id="{00000000-0008-0000-3A00-000025000000}"/>
            </a:ext>
          </a:extLst>
        </xdr:cNvPr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>
          <a:extLst>
            <a:ext uri="{FF2B5EF4-FFF2-40B4-BE49-F238E27FC236}">
              <a16:creationId xmlns:a16="http://schemas.microsoft.com/office/drawing/2014/main" id="{00000000-0008-0000-3A00-000026000000}"/>
            </a:ext>
          </a:extLst>
        </xdr:cNvPr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>
          <a:extLst>
            <a:ext uri="{FF2B5EF4-FFF2-40B4-BE49-F238E27FC236}">
              <a16:creationId xmlns:a16="http://schemas.microsoft.com/office/drawing/2014/main" id="{00000000-0008-0000-3A00-000027000000}"/>
            </a:ext>
          </a:extLst>
        </xdr:cNvPr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C00-000008000000}"/>
            </a:ext>
          </a:extLst>
        </xdr:cNvPr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C00-00000C000000}"/>
            </a:ext>
          </a:extLst>
        </xdr:cNvPr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C00-00000E000000}"/>
            </a:ext>
          </a:extLst>
        </xdr:cNvPr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>
          <a:extLst>
            <a:ext uri="{FF2B5EF4-FFF2-40B4-BE49-F238E27FC236}">
              <a16:creationId xmlns:a16="http://schemas.microsoft.com/office/drawing/2014/main" id="{00000000-0008-0000-3C00-000015000000}"/>
            </a:ext>
          </a:extLst>
        </xdr:cNvPr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9796" name="OpenSolver1">
          <a:extLst>
            <a:ext uri="{FF2B5EF4-FFF2-40B4-BE49-F238E27FC236}">
              <a16:creationId xmlns:a16="http://schemas.microsoft.com/office/drawing/2014/main" id="{00000000-0008-0000-3D00-000044260000}"/>
            </a:ext>
          </a:extLst>
        </xdr:cNvPr>
        <xdr:cNvSpPr/>
      </xdr:nvSpPr>
      <xdr:spPr>
        <a:xfrm>
          <a:off x="1809750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797" name="OpenSolver2">
          <a:extLst>
            <a:ext uri="{FF2B5EF4-FFF2-40B4-BE49-F238E27FC236}">
              <a16:creationId xmlns:a16="http://schemas.microsoft.com/office/drawing/2014/main" id="{00000000-0008-0000-3D00-000045260000}"/>
            </a:ext>
          </a:extLst>
        </xdr:cNvPr>
        <xdr:cNvSpPr/>
      </xdr:nvSpPr>
      <xdr:spPr>
        <a:xfrm>
          <a:off x="4171950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584200</xdr:colOff>
      <xdr:row>3</xdr:row>
      <xdr:rowOff>120650</xdr:rowOff>
    </xdr:from>
    <xdr:to>
      <xdr:col>7</xdr:col>
      <xdr:colOff>224739</xdr:colOff>
      <xdr:row>4</xdr:row>
      <xdr:rowOff>47625</xdr:rowOff>
    </xdr:to>
    <xdr:sp macro="" textlink="">
      <xdr:nvSpPr>
        <xdr:cNvPr id="9798" name="OpenSolver3">
          <a:extLst>
            <a:ext uri="{FF2B5EF4-FFF2-40B4-BE49-F238E27FC236}">
              <a16:creationId xmlns:a16="http://schemas.microsoft.com/office/drawing/2014/main" id="{00000000-0008-0000-3D00-00004626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799" name="OpenSolver4">
          <a:extLst>
            <a:ext uri="{FF2B5EF4-FFF2-40B4-BE49-F238E27FC236}">
              <a16:creationId xmlns:a16="http://schemas.microsoft.com/office/drawing/2014/main" id="{00000000-0008-0000-3D00-000047260000}"/>
            </a:ext>
          </a:extLst>
        </xdr:cNvPr>
        <xdr:cNvSpPr/>
      </xdr:nvSpPr>
      <xdr:spPr>
        <a:xfrm>
          <a:off x="4171950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800" name="OpenSolver5">
          <a:extLst>
            <a:ext uri="{FF2B5EF4-FFF2-40B4-BE49-F238E27FC236}">
              <a16:creationId xmlns:a16="http://schemas.microsoft.com/office/drawing/2014/main" id="{00000000-0008-0000-3D00-000048260000}"/>
            </a:ext>
          </a:extLst>
        </xdr:cNvPr>
        <xdr:cNvSpPr/>
      </xdr:nvSpPr>
      <xdr:spPr>
        <a:xfrm>
          <a:off x="5353050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9801" name="OpenSolver6">
          <a:extLst>
            <a:ext uri="{FF2B5EF4-FFF2-40B4-BE49-F238E27FC236}">
              <a16:creationId xmlns:a16="http://schemas.microsoft.com/office/drawing/2014/main" id="{00000000-0008-0000-3D00-000049260000}"/>
            </a:ext>
          </a:extLst>
        </xdr:cNvPr>
        <xdr:cNvCxnSpPr>
          <a:stCxn id="9799" idx="3"/>
          <a:endCxn id="9800" idx="1"/>
        </xdr:cNvCxnSpPr>
      </xdr:nvCxnSpPr>
      <xdr:spPr>
        <a:xfrm>
          <a:off x="4762500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9802" name="OpenSolver7">
          <a:extLst>
            <a:ext uri="{FF2B5EF4-FFF2-40B4-BE49-F238E27FC236}">
              <a16:creationId xmlns:a16="http://schemas.microsoft.com/office/drawing/2014/main" id="{00000000-0008-0000-3D00-00004A260000}"/>
            </a:ext>
          </a:extLst>
        </xdr:cNvPr>
        <xdr:cNvSpPr/>
      </xdr:nvSpPr>
      <xdr:spPr>
        <a:xfrm>
          <a:off x="4867275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803" name="OpenSolver8">
          <a:extLst>
            <a:ext uri="{FF2B5EF4-FFF2-40B4-BE49-F238E27FC236}">
              <a16:creationId xmlns:a16="http://schemas.microsoft.com/office/drawing/2014/main" id="{00000000-0008-0000-3D00-00004B260000}"/>
            </a:ext>
          </a:extLst>
        </xdr:cNvPr>
        <xdr:cNvSpPr/>
      </xdr:nvSpPr>
      <xdr:spPr>
        <a:xfrm>
          <a:off x="4171950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9804" name="OpenSolver9">
          <a:extLst>
            <a:ext uri="{FF2B5EF4-FFF2-40B4-BE49-F238E27FC236}">
              <a16:creationId xmlns:a16="http://schemas.microsoft.com/office/drawing/2014/main" id="{00000000-0008-0000-3D00-00004C260000}"/>
            </a:ext>
          </a:extLst>
        </xdr:cNvPr>
        <xdr:cNvSpPr/>
      </xdr:nvSpPr>
      <xdr:spPr>
        <a:xfrm>
          <a:off x="5353050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9805" name="OpenSolver10">
          <a:extLst>
            <a:ext uri="{FF2B5EF4-FFF2-40B4-BE49-F238E27FC236}">
              <a16:creationId xmlns:a16="http://schemas.microsoft.com/office/drawing/2014/main" id="{00000000-0008-0000-3D00-00004D260000}"/>
            </a:ext>
          </a:extLst>
        </xdr:cNvPr>
        <xdr:cNvCxnSpPr>
          <a:stCxn id="9803" idx="3"/>
          <a:endCxn id="9804" idx="1"/>
        </xdr:cNvCxnSpPr>
      </xdr:nvCxnSpPr>
      <xdr:spPr>
        <a:xfrm>
          <a:off x="4762500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9806" name="OpenSolver11">
          <a:extLst>
            <a:ext uri="{FF2B5EF4-FFF2-40B4-BE49-F238E27FC236}">
              <a16:creationId xmlns:a16="http://schemas.microsoft.com/office/drawing/2014/main" id="{00000000-0008-0000-3D00-00004E260000}"/>
            </a:ext>
          </a:extLst>
        </xdr:cNvPr>
        <xdr:cNvSpPr/>
      </xdr:nvSpPr>
      <xdr:spPr>
        <a:xfrm>
          <a:off x="4867275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9807" name="OpenSolver12">
          <a:extLst>
            <a:ext uri="{FF2B5EF4-FFF2-40B4-BE49-F238E27FC236}">
              <a16:creationId xmlns:a16="http://schemas.microsoft.com/office/drawing/2014/main" id="{00000000-0008-0000-3D00-00004F260000}"/>
            </a:ext>
          </a:extLst>
        </xdr:cNvPr>
        <xdr:cNvSpPr/>
      </xdr:nvSpPr>
      <xdr:spPr>
        <a:xfrm>
          <a:off x="4171950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9808" name="OpenSolver13">
          <a:extLst>
            <a:ext uri="{FF2B5EF4-FFF2-40B4-BE49-F238E27FC236}">
              <a16:creationId xmlns:a16="http://schemas.microsoft.com/office/drawing/2014/main" id="{00000000-0008-0000-3D00-000050260000}"/>
            </a:ext>
          </a:extLst>
        </xdr:cNvPr>
        <xdr:cNvSpPr/>
      </xdr:nvSpPr>
      <xdr:spPr>
        <a:xfrm>
          <a:off x="5353050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9809" name="OpenSolver14">
          <a:extLst>
            <a:ext uri="{FF2B5EF4-FFF2-40B4-BE49-F238E27FC236}">
              <a16:creationId xmlns:a16="http://schemas.microsoft.com/office/drawing/2014/main" id="{00000000-0008-0000-3D00-000051260000}"/>
            </a:ext>
          </a:extLst>
        </xdr:cNvPr>
        <xdr:cNvCxnSpPr>
          <a:stCxn id="9807" idx="3"/>
          <a:endCxn id="9808" idx="1"/>
        </xdr:cNvCxnSpPr>
      </xdr:nvCxnSpPr>
      <xdr:spPr>
        <a:xfrm>
          <a:off x="4762500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9810" name="OpenSolver15">
          <a:extLst>
            <a:ext uri="{FF2B5EF4-FFF2-40B4-BE49-F238E27FC236}">
              <a16:creationId xmlns:a16="http://schemas.microsoft.com/office/drawing/2014/main" id="{00000000-0008-0000-3D00-000052260000}"/>
            </a:ext>
          </a:extLst>
        </xdr:cNvPr>
        <xdr:cNvSpPr/>
      </xdr:nvSpPr>
      <xdr:spPr>
        <a:xfrm>
          <a:off x="4867275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9811" name="OpenSolver16">
          <a:extLst>
            <a:ext uri="{FF2B5EF4-FFF2-40B4-BE49-F238E27FC236}">
              <a16:creationId xmlns:a16="http://schemas.microsoft.com/office/drawing/2014/main" id="{00000000-0008-0000-3D00-000053260000}"/>
            </a:ext>
          </a:extLst>
        </xdr:cNvPr>
        <xdr:cNvSpPr/>
      </xdr:nvSpPr>
      <xdr:spPr>
        <a:xfrm>
          <a:off x="4171950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9812" name="OpenSolver17">
          <a:extLst>
            <a:ext uri="{FF2B5EF4-FFF2-40B4-BE49-F238E27FC236}">
              <a16:creationId xmlns:a16="http://schemas.microsoft.com/office/drawing/2014/main" id="{00000000-0008-0000-3D00-000054260000}"/>
            </a:ext>
          </a:extLst>
        </xdr:cNvPr>
        <xdr:cNvSpPr/>
      </xdr:nvSpPr>
      <xdr:spPr>
        <a:xfrm>
          <a:off x="5353050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9813" name="OpenSolver18">
          <a:extLst>
            <a:ext uri="{FF2B5EF4-FFF2-40B4-BE49-F238E27FC236}">
              <a16:creationId xmlns:a16="http://schemas.microsoft.com/office/drawing/2014/main" id="{00000000-0008-0000-3D00-000055260000}"/>
            </a:ext>
          </a:extLst>
        </xdr:cNvPr>
        <xdr:cNvCxnSpPr>
          <a:stCxn id="9811" idx="3"/>
          <a:endCxn id="9812" idx="1"/>
        </xdr:cNvCxnSpPr>
      </xdr:nvCxnSpPr>
      <xdr:spPr>
        <a:xfrm>
          <a:off x="4762500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9814" name="OpenSolver19">
          <a:extLst>
            <a:ext uri="{FF2B5EF4-FFF2-40B4-BE49-F238E27FC236}">
              <a16:creationId xmlns:a16="http://schemas.microsoft.com/office/drawing/2014/main" id="{00000000-0008-0000-3D00-000056260000}"/>
            </a:ext>
          </a:extLst>
        </xdr:cNvPr>
        <xdr:cNvSpPr/>
      </xdr:nvSpPr>
      <xdr:spPr>
        <a:xfrm>
          <a:off x="4867275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815" name="OpenSolver20">
          <a:extLst>
            <a:ext uri="{FF2B5EF4-FFF2-40B4-BE49-F238E27FC236}">
              <a16:creationId xmlns:a16="http://schemas.microsoft.com/office/drawing/2014/main" id="{00000000-0008-0000-3D00-000057260000}"/>
            </a:ext>
          </a:extLst>
        </xdr:cNvPr>
        <xdr:cNvSpPr/>
      </xdr:nvSpPr>
      <xdr:spPr>
        <a:xfrm>
          <a:off x="4171950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816" name="OpenSolver21">
          <a:extLst>
            <a:ext uri="{FF2B5EF4-FFF2-40B4-BE49-F238E27FC236}">
              <a16:creationId xmlns:a16="http://schemas.microsoft.com/office/drawing/2014/main" id="{00000000-0008-0000-3D00-000058260000}"/>
            </a:ext>
          </a:extLst>
        </xdr:cNvPr>
        <xdr:cNvSpPr/>
      </xdr:nvSpPr>
      <xdr:spPr>
        <a:xfrm>
          <a:off x="5353050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9817" name="OpenSolver22">
          <a:extLst>
            <a:ext uri="{FF2B5EF4-FFF2-40B4-BE49-F238E27FC236}">
              <a16:creationId xmlns:a16="http://schemas.microsoft.com/office/drawing/2014/main" id="{00000000-0008-0000-3D00-000059260000}"/>
            </a:ext>
          </a:extLst>
        </xdr:cNvPr>
        <xdr:cNvCxnSpPr>
          <a:stCxn id="9815" idx="3"/>
          <a:endCxn id="9816" idx="1"/>
        </xdr:cNvCxnSpPr>
      </xdr:nvCxnSpPr>
      <xdr:spPr>
        <a:xfrm>
          <a:off x="4762500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9818" name="OpenSolver23">
          <a:extLst>
            <a:ext uri="{FF2B5EF4-FFF2-40B4-BE49-F238E27FC236}">
              <a16:creationId xmlns:a16="http://schemas.microsoft.com/office/drawing/2014/main" id="{00000000-0008-0000-3D00-00005A260000}"/>
            </a:ext>
          </a:extLst>
        </xdr:cNvPr>
        <xdr:cNvSpPr/>
      </xdr:nvSpPr>
      <xdr:spPr>
        <a:xfrm>
          <a:off x="4867275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819" name="OpenSolver24">
          <a:extLst>
            <a:ext uri="{FF2B5EF4-FFF2-40B4-BE49-F238E27FC236}">
              <a16:creationId xmlns:a16="http://schemas.microsoft.com/office/drawing/2014/main" id="{00000000-0008-0000-3D00-00005B260000}"/>
            </a:ext>
          </a:extLst>
        </xdr:cNvPr>
        <xdr:cNvSpPr/>
      </xdr:nvSpPr>
      <xdr:spPr>
        <a:xfrm>
          <a:off x="4171950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820" name="OpenSolver25">
          <a:extLst>
            <a:ext uri="{FF2B5EF4-FFF2-40B4-BE49-F238E27FC236}">
              <a16:creationId xmlns:a16="http://schemas.microsoft.com/office/drawing/2014/main" id="{00000000-0008-0000-3D00-00005C260000}"/>
            </a:ext>
          </a:extLst>
        </xdr:cNvPr>
        <xdr:cNvSpPr/>
      </xdr:nvSpPr>
      <xdr:spPr>
        <a:xfrm>
          <a:off x="5353050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821" name="OpenSolver26">
          <a:extLst>
            <a:ext uri="{FF2B5EF4-FFF2-40B4-BE49-F238E27FC236}">
              <a16:creationId xmlns:a16="http://schemas.microsoft.com/office/drawing/2014/main" id="{00000000-0008-0000-3D00-00005D260000}"/>
            </a:ext>
          </a:extLst>
        </xdr:cNvPr>
        <xdr:cNvCxnSpPr>
          <a:stCxn id="9819" idx="3"/>
          <a:endCxn id="9820" idx="1"/>
        </xdr:cNvCxnSpPr>
      </xdr:nvCxnSpPr>
      <xdr:spPr>
        <a:xfrm>
          <a:off x="4762500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9822" name="OpenSolver27">
          <a:extLst>
            <a:ext uri="{FF2B5EF4-FFF2-40B4-BE49-F238E27FC236}">
              <a16:creationId xmlns:a16="http://schemas.microsoft.com/office/drawing/2014/main" id="{00000000-0008-0000-3D00-00005E260000}"/>
            </a:ext>
          </a:extLst>
        </xdr:cNvPr>
        <xdr:cNvSpPr/>
      </xdr:nvSpPr>
      <xdr:spPr>
        <a:xfrm>
          <a:off x="4867275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E00-000006000000}"/>
            </a:ext>
          </a:extLst>
        </xdr:cNvPr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E00-000008000000}"/>
            </a:ext>
          </a:extLst>
        </xdr:cNvPr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E00-000009000000}"/>
            </a:ext>
          </a:extLst>
        </xdr:cNvPr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E00-00000A000000}"/>
            </a:ext>
          </a:extLst>
        </xdr:cNvPr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E00-00000C000000}"/>
            </a:ext>
          </a:extLst>
        </xdr:cNvPr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E00-00000D000000}"/>
            </a:ext>
          </a:extLst>
        </xdr:cNvPr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E00-00000E000000}"/>
            </a:ext>
          </a:extLst>
        </xdr:cNvPr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E00-000010000000}"/>
            </a:ext>
          </a:extLst>
        </xdr:cNvPr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F00-000006000000}"/>
            </a:ext>
          </a:extLst>
        </xdr:cNvPr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F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F00-000008000000}"/>
            </a:ext>
          </a:extLst>
        </xdr:cNvPr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F00-000009000000}"/>
            </a:ext>
          </a:extLst>
        </xdr:cNvPr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F00-00000A000000}"/>
            </a:ext>
          </a:extLst>
        </xdr:cNvPr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F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F00-00000C000000}"/>
            </a:ext>
          </a:extLst>
        </xdr:cNvPr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F00-00000D000000}"/>
            </a:ext>
          </a:extLst>
        </xdr:cNvPr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F00-00000E000000}"/>
            </a:ext>
          </a:extLst>
        </xdr:cNvPr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F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F00-000010000000}"/>
            </a:ext>
          </a:extLst>
        </xdr:cNvPr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000-000005000000}"/>
            </a:ext>
          </a:extLst>
        </xdr:cNvPr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000-000006000000}"/>
            </a:ext>
          </a:extLst>
        </xdr:cNvPr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000-000008000000}"/>
            </a:ext>
          </a:extLst>
        </xdr:cNvPr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000-000009000000}"/>
            </a:ext>
          </a:extLst>
        </xdr:cNvPr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000-00000A000000}"/>
            </a:ext>
          </a:extLst>
        </xdr:cNvPr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4000-00000B000000}"/>
            </a:ext>
          </a:extLst>
        </xdr:cNvPr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100-000008000000}"/>
            </a:ext>
          </a:extLst>
        </xdr:cNvPr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>
          <a:extLst>
            <a:ext uri="{FF2B5EF4-FFF2-40B4-BE49-F238E27FC236}">
              <a16:creationId xmlns:a16="http://schemas.microsoft.com/office/drawing/2014/main" id="{00000000-0008-0000-4200-00000B000000}"/>
            </a:ext>
          </a:extLst>
        </xdr:cNvPr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>
          <a:extLst>
            <a:ext uri="{FF2B5EF4-FFF2-40B4-BE49-F238E27FC236}">
              <a16:creationId xmlns:a16="http://schemas.microsoft.com/office/drawing/2014/main" id="{00000000-0008-0000-4200-00000C000000}"/>
            </a:ext>
          </a:extLst>
        </xdr:cNvPr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>
          <a:extLst>
            <a:ext uri="{FF2B5EF4-FFF2-40B4-BE49-F238E27FC236}">
              <a16:creationId xmlns:a16="http://schemas.microsoft.com/office/drawing/2014/main" id="{00000000-0008-0000-4200-00000D000000}"/>
            </a:ext>
          </a:extLst>
        </xdr:cNvPr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>
          <a:extLst>
            <a:ext uri="{FF2B5EF4-FFF2-40B4-BE49-F238E27FC236}">
              <a16:creationId xmlns:a16="http://schemas.microsoft.com/office/drawing/2014/main" id="{00000000-0008-0000-4200-00000E000000}"/>
            </a:ext>
          </a:extLst>
        </xdr:cNvPr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>
          <a:extLst>
            <a:ext uri="{FF2B5EF4-FFF2-40B4-BE49-F238E27FC236}">
              <a16:creationId xmlns:a16="http://schemas.microsoft.com/office/drawing/2014/main" id="{00000000-0008-0000-4200-00000F000000}"/>
            </a:ext>
          </a:extLst>
        </xdr:cNvPr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>
          <a:extLst>
            <a:ext uri="{FF2B5EF4-FFF2-40B4-BE49-F238E27FC236}">
              <a16:creationId xmlns:a16="http://schemas.microsoft.com/office/drawing/2014/main" id="{00000000-0008-0000-4200-000010000000}"/>
            </a:ext>
          </a:extLst>
        </xdr:cNvPr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>
          <a:extLst>
            <a:ext uri="{FF2B5EF4-FFF2-40B4-BE49-F238E27FC236}">
              <a16:creationId xmlns:a16="http://schemas.microsoft.com/office/drawing/2014/main" id="{00000000-0008-0000-4200-000011000000}"/>
            </a:ext>
          </a:extLst>
        </xdr:cNvPr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>
          <a:extLst>
            <a:ext uri="{FF2B5EF4-FFF2-40B4-BE49-F238E27FC236}">
              <a16:creationId xmlns:a16="http://schemas.microsoft.com/office/drawing/2014/main" id="{00000000-0008-0000-4200-000012000000}"/>
            </a:ext>
          </a:extLst>
        </xdr:cNvPr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>
          <a:extLst>
            <a:ext uri="{FF2B5EF4-FFF2-40B4-BE49-F238E27FC236}">
              <a16:creationId xmlns:a16="http://schemas.microsoft.com/office/drawing/2014/main" id="{00000000-0008-0000-4200-000013000000}"/>
            </a:ext>
          </a:extLst>
        </xdr:cNvPr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3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300-000008000000}"/>
            </a:ext>
          </a:extLst>
        </xdr:cNvPr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300-000009000000}"/>
            </a:ext>
          </a:extLst>
        </xdr:cNvPr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300-00000A000000}"/>
            </a:ext>
          </a:extLst>
        </xdr:cNvPr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4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4300-00000C000000}"/>
            </a:ext>
          </a:extLst>
        </xdr:cNvPr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4300-00000D000000}"/>
            </a:ext>
          </a:extLst>
        </xdr:cNvPr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4300-00000E000000}"/>
            </a:ext>
          </a:extLst>
        </xdr:cNvPr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4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4300-000010000000}"/>
            </a:ext>
          </a:extLst>
        </xdr:cNvPr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4300-000011000000}"/>
            </a:ext>
          </a:extLst>
        </xdr:cNvPr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4300-000012000000}"/>
            </a:ext>
          </a:extLst>
        </xdr:cNvPr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00000000-0008-0000-4300-000013000000}"/>
            </a:ext>
          </a:extLst>
        </xdr:cNvPr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00000000-0008-0000-4300-000014000000}"/>
            </a:ext>
          </a:extLst>
        </xdr:cNvPr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4300-000015000000}"/>
            </a:ext>
          </a:extLst>
        </xdr:cNvPr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4300-000016000000}"/>
            </a:ext>
          </a:extLst>
        </xdr:cNvPr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4300-000017000000}"/>
            </a:ext>
          </a:extLst>
        </xdr:cNvPr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4300-000018000000}"/>
            </a:ext>
          </a:extLst>
        </xdr:cNvPr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4300-000019000000}"/>
            </a:ext>
          </a:extLst>
        </xdr:cNvPr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4300-00001A000000}"/>
            </a:ext>
          </a:extLst>
        </xdr:cNvPr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00000000-0008-0000-4300-00001B000000}"/>
            </a:ext>
          </a:extLst>
        </xdr:cNvPr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00000000-0008-0000-4300-00001C000000}"/>
            </a:ext>
          </a:extLst>
        </xdr:cNvPr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4300-00001D000000}"/>
            </a:ext>
          </a:extLst>
        </xdr:cNvPr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4300-00001E000000}"/>
            </a:ext>
          </a:extLst>
        </xdr:cNvPr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00000000-0008-0000-4300-00001F000000}"/>
            </a:ext>
          </a:extLst>
        </xdr:cNvPr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>
          <a:extLst>
            <a:ext uri="{FF2B5EF4-FFF2-40B4-BE49-F238E27FC236}">
              <a16:creationId xmlns:a16="http://schemas.microsoft.com/office/drawing/2014/main" id="{00000000-0008-0000-4300-000020000000}"/>
            </a:ext>
          </a:extLst>
        </xdr:cNvPr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>
          <a:extLst>
            <a:ext uri="{FF2B5EF4-FFF2-40B4-BE49-F238E27FC236}">
              <a16:creationId xmlns:a16="http://schemas.microsoft.com/office/drawing/2014/main" id="{00000000-0008-0000-4300-000021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>
          <a:extLst>
            <a:ext uri="{FF2B5EF4-FFF2-40B4-BE49-F238E27FC236}">
              <a16:creationId xmlns:a16="http://schemas.microsoft.com/office/drawing/2014/main" id="{00000000-0008-0000-4300-000022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>
          <a:extLst>
            <a:ext uri="{FF2B5EF4-FFF2-40B4-BE49-F238E27FC236}">
              <a16:creationId xmlns:a16="http://schemas.microsoft.com/office/drawing/2014/main" id="{00000000-0008-0000-4300-000023000000}"/>
            </a:ext>
          </a:extLst>
        </xdr:cNvPr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>
          <a:extLst>
            <a:ext uri="{FF2B5EF4-FFF2-40B4-BE49-F238E27FC236}">
              <a16:creationId xmlns:a16="http://schemas.microsoft.com/office/drawing/2014/main" id="{00000000-0008-0000-4300-000024000000}"/>
            </a:ext>
          </a:extLst>
        </xdr:cNvPr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>
          <a:extLst>
            <a:ext uri="{FF2B5EF4-FFF2-40B4-BE49-F238E27FC236}">
              <a16:creationId xmlns:a16="http://schemas.microsoft.com/office/drawing/2014/main" id="{00000000-0008-0000-4300-000025000000}"/>
            </a:ext>
          </a:extLst>
        </xdr:cNvPr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>
          <a:extLst>
            <a:ext uri="{FF2B5EF4-FFF2-40B4-BE49-F238E27FC236}">
              <a16:creationId xmlns:a16="http://schemas.microsoft.com/office/drawing/2014/main" id="{00000000-0008-0000-4300-000026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>
          <a:extLst>
            <a:ext uri="{FF2B5EF4-FFF2-40B4-BE49-F238E27FC236}">
              <a16:creationId xmlns:a16="http://schemas.microsoft.com/office/drawing/2014/main" id="{00000000-0008-0000-4300-000027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>
          <a:extLst>
            <a:ext uri="{FF2B5EF4-FFF2-40B4-BE49-F238E27FC236}">
              <a16:creationId xmlns:a16="http://schemas.microsoft.com/office/drawing/2014/main" id="{00000000-0008-0000-4300-000028000000}"/>
            </a:ext>
          </a:extLst>
        </xdr:cNvPr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>
          <a:extLst>
            <a:ext uri="{FF2B5EF4-FFF2-40B4-BE49-F238E27FC236}">
              <a16:creationId xmlns:a16="http://schemas.microsoft.com/office/drawing/2014/main" id="{00000000-0008-0000-4300-000029000000}"/>
            </a:ext>
          </a:extLst>
        </xdr:cNvPr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>
          <a:extLst>
            <a:ext uri="{FF2B5EF4-FFF2-40B4-BE49-F238E27FC236}">
              <a16:creationId xmlns:a16="http://schemas.microsoft.com/office/drawing/2014/main" id="{00000000-0008-0000-4300-00002A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>
          <a:extLst>
            <a:ext uri="{FF2B5EF4-FFF2-40B4-BE49-F238E27FC236}">
              <a16:creationId xmlns:a16="http://schemas.microsoft.com/office/drawing/2014/main" id="{00000000-0008-0000-4300-00002B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>
          <a:extLst>
            <a:ext uri="{FF2B5EF4-FFF2-40B4-BE49-F238E27FC236}">
              <a16:creationId xmlns:a16="http://schemas.microsoft.com/office/drawing/2014/main" id="{00000000-0008-0000-4300-00002C000000}"/>
            </a:ext>
          </a:extLst>
        </xdr:cNvPr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>
          <a:extLst>
            <a:ext uri="{FF2B5EF4-FFF2-40B4-BE49-F238E27FC236}">
              <a16:creationId xmlns:a16="http://schemas.microsoft.com/office/drawing/2014/main" id="{00000000-0008-0000-4300-00002D000000}"/>
            </a:ext>
          </a:extLst>
        </xdr:cNvPr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>
          <a:extLst>
            <a:ext uri="{FF2B5EF4-FFF2-40B4-BE49-F238E27FC236}">
              <a16:creationId xmlns:a16="http://schemas.microsoft.com/office/drawing/2014/main" id="{00000000-0008-0000-4300-00002E000000}"/>
            </a:ext>
          </a:extLst>
        </xdr:cNvPr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>
          <a:extLst>
            <a:ext uri="{FF2B5EF4-FFF2-40B4-BE49-F238E27FC236}">
              <a16:creationId xmlns:a16="http://schemas.microsoft.com/office/drawing/2014/main" id="{00000000-0008-0000-4300-00002F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>
          <a:extLst>
            <a:ext uri="{FF2B5EF4-FFF2-40B4-BE49-F238E27FC236}">
              <a16:creationId xmlns:a16="http://schemas.microsoft.com/office/drawing/2014/main" id="{00000000-0008-0000-4300-000030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>
          <a:extLst>
            <a:ext uri="{FF2B5EF4-FFF2-40B4-BE49-F238E27FC236}">
              <a16:creationId xmlns:a16="http://schemas.microsoft.com/office/drawing/2014/main" id="{00000000-0008-0000-4300-000031000000}"/>
            </a:ext>
          </a:extLst>
        </xdr:cNvPr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>
          <a:extLst>
            <a:ext uri="{FF2B5EF4-FFF2-40B4-BE49-F238E27FC236}">
              <a16:creationId xmlns:a16="http://schemas.microsoft.com/office/drawing/2014/main" id="{00000000-0008-0000-4300-000032000000}"/>
            </a:ext>
          </a:extLst>
        </xdr:cNvPr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>
          <a:extLst>
            <a:ext uri="{FF2B5EF4-FFF2-40B4-BE49-F238E27FC236}">
              <a16:creationId xmlns:a16="http://schemas.microsoft.com/office/drawing/2014/main" id="{00000000-0008-0000-4300-000033000000}"/>
            </a:ext>
          </a:extLst>
        </xdr:cNvPr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>
          <a:extLst>
            <a:ext uri="{FF2B5EF4-FFF2-40B4-BE49-F238E27FC236}">
              <a16:creationId xmlns:a16="http://schemas.microsoft.com/office/drawing/2014/main" id="{00000000-0008-0000-4300-000034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>
          <a:extLst>
            <a:ext uri="{FF2B5EF4-FFF2-40B4-BE49-F238E27FC236}">
              <a16:creationId xmlns:a16="http://schemas.microsoft.com/office/drawing/2014/main" id="{00000000-0008-0000-4300-000035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400-000005000000}"/>
            </a:ext>
          </a:extLst>
        </xdr:cNvPr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400-000008000000}"/>
            </a:ext>
          </a:extLst>
        </xdr:cNvPr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  <a:ext uri="{FF2B5EF4-FFF2-40B4-BE49-F238E27FC236}">
              <a16:creationId xmlns:a16="http://schemas.microsoft.com/office/drawing/2014/main" id="{00000000-0008-0000-4500-000001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  <a:ext uri="{FF2B5EF4-FFF2-40B4-BE49-F238E27FC236}">
              <a16:creationId xmlns:a16="http://schemas.microsoft.com/office/drawing/2014/main" id="{00000000-0008-0000-4500-000002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>
          <a:extLst>
            <a:ext uri="{FF2B5EF4-FFF2-40B4-BE49-F238E27FC236}">
              <a16:creationId xmlns:a16="http://schemas.microsoft.com/office/drawing/2014/main" id="{00000000-0008-0000-45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>
          <a:extLst>
            <a:ext uri="{FF2B5EF4-FFF2-40B4-BE49-F238E27FC236}">
              <a16:creationId xmlns:a16="http://schemas.microsoft.com/office/drawing/2014/main" id="{00000000-0008-0000-4500-000007000000}"/>
            </a:ext>
          </a:extLst>
        </xdr:cNvPr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>
          <a:extLst>
            <a:ext uri="{FF2B5EF4-FFF2-40B4-BE49-F238E27FC236}">
              <a16:creationId xmlns:a16="http://schemas.microsoft.com/office/drawing/2014/main" id="{00000000-0008-0000-4500-000008000000}"/>
            </a:ext>
          </a:extLst>
        </xdr:cNvPr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>
          <a:extLst>
            <a:ext uri="{FF2B5EF4-FFF2-40B4-BE49-F238E27FC236}">
              <a16:creationId xmlns:a16="http://schemas.microsoft.com/office/drawing/2014/main" id="{00000000-0008-0000-4500-000009000000}"/>
            </a:ext>
          </a:extLst>
        </xdr:cNvPr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>
          <a:extLst>
            <a:ext uri="{FF2B5EF4-FFF2-40B4-BE49-F238E27FC236}">
              <a16:creationId xmlns:a16="http://schemas.microsoft.com/office/drawing/2014/main" id="{00000000-0008-0000-4500-00000A000000}"/>
            </a:ext>
          </a:extLst>
        </xdr:cNvPr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>
          <a:extLst>
            <a:ext uri="{FF2B5EF4-FFF2-40B4-BE49-F238E27FC236}">
              <a16:creationId xmlns:a16="http://schemas.microsoft.com/office/drawing/2014/main" id="{00000000-0008-0000-4500-00000B000000}"/>
            </a:ext>
          </a:extLst>
        </xdr:cNvPr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>
          <a:extLst>
            <a:ext uri="{FF2B5EF4-FFF2-40B4-BE49-F238E27FC236}">
              <a16:creationId xmlns:a16="http://schemas.microsoft.com/office/drawing/2014/main" id="{00000000-0008-0000-4500-00000C000000}"/>
            </a:ext>
          </a:extLst>
        </xdr:cNvPr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>
          <a:extLst>
            <a:ext uri="{FF2B5EF4-FFF2-40B4-BE49-F238E27FC236}">
              <a16:creationId xmlns:a16="http://schemas.microsoft.com/office/drawing/2014/main" id="{00000000-0008-0000-4500-00000D000000}"/>
            </a:ext>
          </a:extLst>
        </xdr:cNvPr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>
          <a:extLst>
            <a:ext uri="{FF2B5EF4-FFF2-40B4-BE49-F238E27FC236}">
              <a16:creationId xmlns:a16="http://schemas.microsoft.com/office/drawing/2014/main" id="{00000000-0008-0000-4500-00000E000000}"/>
            </a:ext>
          </a:extLst>
        </xdr:cNvPr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>
          <a:extLst>
            <a:ext uri="{FF2B5EF4-FFF2-40B4-BE49-F238E27FC236}">
              <a16:creationId xmlns:a16="http://schemas.microsoft.com/office/drawing/2014/main" id="{00000000-0008-0000-4600-000009000000}"/>
            </a:ext>
          </a:extLst>
        </xdr:cNvPr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>
          <a:extLst>
            <a:ext uri="{FF2B5EF4-FFF2-40B4-BE49-F238E27FC236}">
              <a16:creationId xmlns:a16="http://schemas.microsoft.com/office/drawing/2014/main" id="{00000000-0008-0000-4600-00000A000000}"/>
            </a:ext>
          </a:extLst>
        </xdr:cNvPr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>
          <a:extLst>
            <a:ext uri="{FF2B5EF4-FFF2-40B4-BE49-F238E27FC236}">
              <a16:creationId xmlns:a16="http://schemas.microsoft.com/office/drawing/2014/main" id="{00000000-0008-0000-4600-00000B000000}"/>
            </a:ext>
          </a:extLst>
        </xdr:cNvPr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>
          <a:extLst>
            <a:ext uri="{FF2B5EF4-FFF2-40B4-BE49-F238E27FC236}">
              <a16:creationId xmlns:a16="http://schemas.microsoft.com/office/drawing/2014/main" id="{00000000-0008-0000-4600-00000C000000}"/>
            </a:ext>
          </a:extLst>
        </xdr:cNvPr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  <a:ext uri="{FF2B5EF4-FFF2-40B4-BE49-F238E27FC236}">
              <a16:creationId xmlns:a16="http://schemas.microsoft.com/office/drawing/2014/main" id="{00000000-0008-0000-4700-000001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  <a:ext uri="{FF2B5EF4-FFF2-40B4-BE49-F238E27FC236}">
              <a16:creationId xmlns:a16="http://schemas.microsoft.com/office/drawing/2014/main" id="{00000000-0008-0000-4700-000002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  <a:ext uri="{FF2B5EF4-FFF2-40B4-BE49-F238E27FC236}">
              <a16:creationId xmlns:a16="http://schemas.microsoft.com/office/drawing/2014/main" id="{00000000-0008-0000-4700-000003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  <a:ext uri="{FF2B5EF4-FFF2-40B4-BE49-F238E27FC236}">
              <a16:creationId xmlns:a16="http://schemas.microsoft.com/office/drawing/2014/main" id="{00000000-0008-0000-4700-000004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>
          <a:extLst>
            <a:ext uri="{FF2B5EF4-FFF2-40B4-BE49-F238E27FC236}">
              <a16:creationId xmlns:a16="http://schemas.microsoft.com/office/drawing/2014/main" id="{00000000-0008-0000-47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>
          <a:extLst>
            <a:ext uri="{FF2B5EF4-FFF2-40B4-BE49-F238E27FC236}">
              <a16:creationId xmlns:a16="http://schemas.microsoft.com/office/drawing/2014/main" id="{00000000-0008-0000-47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GrpSpPr>
          <a:grpSpLocks noChangeAspect="1"/>
        </xdr:cNvGrpSpPr>
      </xdr:nvGrpSpPr>
      <xdr:grpSpPr bwMode="auto">
        <a:xfrm>
          <a:off x="1520190" y="2977515"/>
          <a:ext cx="2190750" cy="1289685"/>
          <a:chOff x="0" y="0"/>
          <a:chExt cx="3750" cy="1800"/>
        </a:xfrm>
      </xdr:grpSpPr>
      <xdr:sp macro="" textlink="">
        <xdr:nvSpPr>
          <xdr:cNvPr id="3" name="AutoShape 40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>
            <a:extLst>
              <a:ext uri="{FF2B5EF4-FFF2-40B4-BE49-F238E27FC236}">
                <a16:creationId xmlns:a16="http://schemas.microsoft.com/office/drawing/2014/main" id="{00000000-0008-0000-48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>
            <a:extLst>
              <a:ext uri="{FF2B5EF4-FFF2-40B4-BE49-F238E27FC236}">
                <a16:creationId xmlns:a16="http://schemas.microsoft.com/office/drawing/2014/main" id="{00000000-0008-0000-48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>
            <a:extLst>
              <a:ext uri="{FF2B5EF4-FFF2-40B4-BE49-F238E27FC236}">
                <a16:creationId xmlns:a16="http://schemas.microsoft.com/office/drawing/2014/main" id="{00000000-0008-0000-4800-000006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>
            <a:extLst>
              <a:ext uri="{FF2B5EF4-FFF2-40B4-BE49-F238E27FC236}">
                <a16:creationId xmlns:a16="http://schemas.microsoft.com/office/drawing/2014/main" id="{00000000-0008-0000-4800-000007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>
            <a:extLst>
              <a:ext uri="{FF2B5EF4-FFF2-40B4-BE49-F238E27FC236}">
                <a16:creationId xmlns:a16="http://schemas.microsoft.com/office/drawing/2014/main" id="{00000000-0008-0000-4800-000008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>
            <a:extLst>
              <a:ext uri="{FF2B5EF4-FFF2-40B4-BE49-F238E27FC236}">
                <a16:creationId xmlns:a16="http://schemas.microsoft.com/office/drawing/2014/main" id="{00000000-0008-0000-4800-000009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>
            <a:extLst>
              <a:ext uri="{FF2B5EF4-FFF2-40B4-BE49-F238E27FC236}">
                <a16:creationId xmlns:a16="http://schemas.microsoft.com/office/drawing/2014/main" id="{00000000-0008-0000-4800-00000A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>
            <a:extLst>
              <a:ext uri="{FF2B5EF4-FFF2-40B4-BE49-F238E27FC236}">
                <a16:creationId xmlns:a16="http://schemas.microsoft.com/office/drawing/2014/main" id="{00000000-0008-0000-4800-00000B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0000000-0008-0000-4800-00000C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00000000-0008-0000-4800-00000D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>
            <a:extLst>
              <a:ext uri="{FF2B5EF4-FFF2-40B4-BE49-F238E27FC236}">
                <a16:creationId xmlns:a16="http://schemas.microsoft.com/office/drawing/2014/main" id="{00000000-0008-0000-4800-00000E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>
            <a:extLst>
              <a:ext uri="{FF2B5EF4-FFF2-40B4-BE49-F238E27FC236}">
                <a16:creationId xmlns:a16="http://schemas.microsoft.com/office/drawing/2014/main" id="{00000000-0008-0000-4800-00000F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>
            <a:extLst>
              <a:ext uri="{FF2B5EF4-FFF2-40B4-BE49-F238E27FC236}">
                <a16:creationId xmlns:a16="http://schemas.microsoft.com/office/drawing/2014/main" id="{00000000-0008-0000-4800-000010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>
            <a:extLst>
              <a:ext uri="{FF2B5EF4-FFF2-40B4-BE49-F238E27FC236}">
                <a16:creationId xmlns:a16="http://schemas.microsoft.com/office/drawing/2014/main" id="{00000000-0008-0000-4800-000011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>
            <a:extLst>
              <a:ext uri="{FF2B5EF4-FFF2-40B4-BE49-F238E27FC236}">
                <a16:creationId xmlns:a16="http://schemas.microsoft.com/office/drawing/2014/main" id="{00000000-0008-0000-48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>
            <a:extLst>
              <a:ext uri="{FF2B5EF4-FFF2-40B4-BE49-F238E27FC236}">
                <a16:creationId xmlns:a16="http://schemas.microsoft.com/office/drawing/2014/main" id="{00000000-0008-0000-48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>
            <a:extLst>
              <a:ext uri="{FF2B5EF4-FFF2-40B4-BE49-F238E27FC236}">
                <a16:creationId xmlns:a16="http://schemas.microsoft.com/office/drawing/2014/main" id="{00000000-0008-0000-4800-00001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>
            <a:extLst>
              <a:ext uri="{FF2B5EF4-FFF2-40B4-BE49-F238E27FC236}">
                <a16:creationId xmlns:a16="http://schemas.microsoft.com/office/drawing/2014/main" id="{00000000-0008-0000-48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>
            <a:extLst>
              <a:ext uri="{FF2B5EF4-FFF2-40B4-BE49-F238E27FC236}">
                <a16:creationId xmlns:a16="http://schemas.microsoft.com/office/drawing/2014/main" id="{00000000-0008-0000-4800-00001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>
            <a:extLst>
              <a:ext uri="{FF2B5EF4-FFF2-40B4-BE49-F238E27FC236}">
                <a16:creationId xmlns:a16="http://schemas.microsoft.com/office/drawing/2014/main" id="{00000000-0008-0000-48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>
            <a:extLst>
              <a:ext uri="{FF2B5EF4-FFF2-40B4-BE49-F238E27FC236}">
                <a16:creationId xmlns:a16="http://schemas.microsoft.com/office/drawing/2014/main" id="{00000000-0008-0000-4800-000018000000}"/>
              </a:ext>
            </a:extLst>
          </xdr:cNvPr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>
            <a:extLst>
              <a:ext uri="{FF2B5EF4-FFF2-40B4-BE49-F238E27FC236}">
                <a16:creationId xmlns:a16="http://schemas.microsoft.com/office/drawing/2014/main" id="{00000000-0008-0000-4800-000019000000}"/>
              </a:ext>
            </a:extLst>
          </xdr:cNvPr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>
          <a:extLst>
            <a:ext uri="{FF2B5EF4-FFF2-40B4-BE49-F238E27FC236}">
              <a16:creationId xmlns:a16="http://schemas.microsoft.com/office/drawing/2014/main" id="{00000000-0008-0000-48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4800-000020000000}"/>
            </a:ext>
          </a:extLst>
        </xdr:cNvPr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4800-000021000000}"/>
            </a:ext>
          </a:extLst>
        </xdr:cNvPr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4800-000022000000}"/>
            </a:ext>
          </a:extLst>
        </xdr:cNvPr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>
          <a:extLst>
            <a:ext uri="{FF2B5EF4-FFF2-40B4-BE49-F238E27FC236}">
              <a16:creationId xmlns:a16="http://schemas.microsoft.com/office/drawing/2014/main" id="{00000000-0008-0000-4800-000023000000}"/>
            </a:ext>
          </a:extLst>
        </xdr:cNvPr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>
          <a:extLst>
            <a:ext uri="{FF2B5EF4-FFF2-40B4-BE49-F238E27FC236}">
              <a16:creationId xmlns:a16="http://schemas.microsoft.com/office/drawing/2014/main" id="{00000000-0008-0000-4800-000024000000}"/>
            </a:ext>
          </a:extLst>
        </xdr:cNvPr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SpPr/>
      </xdr:nvSpPr>
      <xdr:spPr>
        <a:xfrm>
          <a:off x="2019300" y="952500"/>
          <a:ext cx="241935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=""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900-000003000000}"/>
            </a:ext>
          </a:extLst>
        </xdr:cNvPr>
        <xdr:cNvSpPr/>
      </xdr:nvSpPr>
      <xdr:spPr>
        <a:xfrm>
          <a:off x="2019300" y="571500"/>
          <a:ext cx="24193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1320800</xdr:colOff>
      <xdr:row>2</xdr:row>
      <xdr:rowOff>114300</xdr:rowOff>
    </xdr:from>
    <xdr:to>
      <xdr:col>3</xdr:col>
      <xdr:colOff>218389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900-000004000000}"/>
            </a:ext>
          </a:extLst>
        </xdr:cNvPr>
        <xdr:cNvSpPr/>
      </xdr:nvSpPr>
      <xdr:spPr>
        <a:xfrm>
          <a:off x="20066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=""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4</xdr:col>
      <xdr:colOff>0</xdr:colOff>
      <xdr:row>6</xdr:row>
      <xdr:rowOff>0</xdr:rowOff>
    </xdr:to>
    <xdr:sp macro="" textlink="">
      <xdr:nvSpPr>
        <xdr:cNvPr id="5" name="OpenSolverC6">
          <a:extLst>
            <a:ext uri="{FF2B5EF4-FFF2-40B4-BE49-F238E27FC236}">
              <a16:creationId xmlns:a16="http://schemas.microsoft.com/office/drawing/2014/main" id="{00000000-0008-0000-4900-000005000000}"/>
            </a:ext>
          </a:extLst>
        </xdr:cNvPr>
        <xdr:cNvSpPr/>
      </xdr:nvSpPr>
      <xdr:spPr>
        <a:xfrm>
          <a:off x="2032000" y="965200"/>
          <a:ext cx="24066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10≥,-10≤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31" name="OpenSolver1">
          <a:extLst>
            <a:ext uri="{FF2B5EF4-FFF2-40B4-BE49-F238E27FC236}">
              <a16:creationId xmlns:a16="http://schemas.microsoft.com/office/drawing/2014/main" id="{00000000-0008-0000-4A00-00001F000000}"/>
            </a:ext>
          </a:extLst>
        </xdr:cNvPr>
        <xdr:cNvSpPr/>
      </xdr:nvSpPr>
      <xdr:spPr>
        <a:xfrm>
          <a:off x="338137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2" name="OpenSolver2">
          <a:extLst>
            <a:ext uri="{FF2B5EF4-FFF2-40B4-BE49-F238E27FC236}">
              <a16:creationId xmlns:a16="http://schemas.microsoft.com/office/drawing/2014/main" id="{00000000-0008-0000-4A00-000020000000}"/>
            </a:ext>
          </a:extLst>
        </xdr:cNvPr>
        <xdr:cNvSpPr/>
      </xdr:nvSpPr>
      <xdr:spPr>
        <a:xfrm>
          <a:off x="1714500" y="762000"/>
          <a:ext cx="5524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196850</xdr:colOff>
      <xdr:row>3</xdr:row>
      <xdr:rowOff>114300</xdr:rowOff>
    </xdr:from>
    <xdr:to>
      <xdr:col>6</xdr:col>
      <xdr:colOff>218389</xdr:colOff>
      <xdr:row>4</xdr:row>
      <xdr:rowOff>50800</xdr:rowOff>
    </xdr:to>
    <xdr:sp macro="" textlink="">
      <xdr:nvSpPr>
        <xdr:cNvPr id="33" name="OpenSolver3">
          <a:extLst>
            <a:ext uri="{FF2B5EF4-FFF2-40B4-BE49-F238E27FC236}">
              <a16:creationId xmlns:a16="http://schemas.microsoft.com/office/drawing/2014/main" id="{00000000-0008-0000-4A00-000021000000}"/>
            </a:ext>
          </a:extLst>
        </xdr:cNvPr>
        <xdr:cNvSpPr/>
      </xdr:nvSpPr>
      <xdr:spPr>
        <a:xfrm>
          <a:off x="17018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34" name="OpenSolver4">
          <a:extLst>
            <a:ext uri="{FF2B5EF4-FFF2-40B4-BE49-F238E27FC236}">
              <a16:creationId xmlns:a16="http://schemas.microsoft.com/office/drawing/2014/main" id="{00000000-0008-0000-4A00-000022000000}"/>
            </a:ext>
          </a:extLst>
        </xdr:cNvPr>
        <xdr:cNvSpPr/>
      </xdr:nvSpPr>
      <xdr:spPr>
        <a:xfrm>
          <a:off x="1714500" y="1143000"/>
          <a:ext cx="5524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35" name="OpenSolver5">
          <a:extLst>
            <a:ext uri="{FF2B5EF4-FFF2-40B4-BE49-F238E27FC236}">
              <a16:creationId xmlns:a16="http://schemas.microsoft.com/office/drawing/2014/main" id="{00000000-0008-0000-4A00-000023000000}"/>
            </a:ext>
          </a:extLst>
        </xdr:cNvPr>
        <xdr:cNvSpPr/>
      </xdr:nvSpPr>
      <xdr:spPr>
        <a:xfrm>
          <a:off x="246697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36" name="OpenSolver6">
          <a:extLst>
            <a:ext uri="{FF2B5EF4-FFF2-40B4-BE49-F238E27FC236}">
              <a16:creationId xmlns:a16="http://schemas.microsoft.com/office/drawing/2014/main" id="{00000000-0008-0000-4A00-000024000000}"/>
            </a:ext>
          </a:extLst>
        </xdr:cNvPr>
        <xdr:cNvCxnSpPr>
          <a:stCxn id="34" idx="3"/>
          <a:endCxn id="35" idx="1"/>
        </xdr:cNvCxnSpPr>
      </xdr:nvCxnSpPr>
      <xdr:spPr>
        <a:xfrm>
          <a:off x="226695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461963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37" name="OpenSolver7">
          <a:extLst>
            <a:ext uri="{FF2B5EF4-FFF2-40B4-BE49-F238E27FC236}">
              <a16:creationId xmlns:a16="http://schemas.microsoft.com/office/drawing/2014/main" id="{00000000-0008-0000-4A00-000025000000}"/>
            </a:ext>
          </a:extLst>
        </xdr:cNvPr>
        <xdr:cNvSpPr/>
      </xdr:nvSpPr>
      <xdr:spPr>
        <a:xfrm>
          <a:off x="217646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38" name="OpenSolver8">
          <a:extLst>
            <a:ext uri="{FF2B5EF4-FFF2-40B4-BE49-F238E27FC236}">
              <a16:creationId xmlns:a16="http://schemas.microsoft.com/office/drawing/2014/main" id="{00000000-0008-0000-4A00-000026000000}"/>
            </a:ext>
          </a:extLst>
        </xdr:cNvPr>
        <xdr:cNvSpPr/>
      </xdr:nvSpPr>
      <xdr:spPr>
        <a:xfrm>
          <a:off x="1714500" y="1714500"/>
          <a:ext cx="5524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9" name="OpenSolver9">
          <a:extLst>
            <a:ext uri="{FF2B5EF4-FFF2-40B4-BE49-F238E27FC236}">
              <a16:creationId xmlns:a16="http://schemas.microsoft.com/office/drawing/2014/main" id="{00000000-0008-0000-4A00-000027000000}"/>
            </a:ext>
          </a:extLst>
        </xdr:cNvPr>
        <xdr:cNvSpPr/>
      </xdr:nvSpPr>
      <xdr:spPr>
        <a:xfrm>
          <a:off x="24669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40" name="OpenSolver10">
          <a:extLst>
            <a:ext uri="{FF2B5EF4-FFF2-40B4-BE49-F238E27FC236}">
              <a16:creationId xmlns:a16="http://schemas.microsoft.com/office/drawing/2014/main" id="{00000000-0008-0000-4A00-000028000000}"/>
            </a:ext>
          </a:extLst>
        </xdr:cNvPr>
        <xdr:cNvCxnSpPr>
          <a:stCxn id="38" idx="3"/>
          <a:endCxn id="39" idx="1"/>
        </xdr:cNvCxnSpPr>
      </xdr:nvCxnSpPr>
      <xdr:spPr>
        <a:xfrm>
          <a:off x="22669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461963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41" name="OpenSolver11">
          <a:extLst>
            <a:ext uri="{FF2B5EF4-FFF2-40B4-BE49-F238E27FC236}">
              <a16:creationId xmlns:a16="http://schemas.microsoft.com/office/drawing/2014/main" id="{00000000-0008-0000-4A00-000029000000}"/>
            </a:ext>
          </a:extLst>
        </xdr:cNvPr>
        <xdr:cNvSpPr/>
      </xdr:nvSpPr>
      <xdr:spPr>
        <a:xfrm>
          <a:off x="21764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2" name="OpenSolver12">
          <a:extLst>
            <a:ext uri="{FF2B5EF4-FFF2-40B4-BE49-F238E27FC236}">
              <a16:creationId xmlns:a16="http://schemas.microsoft.com/office/drawing/2014/main" id="{00000000-0008-0000-4A00-00002A000000}"/>
            </a:ext>
          </a:extLst>
        </xdr:cNvPr>
        <xdr:cNvSpPr/>
      </xdr:nvSpPr>
      <xdr:spPr>
        <a:xfrm>
          <a:off x="1714500" y="1524000"/>
          <a:ext cx="5524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3" name="OpenSolver13">
          <a:extLst>
            <a:ext uri="{FF2B5EF4-FFF2-40B4-BE49-F238E27FC236}">
              <a16:creationId xmlns:a16="http://schemas.microsoft.com/office/drawing/2014/main" id="{00000000-0008-0000-4A00-00002B000000}"/>
            </a:ext>
          </a:extLst>
        </xdr:cNvPr>
        <xdr:cNvSpPr/>
      </xdr:nvSpPr>
      <xdr:spPr>
        <a:xfrm>
          <a:off x="24669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44" name="OpenSolver14">
          <a:extLst>
            <a:ext uri="{FF2B5EF4-FFF2-40B4-BE49-F238E27FC236}">
              <a16:creationId xmlns:a16="http://schemas.microsoft.com/office/drawing/2014/main" id="{00000000-0008-0000-4A00-00002C000000}"/>
            </a:ext>
          </a:extLst>
        </xdr:cNvPr>
        <xdr:cNvCxnSpPr>
          <a:stCxn id="42" idx="3"/>
          <a:endCxn id="43" idx="1"/>
        </xdr:cNvCxnSpPr>
      </xdr:nvCxnSpPr>
      <xdr:spPr>
        <a:xfrm>
          <a:off x="2266950" y="1619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461963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45" name="OpenSolver15">
          <a:extLst>
            <a:ext uri="{FF2B5EF4-FFF2-40B4-BE49-F238E27FC236}">
              <a16:creationId xmlns:a16="http://schemas.microsoft.com/office/drawing/2014/main" id="{00000000-0008-0000-4A00-00002D000000}"/>
            </a:ext>
          </a:extLst>
        </xdr:cNvPr>
        <xdr:cNvSpPr/>
      </xdr:nvSpPr>
      <xdr:spPr>
        <a:xfrm>
          <a:off x="21764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5" name="OpenSolver1">
          <a:extLst>
            <a:ext uri="{FF2B5EF4-FFF2-40B4-BE49-F238E27FC236}">
              <a16:creationId xmlns:a16="http://schemas.microsoft.com/office/drawing/2014/main" id="{00000000-0008-0000-4B00-000019000000}"/>
            </a:ext>
          </a:extLst>
        </xdr:cNvPr>
        <xdr:cNvSpPr/>
      </xdr:nvSpPr>
      <xdr:spPr>
        <a:xfrm>
          <a:off x="219075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6" name="OpenSolver2">
          <a:extLst>
            <a:ext uri="{FF2B5EF4-FFF2-40B4-BE49-F238E27FC236}">
              <a16:creationId xmlns:a16="http://schemas.microsoft.com/office/drawing/2014/main" id="{00000000-0008-0000-4B00-00001A000000}"/>
            </a:ext>
          </a:extLst>
        </xdr:cNvPr>
        <xdr:cNvSpPr/>
      </xdr:nvSpPr>
      <xdr:spPr>
        <a:xfrm>
          <a:off x="828675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27" name="OpenSolver3">
          <a:extLst>
            <a:ext uri="{FF2B5EF4-FFF2-40B4-BE49-F238E27FC236}">
              <a16:creationId xmlns:a16="http://schemas.microsoft.com/office/drawing/2014/main" id="{00000000-0008-0000-4B00-00001B000000}"/>
            </a:ext>
          </a:extLst>
        </xdr:cNvPr>
        <xdr:cNvSpPr/>
      </xdr:nvSpPr>
      <xdr:spPr>
        <a:xfrm>
          <a:off x="828675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593725</xdr:colOff>
      <xdr:row>7</xdr:row>
      <xdr:rowOff>114300</xdr:rowOff>
    </xdr:from>
    <xdr:to>
      <xdr:col>2</xdr:col>
      <xdr:colOff>215214</xdr:colOff>
      <xdr:row>8</xdr:row>
      <xdr:rowOff>50800</xdr:rowOff>
    </xdr:to>
    <xdr:sp macro="" textlink="">
      <xdr:nvSpPr>
        <xdr:cNvPr id="28" name="OpenSolver4">
          <a:extLst>
            <a:ext uri="{FF2B5EF4-FFF2-40B4-BE49-F238E27FC236}">
              <a16:creationId xmlns:a16="http://schemas.microsoft.com/office/drawing/2014/main" id="{00000000-0008-0000-4B00-00001C000000}"/>
            </a:ext>
          </a:extLst>
        </xdr:cNvPr>
        <xdr:cNvSpPr/>
      </xdr:nvSpPr>
      <xdr:spPr>
        <a:xfrm>
          <a:off x="8128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29" name="OpenSolver5">
          <a:extLst>
            <a:ext uri="{FF2B5EF4-FFF2-40B4-BE49-F238E27FC236}">
              <a16:creationId xmlns:a16="http://schemas.microsoft.com/office/drawing/2014/main" id="{00000000-0008-0000-4B00-00001D000000}"/>
            </a:ext>
          </a:extLst>
        </xdr:cNvPr>
        <xdr:cNvSpPr/>
      </xdr:nvSpPr>
      <xdr:spPr>
        <a:xfrm>
          <a:off x="219075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0" name="OpenSolver6">
          <a:extLst>
            <a:ext uri="{FF2B5EF4-FFF2-40B4-BE49-F238E27FC236}">
              <a16:creationId xmlns:a16="http://schemas.microsoft.com/office/drawing/2014/main" id="{00000000-0008-0000-4B00-00001E000000}"/>
            </a:ext>
          </a:extLst>
        </xdr:cNvPr>
        <xdr:cNvSpPr/>
      </xdr:nvSpPr>
      <xdr:spPr>
        <a:xfrm>
          <a:off x="1438275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31" name="OpenSolver7">
          <a:extLst>
            <a:ext uri="{FF2B5EF4-FFF2-40B4-BE49-F238E27FC236}">
              <a16:creationId xmlns:a16="http://schemas.microsoft.com/office/drawing/2014/main" id="{00000000-0008-0000-4B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828675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32" name="OpenSolver8">
          <a:extLst>
            <a:ext uri="{FF2B5EF4-FFF2-40B4-BE49-F238E27FC236}">
              <a16:creationId xmlns:a16="http://schemas.microsoft.com/office/drawing/2014/main" id="{00000000-0008-0000-4B00-000020000000}"/>
            </a:ext>
          </a:extLst>
        </xdr:cNvPr>
        <xdr:cNvSpPr/>
      </xdr:nvSpPr>
      <xdr:spPr>
        <a:xfrm>
          <a:off x="942975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33" name="OpenSolver9">
          <a:extLst>
            <a:ext uri="{FF2B5EF4-FFF2-40B4-BE49-F238E27FC236}">
              <a16:creationId xmlns:a16="http://schemas.microsoft.com/office/drawing/2014/main" id="{00000000-0008-0000-4B00-000021000000}"/>
            </a:ext>
          </a:extLst>
        </xdr:cNvPr>
        <xdr:cNvSpPr/>
      </xdr:nvSpPr>
      <xdr:spPr>
        <a:xfrm>
          <a:off x="219075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34" name="OpenSolver10">
          <a:extLst>
            <a:ext uri="{FF2B5EF4-FFF2-40B4-BE49-F238E27FC236}">
              <a16:creationId xmlns:a16="http://schemas.microsoft.com/office/drawing/2014/main" id="{00000000-0008-0000-4B00-000022000000}"/>
            </a:ext>
          </a:extLst>
        </xdr:cNvPr>
        <xdr:cNvSpPr/>
      </xdr:nvSpPr>
      <xdr:spPr>
        <a:xfrm>
          <a:off x="1438275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35" name="OpenSolver11">
          <a:extLst>
            <a:ext uri="{FF2B5EF4-FFF2-40B4-BE49-F238E27FC236}">
              <a16:creationId xmlns:a16="http://schemas.microsoft.com/office/drawing/2014/main" id="{00000000-0008-0000-4B00-000023000000}"/>
            </a:ext>
          </a:extLst>
        </xdr:cNvPr>
        <xdr:cNvCxnSpPr>
          <a:stCxn id="33" idx="3"/>
          <a:endCxn id="34" idx="1"/>
        </xdr:cNvCxnSpPr>
      </xdr:nvCxnSpPr>
      <xdr:spPr>
        <a:xfrm>
          <a:off x="828675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36" name="OpenSolver12">
          <a:extLst>
            <a:ext uri="{FF2B5EF4-FFF2-40B4-BE49-F238E27FC236}">
              <a16:creationId xmlns:a16="http://schemas.microsoft.com/office/drawing/2014/main" id="{00000000-0008-0000-4B00-000024000000}"/>
            </a:ext>
          </a:extLst>
        </xdr:cNvPr>
        <xdr:cNvSpPr/>
      </xdr:nvSpPr>
      <xdr:spPr>
        <a:xfrm>
          <a:off x="942975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37" name="OpenSolver13">
          <a:extLst>
            <a:ext uri="{FF2B5EF4-FFF2-40B4-BE49-F238E27FC236}">
              <a16:creationId xmlns:a16="http://schemas.microsoft.com/office/drawing/2014/main" id="{00000000-0008-0000-4B00-000025000000}"/>
            </a:ext>
          </a:extLst>
        </xdr:cNvPr>
        <xdr:cNvSpPr/>
      </xdr:nvSpPr>
      <xdr:spPr>
        <a:xfrm>
          <a:off x="219075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38" name="OpenSolver14">
          <a:extLst>
            <a:ext uri="{FF2B5EF4-FFF2-40B4-BE49-F238E27FC236}">
              <a16:creationId xmlns:a16="http://schemas.microsoft.com/office/drawing/2014/main" id="{00000000-0008-0000-4B00-000026000000}"/>
            </a:ext>
          </a:extLst>
        </xdr:cNvPr>
        <xdr:cNvSpPr/>
      </xdr:nvSpPr>
      <xdr:spPr>
        <a:xfrm>
          <a:off x="1438275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39" name="OpenSolver15">
          <a:extLst>
            <a:ext uri="{FF2B5EF4-FFF2-40B4-BE49-F238E27FC236}">
              <a16:creationId xmlns:a16="http://schemas.microsoft.com/office/drawing/2014/main" id="{00000000-0008-0000-4B00-000027000000}"/>
            </a:ext>
          </a:extLst>
        </xdr:cNvPr>
        <xdr:cNvCxnSpPr>
          <a:stCxn id="37" idx="3"/>
          <a:endCxn id="38" idx="1"/>
        </xdr:cNvCxnSpPr>
      </xdr:nvCxnSpPr>
      <xdr:spPr>
        <a:xfrm>
          <a:off x="828675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40" name="OpenSolver16">
          <a:extLst>
            <a:ext uri="{FF2B5EF4-FFF2-40B4-BE49-F238E27FC236}">
              <a16:creationId xmlns:a16="http://schemas.microsoft.com/office/drawing/2014/main" id="{00000000-0008-0000-4B00-000028000000}"/>
            </a:ext>
          </a:extLst>
        </xdr:cNvPr>
        <xdr:cNvSpPr/>
      </xdr:nvSpPr>
      <xdr:spPr>
        <a:xfrm>
          <a:off x="942975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41" name="OpenSolver17">
          <a:extLst>
            <a:ext uri="{FF2B5EF4-FFF2-40B4-BE49-F238E27FC236}">
              <a16:creationId xmlns:a16="http://schemas.microsoft.com/office/drawing/2014/main" id="{00000000-0008-0000-4B00-000029000000}"/>
            </a:ext>
          </a:extLst>
        </xdr:cNvPr>
        <xdr:cNvSpPr/>
      </xdr:nvSpPr>
      <xdr:spPr>
        <a:xfrm>
          <a:off x="1438275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42" name="OpenSolver18">
          <a:extLst>
            <a:ext uri="{FF2B5EF4-FFF2-40B4-BE49-F238E27FC236}">
              <a16:creationId xmlns:a16="http://schemas.microsoft.com/office/drawing/2014/main" id="{00000000-0008-0000-4B00-00002A000000}"/>
            </a:ext>
          </a:extLst>
        </xdr:cNvPr>
        <xdr:cNvSpPr/>
      </xdr:nvSpPr>
      <xdr:spPr>
        <a:xfrm>
          <a:off x="1438275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43" name="OpenSolver19">
          <a:extLst>
            <a:ext uri="{FF2B5EF4-FFF2-40B4-BE49-F238E27FC236}">
              <a16:creationId xmlns:a16="http://schemas.microsoft.com/office/drawing/2014/main" id="{00000000-0008-0000-4B00-00002B000000}"/>
            </a:ext>
          </a:extLst>
        </xdr:cNvPr>
        <xdr:cNvCxnSpPr>
          <a:stCxn id="41" idx="2"/>
          <a:endCxn id="42" idx="0"/>
        </xdr:cNvCxnSpPr>
      </xdr:nvCxnSpPr>
      <xdr:spPr>
        <a:xfrm>
          <a:off x="1743075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44" name="OpenSolver20">
          <a:extLst>
            <a:ext uri="{FF2B5EF4-FFF2-40B4-BE49-F238E27FC236}">
              <a16:creationId xmlns:a16="http://schemas.microsoft.com/office/drawing/2014/main" id="{00000000-0008-0000-4B00-00002C000000}"/>
            </a:ext>
          </a:extLst>
        </xdr:cNvPr>
        <xdr:cNvSpPr/>
      </xdr:nvSpPr>
      <xdr:spPr>
        <a:xfrm>
          <a:off x="1552575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9525</xdr:colOff>
      <xdr:row>27</xdr:row>
      <xdr:rowOff>12700</xdr:rowOff>
    </xdr:from>
    <xdr:to>
      <xdr:col>1</xdr:col>
      <xdr:colOff>61655</xdr:colOff>
      <xdr:row>27</xdr:row>
      <xdr:rowOff>127000</xdr:rowOff>
    </xdr:to>
    <xdr:sp macro="" textlink="">
      <xdr:nvSpPr>
        <xdr:cNvPr id="45" name="OpenSolver21">
          <a:extLst>
            <a:ext uri="{FF2B5EF4-FFF2-40B4-BE49-F238E27FC236}">
              <a16:creationId xmlns:a16="http://schemas.microsoft.com/office/drawing/2014/main" id="{00000000-0008-0000-4B00-00002D000000}"/>
            </a:ext>
          </a:extLst>
        </xdr:cNvPr>
        <xdr:cNvSpPr/>
      </xdr:nvSpPr>
      <xdr:spPr>
        <a:xfrm>
          <a:off x="2286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9525</xdr:colOff>
      <xdr:row>27</xdr:row>
      <xdr:rowOff>12700</xdr:rowOff>
    </xdr:from>
    <xdr:to>
      <xdr:col>2</xdr:col>
      <xdr:colOff>61655</xdr:colOff>
      <xdr:row>27</xdr:row>
      <xdr:rowOff>127000</xdr:rowOff>
    </xdr:to>
    <xdr:sp macro="" textlink="">
      <xdr:nvSpPr>
        <xdr:cNvPr id="46" name="OpenSolver22">
          <a:extLst>
            <a:ext uri="{FF2B5EF4-FFF2-40B4-BE49-F238E27FC236}">
              <a16:creationId xmlns:a16="http://schemas.microsoft.com/office/drawing/2014/main" id="{00000000-0008-0000-4B00-00002E000000}"/>
            </a:ext>
          </a:extLst>
        </xdr:cNvPr>
        <xdr:cNvSpPr/>
      </xdr:nvSpPr>
      <xdr:spPr>
        <a:xfrm>
          <a:off x="8382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9525</xdr:colOff>
      <xdr:row>27</xdr:row>
      <xdr:rowOff>12700</xdr:rowOff>
    </xdr:from>
    <xdr:to>
      <xdr:col>3</xdr:col>
      <xdr:colOff>61655</xdr:colOff>
      <xdr:row>27</xdr:row>
      <xdr:rowOff>127000</xdr:rowOff>
    </xdr:to>
    <xdr:sp macro="" textlink="">
      <xdr:nvSpPr>
        <xdr:cNvPr id="47" name="OpenSolver23">
          <a:extLst>
            <a:ext uri="{FF2B5EF4-FFF2-40B4-BE49-F238E27FC236}">
              <a16:creationId xmlns:a16="http://schemas.microsoft.com/office/drawing/2014/main" id="{00000000-0008-0000-4B00-00002F000000}"/>
            </a:ext>
          </a:extLst>
        </xdr:cNvPr>
        <xdr:cNvSpPr/>
      </xdr:nvSpPr>
      <xdr:spPr>
        <a:xfrm>
          <a:off x="14478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zData"/>
  <dimension ref="A1:H7"/>
  <sheetViews>
    <sheetView workbookViewId="0">
      <selection activeCell="V8" sqref="V8"/>
    </sheetView>
  </sheetViews>
  <sheetFormatPr defaultColWidth="8.88671875" defaultRowHeight="14.4" x14ac:dyDescent="0.3"/>
  <cols>
    <col min="1" max="2" width="8.88671875" style="61"/>
    <col min="4" max="5" width="8.88671875" style="61"/>
    <col min="7" max="8" width="8.88671875" style="61"/>
  </cols>
  <sheetData>
    <row r="1" spans="1:7" x14ac:dyDescent="0.3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3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3">
      <c r="A3" s="61" t="s">
        <v>198</v>
      </c>
      <c r="B3" s="61">
        <v>-1</v>
      </c>
    </row>
    <row r="4" spans="1:7" x14ac:dyDescent="0.3">
      <c r="A4" s="61" t="s">
        <v>200</v>
      </c>
      <c r="B4" s="61">
        <v>0</v>
      </c>
    </row>
    <row r="5" spans="1:7" x14ac:dyDescent="0.3">
      <c r="A5" s="61" t="s">
        <v>201</v>
      </c>
      <c r="B5" s="61">
        <v>4</v>
      </c>
    </row>
    <row r="6" spans="1:7" x14ac:dyDescent="0.3">
      <c r="A6" s="61" t="s">
        <v>27</v>
      </c>
      <c r="B6" s="61">
        <v>5</v>
      </c>
    </row>
    <row r="7" spans="1:7" x14ac:dyDescent="0.3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S1814"/>
  <sheetViews>
    <sheetView workbookViewId="0">
      <selection activeCell="I19" sqref="I19"/>
    </sheetView>
  </sheetViews>
  <sheetFormatPr defaultColWidth="8.88671875" defaultRowHeight="14.4" x14ac:dyDescent="0.3"/>
  <sheetData>
    <row r="1" spans="1:71" x14ac:dyDescent="0.3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3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3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3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3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3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3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3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3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3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3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3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3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3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3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3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3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3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3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3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3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3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3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3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3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3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3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3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3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3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3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3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3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3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3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3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3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3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3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3">
      <c r="U40" t="e">
        <f>solver_typ=2</f>
        <v>#NAME?</v>
      </c>
      <c r="BF40" t="e">
        <f>solver_lhs13=NonLinLarge!$H$7:$H$8</f>
        <v>#NAME?</v>
      </c>
    </row>
    <row r="41" spans="20:58" x14ac:dyDescent="0.3">
      <c r="U41" t="e">
        <f>solver_val=0</f>
        <v>#NAME?</v>
      </c>
      <c r="BF41" t="e">
        <f>solver_lhs130=NonLinLarge!$H$74</f>
        <v>#NAME?</v>
      </c>
    </row>
    <row r="42" spans="20:58" x14ac:dyDescent="0.3">
      <c r="BF42" t="e">
        <f>solver_lhs131=NonLinLarge!$H$75:$H$138</f>
        <v>#NAME?</v>
      </c>
    </row>
    <row r="43" spans="20:58" x14ac:dyDescent="0.3">
      <c r="BF43" t="e">
        <f>solver_lhs132=NonLinLarge!$H$139</f>
        <v>#NAME?</v>
      </c>
    </row>
    <row r="44" spans="20:58" x14ac:dyDescent="0.3">
      <c r="BF44" t="e">
        <f>solver_lhs133=NonLinLarge!$H$7:$H$8</f>
        <v>#NAME?</v>
      </c>
    </row>
    <row r="45" spans="20:58" x14ac:dyDescent="0.3">
      <c r="BF45" t="e">
        <f>solver_lhs134=NonLinLarge!$H$9:$H$72</f>
        <v>#NAME?</v>
      </c>
    </row>
    <row r="46" spans="20:58" x14ac:dyDescent="0.3">
      <c r="BF46" t="e">
        <f>solver_lhs135=NonLinLarge!$H$73</f>
        <v>#NAME?</v>
      </c>
    </row>
    <row r="47" spans="20:58" x14ac:dyDescent="0.3">
      <c r="BF47" t="e">
        <f>solver_lhs136=NonLinLarge!$H$74</f>
        <v>#NAME?</v>
      </c>
    </row>
    <row r="48" spans="20:58" x14ac:dyDescent="0.3">
      <c r="BF48" t="e">
        <f>solver_lhs137=NonLinLarge!$H$75:$H$138</f>
        <v>#NAME?</v>
      </c>
    </row>
    <row r="49" spans="58:58" x14ac:dyDescent="0.3">
      <c r="BF49" t="e">
        <f>solver_lhs138=NonLinLarge!$H$139</f>
        <v>#NAME?</v>
      </c>
    </row>
    <row r="50" spans="58:58" x14ac:dyDescent="0.3">
      <c r="BF50" t="e">
        <f>solver_lhs139=NonLinLarge!$H$7:$H$8</f>
        <v>#NAME?</v>
      </c>
    </row>
    <row r="51" spans="58:58" x14ac:dyDescent="0.3">
      <c r="BF51" t="e">
        <f>solver_lhs14=NonLinLarge!$H$9:$H$72</f>
        <v>#NAME?</v>
      </c>
    </row>
    <row r="52" spans="58:58" x14ac:dyDescent="0.3">
      <c r="BF52" t="e">
        <f>solver_lhs140=NonLinLarge!$H$9:$H$72</f>
        <v>#NAME?</v>
      </c>
    </row>
    <row r="53" spans="58:58" x14ac:dyDescent="0.3">
      <c r="BF53" t="e">
        <f>solver_lhs141=NonLinLarge!$H$73</f>
        <v>#NAME?</v>
      </c>
    </row>
    <row r="54" spans="58:58" x14ac:dyDescent="0.3">
      <c r="BF54" t="e">
        <f>solver_lhs142=NonLinLarge!$H$74</f>
        <v>#NAME?</v>
      </c>
    </row>
    <row r="55" spans="58:58" x14ac:dyDescent="0.3">
      <c r="BF55" t="e">
        <f>solver_lhs143=NonLinLarge!$H$75:$H$138</f>
        <v>#NAME?</v>
      </c>
    </row>
    <row r="56" spans="58:58" x14ac:dyDescent="0.3">
      <c r="BF56" t="e">
        <f>solver_lhs144=NonLinLarge!$H$139</f>
        <v>#NAME?</v>
      </c>
    </row>
    <row r="57" spans="58:58" x14ac:dyDescent="0.3">
      <c r="BF57" t="e">
        <f>solver_lhs145=NonLinLarge!$H$7:$H$8</f>
        <v>#NAME?</v>
      </c>
    </row>
    <row r="58" spans="58:58" x14ac:dyDescent="0.3">
      <c r="BF58" t="e">
        <f>solver_lhs146=NonLinLarge!$H$9:$H$72</f>
        <v>#NAME?</v>
      </c>
    </row>
    <row r="59" spans="58:58" x14ac:dyDescent="0.3">
      <c r="BF59" t="e">
        <f>solver_lhs147=NonLinLarge!$H$73</f>
        <v>#NAME?</v>
      </c>
    </row>
    <row r="60" spans="58:58" x14ac:dyDescent="0.3">
      <c r="BF60" t="e">
        <f>solver_lhs148=NonLinLarge!$H$74</f>
        <v>#NAME?</v>
      </c>
    </row>
    <row r="61" spans="58:58" x14ac:dyDescent="0.3">
      <c r="BF61" t="e">
        <f>solver_lhs149=NonLinLarge!$H$75:$H$138</f>
        <v>#NAME?</v>
      </c>
    </row>
    <row r="62" spans="58:58" x14ac:dyDescent="0.3">
      <c r="BF62" t="e">
        <f>solver_lhs15=NonLinLarge!$H$73</f>
        <v>#NAME?</v>
      </c>
    </row>
    <row r="63" spans="58:58" x14ac:dyDescent="0.3">
      <c r="BF63" t="e">
        <f>solver_lhs150=NonLinLarge!$H$139</f>
        <v>#NAME?</v>
      </c>
    </row>
    <row r="64" spans="58:58" x14ac:dyDescent="0.3">
      <c r="BF64" t="e">
        <f>solver_lhs151=NonLinLarge!$H$7:$H$8</f>
        <v>#NAME?</v>
      </c>
    </row>
    <row r="65" spans="58:58" x14ac:dyDescent="0.3">
      <c r="BF65" t="e">
        <f>solver_lhs152=NonLinLarge!$H$9:$H$72</f>
        <v>#NAME?</v>
      </c>
    </row>
    <row r="66" spans="58:58" x14ac:dyDescent="0.3">
      <c r="BF66" t="e">
        <f>solver_lhs153=NonLinLarge!$H$73</f>
        <v>#NAME?</v>
      </c>
    </row>
    <row r="67" spans="58:58" x14ac:dyDescent="0.3">
      <c r="BF67" t="e">
        <f>solver_lhs154=NonLinLarge!$H$74</f>
        <v>#NAME?</v>
      </c>
    </row>
    <row r="68" spans="58:58" x14ac:dyDescent="0.3">
      <c r="BF68" t="e">
        <f>solver_lhs155=NonLinLarge!$H$75:$H$138</f>
        <v>#NAME?</v>
      </c>
    </row>
    <row r="69" spans="58:58" x14ac:dyDescent="0.3">
      <c r="BF69" t="e">
        <f>solver_lhs156=NonLinLarge!$H$139</f>
        <v>#NAME?</v>
      </c>
    </row>
    <row r="70" spans="58:58" x14ac:dyDescent="0.3">
      <c r="BF70" t="e">
        <f>solver_lhs157=NonLinLarge!$H$7:$H$8</f>
        <v>#NAME?</v>
      </c>
    </row>
    <row r="71" spans="58:58" x14ac:dyDescent="0.3">
      <c r="BF71" t="e">
        <f>solver_lhs158=NonLinLarge!$H$9:$H$72</f>
        <v>#NAME?</v>
      </c>
    </row>
    <row r="72" spans="58:58" x14ac:dyDescent="0.3">
      <c r="BF72" t="e">
        <f>solver_lhs159=NonLinLarge!$H$73</f>
        <v>#NAME?</v>
      </c>
    </row>
    <row r="73" spans="58:58" x14ac:dyDescent="0.3">
      <c r="BF73" t="e">
        <f>solver_lhs16=NonLinLarge!$H$74</f>
        <v>#NAME?</v>
      </c>
    </row>
    <row r="74" spans="58:58" x14ac:dyDescent="0.3">
      <c r="BF74" t="e">
        <f>solver_lhs160=NonLinLarge!$H$74</f>
        <v>#NAME?</v>
      </c>
    </row>
    <row r="75" spans="58:58" x14ac:dyDescent="0.3">
      <c r="BF75" t="e">
        <f>solver_lhs161=NonLinLarge!$H$75:$H$138</f>
        <v>#NAME?</v>
      </c>
    </row>
    <row r="76" spans="58:58" x14ac:dyDescent="0.3">
      <c r="BF76" t="e">
        <f>solver_lhs162=NonLinLarge!$H$139</f>
        <v>#NAME?</v>
      </c>
    </row>
    <row r="77" spans="58:58" x14ac:dyDescent="0.3">
      <c r="BF77" t="e">
        <f>solver_lhs163=NonLinLarge!$H$7:$H$8</f>
        <v>#NAME?</v>
      </c>
    </row>
    <row r="78" spans="58:58" x14ac:dyDescent="0.3">
      <c r="BF78" t="e">
        <f>solver_lhs164=NonLinLarge!$H$9:$H$72</f>
        <v>#NAME?</v>
      </c>
    </row>
    <row r="79" spans="58:58" x14ac:dyDescent="0.3">
      <c r="BF79" t="e">
        <f>solver_lhs165=NonLinLarge!$H$73</f>
        <v>#NAME?</v>
      </c>
    </row>
    <row r="80" spans="58:58" x14ac:dyDescent="0.3">
      <c r="BF80" t="e">
        <f>solver_lhs166=NonLinLarge!$H$74</f>
        <v>#NAME?</v>
      </c>
    </row>
    <row r="81" spans="58:58" x14ac:dyDescent="0.3">
      <c r="BF81" t="e">
        <f>solver_lhs167=NonLinLarge!$H$75:$H$138</f>
        <v>#NAME?</v>
      </c>
    </row>
    <row r="82" spans="58:58" x14ac:dyDescent="0.3">
      <c r="BF82" t="e">
        <f>solver_lhs168=NonLinLarge!$H$139</f>
        <v>#NAME?</v>
      </c>
    </row>
    <row r="83" spans="58:58" x14ac:dyDescent="0.3">
      <c r="BF83" t="e">
        <f>solver_lhs169=NonLinLarge!$H$7:$H$8</f>
        <v>#NAME?</v>
      </c>
    </row>
    <row r="84" spans="58:58" x14ac:dyDescent="0.3">
      <c r="BF84" t="e">
        <f>solver_lhs17=NonLinLarge!$H$75:$H$138</f>
        <v>#NAME?</v>
      </c>
    </row>
    <row r="85" spans="58:58" x14ac:dyDescent="0.3">
      <c r="BF85" t="e">
        <f>solver_lhs170=NonLinLarge!$H$9:$H$72</f>
        <v>#NAME?</v>
      </c>
    </row>
    <row r="86" spans="58:58" x14ac:dyDescent="0.3">
      <c r="BF86" t="e">
        <f>solver_lhs171=NonLinLarge!$H$73</f>
        <v>#NAME?</v>
      </c>
    </row>
    <row r="87" spans="58:58" x14ac:dyDescent="0.3">
      <c r="BF87" t="e">
        <f>solver_lhs172=NonLinLarge!$H$74</f>
        <v>#NAME?</v>
      </c>
    </row>
    <row r="88" spans="58:58" x14ac:dyDescent="0.3">
      <c r="BF88" t="e">
        <f>solver_lhs173=NonLinLarge!$H$75:$H$138</f>
        <v>#NAME?</v>
      </c>
    </row>
    <row r="89" spans="58:58" x14ac:dyDescent="0.3">
      <c r="BF89" t="e">
        <f>solver_lhs174=NonLinLarge!$H$139</f>
        <v>#NAME?</v>
      </c>
    </row>
    <row r="90" spans="58:58" x14ac:dyDescent="0.3">
      <c r="BF90" t="e">
        <f>solver_lhs175=NonLinLarge!$H$7:$H$8</f>
        <v>#NAME?</v>
      </c>
    </row>
    <row r="91" spans="58:58" x14ac:dyDescent="0.3">
      <c r="BF91" t="e">
        <f>solver_lhs176=NonLinLarge!$H$9:$H$72</f>
        <v>#NAME?</v>
      </c>
    </row>
    <row r="92" spans="58:58" x14ac:dyDescent="0.3">
      <c r="BF92" t="e">
        <f>solver_lhs177=NonLinLarge!$H$73</f>
        <v>#NAME?</v>
      </c>
    </row>
    <row r="93" spans="58:58" x14ac:dyDescent="0.3">
      <c r="BF93" t="e">
        <f>solver_lhs178=NonLinLarge!$H$74</f>
        <v>#NAME?</v>
      </c>
    </row>
    <row r="94" spans="58:58" x14ac:dyDescent="0.3">
      <c r="BF94" t="e">
        <f>solver_lhs179=NonLinLarge!$H$75:$H$138</f>
        <v>#NAME?</v>
      </c>
    </row>
    <row r="95" spans="58:58" x14ac:dyDescent="0.3">
      <c r="BF95" t="e">
        <f>solver_lhs18=NonLinLarge!$H$139</f>
        <v>#NAME?</v>
      </c>
    </row>
    <row r="96" spans="58:58" x14ac:dyDescent="0.3">
      <c r="BF96" t="e">
        <f>solver_lhs180=NonLinLarge!$H$139</f>
        <v>#NAME?</v>
      </c>
    </row>
    <row r="97" spans="58:58" x14ac:dyDescent="0.3">
      <c r="BF97" t="e">
        <f>solver_lhs181=NonLinLarge!$H$7:$H$8</f>
        <v>#NAME?</v>
      </c>
    </row>
    <row r="98" spans="58:58" x14ac:dyDescent="0.3">
      <c r="BF98" t="e">
        <f>solver_lhs182=NonLinLarge!$H$9:$H$72</f>
        <v>#NAME?</v>
      </c>
    </row>
    <row r="99" spans="58:58" x14ac:dyDescent="0.3">
      <c r="BF99" t="e">
        <f>solver_lhs183=NonLinLarge!$H$73</f>
        <v>#NAME?</v>
      </c>
    </row>
    <row r="100" spans="58:58" x14ac:dyDescent="0.3">
      <c r="BF100" t="e">
        <f>solver_lhs184=NonLinLarge!$H$74</f>
        <v>#NAME?</v>
      </c>
    </row>
    <row r="101" spans="58:58" x14ac:dyDescent="0.3">
      <c r="BF101" t="e">
        <f>solver_lhs185=NonLinLarge!$H$75:$H$138</f>
        <v>#NAME?</v>
      </c>
    </row>
    <row r="102" spans="58:58" x14ac:dyDescent="0.3">
      <c r="BF102" t="e">
        <f>solver_lhs186=NonLinLarge!$H$139</f>
        <v>#NAME?</v>
      </c>
    </row>
    <row r="103" spans="58:58" x14ac:dyDescent="0.3">
      <c r="BF103" t="e">
        <f>solver_lhs187=NonLinLarge!$H$7:$H$8</f>
        <v>#NAME?</v>
      </c>
    </row>
    <row r="104" spans="58:58" x14ac:dyDescent="0.3">
      <c r="BF104" t="e">
        <f>solver_lhs188=NonLinLarge!$H$9:$H$72</f>
        <v>#NAME?</v>
      </c>
    </row>
    <row r="105" spans="58:58" x14ac:dyDescent="0.3">
      <c r="BF105" t="e">
        <f>solver_lhs189=NonLinLarge!$H$73</f>
        <v>#NAME?</v>
      </c>
    </row>
    <row r="106" spans="58:58" x14ac:dyDescent="0.3">
      <c r="BF106" t="e">
        <f>solver_lhs19=NonLinLarge!$H$7:$H$8</f>
        <v>#NAME?</v>
      </c>
    </row>
    <row r="107" spans="58:58" x14ac:dyDescent="0.3">
      <c r="BF107" t="e">
        <f>solver_lhs190=NonLinLarge!$H$74</f>
        <v>#NAME?</v>
      </c>
    </row>
    <row r="108" spans="58:58" x14ac:dyDescent="0.3">
      <c r="BF108" t="e">
        <f>solver_lhs191=NonLinLarge!$H$75:$H$138</f>
        <v>#NAME?</v>
      </c>
    </row>
    <row r="109" spans="58:58" x14ac:dyDescent="0.3">
      <c r="BF109" t="e">
        <f>solver_lhs192=NonLinLarge!$H$139</f>
        <v>#NAME?</v>
      </c>
    </row>
    <row r="110" spans="58:58" x14ac:dyDescent="0.3">
      <c r="BF110" t="e">
        <f>solver_lhs193=NonLinLarge!$H$7:$H$8</f>
        <v>#NAME?</v>
      </c>
    </row>
    <row r="111" spans="58:58" x14ac:dyDescent="0.3">
      <c r="BF111" t="e">
        <f>solver_lhs194=NonLinLarge!$H$9:$H$72</f>
        <v>#NAME?</v>
      </c>
    </row>
    <row r="112" spans="58:58" x14ac:dyDescent="0.3">
      <c r="BF112" t="e">
        <f>solver_lhs195=NonLinLarge!$H$73</f>
        <v>#NAME?</v>
      </c>
    </row>
    <row r="113" spans="58:58" x14ac:dyDescent="0.3">
      <c r="BF113" t="e">
        <f>solver_lhs196=NonLinLarge!$H$74</f>
        <v>#NAME?</v>
      </c>
    </row>
    <row r="114" spans="58:58" x14ac:dyDescent="0.3">
      <c r="BF114" t="e">
        <f>solver_lhs197=NonLinLarge!$H$75:$H$138</f>
        <v>#NAME?</v>
      </c>
    </row>
    <row r="115" spans="58:58" x14ac:dyDescent="0.3">
      <c r="BF115" t="e">
        <f>solver_lhs198=NonLinLarge!$H$139</f>
        <v>#NAME?</v>
      </c>
    </row>
    <row r="116" spans="58:58" x14ac:dyDescent="0.3">
      <c r="BF116" t="e">
        <f>solver_lhs199=NonLinLarge!$H$7:$H$8</f>
        <v>#NAME?</v>
      </c>
    </row>
    <row r="117" spans="58:58" x14ac:dyDescent="0.3">
      <c r="BF117" t="e">
        <f>solver_lhs2=NonLinLarge!$H$9:$H$72</f>
        <v>#NAME?</v>
      </c>
    </row>
    <row r="118" spans="58:58" x14ac:dyDescent="0.3">
      <c r="BF118" t="e">
        <f>solver_lhs20=NonLinLarge!$H$9:$H$72</f>
        <v>#NAME?</v>
      </c>
    </row>
    <row r="119" spans="58:58" x14ac:dyDescent="0.3">
      <c r="BF119" t="e">
        <f>solver_lhs200=NonLinLarge!$H$9:$H$72</f>
        <v>#NAME?</v>
      </c>
    </row>
    <row r="120" spans="58:58" x14ac:dyDescent="0.3">
      <c r="BF120" t="e">
        <f>solver_lhs201=NonLinLarge!$H$73</f>
        <v>#NAME?</v>
      </c>
    </row>
    <row r="121" spans="58:58" x14ac:dyDescent="0.3">
      <c r="BF121" t="e">
        <f>solver_lhs202=NonLinLarge!$H$74</f>
        <v>#NAME?</v>
      </c>
    </row>
    <row r="122" spans="58:58" x14ac:dyDescent="0.3">
      <c r="BF122" t="e">
        <f>solver_lhs203=NonLinLarge!$H$75:$H$138</f>
        <v>#NAME?</v>
      </c>
    </row>
    <row r="123" spans="58:58" x14ac:dyDescent="0.3">
      <c r="BF123" t="e">
        <f>solver_lhs204=NonLinLarge!$H$139</f>
        <v>#NAME?</v>
      </c>
    </row>
    <row r="124" spans="58:58" x14ac:dyDescent="0.3">
      <c r="BF124" t="e">
        <f>solver_lhs205=NonLinLarge!$H$7:$H$8</f>
        <v>#NAME?</v>
      </c>
    </row>
    <row r="125" spans="58:58" x14ac:dyDescent="0.3">
      <c r="BF125" t="e">
        <f>solver_lhs206=NonLinLarge!$H$9:$H$72</f>
        <v>#NAME?</v>
      </c>
    </row>
    <row r="126" spans="58:58" x14ac:dyDescent="0.3">
      <c r="BF126" t="e">
        <f>solver_lhs207=NonLinLarge!$H$73</f>
        <v>#NAME?</v>
      </c>
    </row>
    <row r="127" spans="58:58" x14ac:dyDescent="0.3">
      <c r="BF127" t="e">
        <f>solver_lhs208=NonLinLarge!$H$74</f>
        <v>#NAME?</v>
      </c>
    </row>
    <row r="128" spans="58:58" x14ac:dyDescent="0.3">
      <c r="BF128" t="e">
        <f>solver_lhs209=NonLinLarge!$H$75:$H$138</f>
        <v>#NAME?</v>
      </c>
    </row>
    <row r="129" spans="58:58" x14ac:dyDescent="0.3">
      <c r="BF129" t="e">
        <f>solver_lhs21=NonLinLarge!$H$73</f>
        <v>#NAME?</v>
      </c>
    </row>
    <row r="130" spans="58:58" x14ac:dyDescent="0.3">
      <c r="BF130" t="e">
        <f>solver_lhs210=NonLinLarge!$H$139</f>
        <v>#NAME?</v>
      </c>
    </row>
    <row r="131" spans="58:58" x14ac:dyDescent="0.3">
      <c r="BF131" t="e">
        <f>solver_lhs211=NonLinLarge!$H$7:$H$8</f>
        <v>#NAME?</v>
      </c>
    </row>
    <row r="132" spans="58:58" x14ac:dyDescent="0.3">
      <c r="BF132" t="e">
        <f>solver_lhs212=NonLinLarge!$H$9:$H$72</f>
        <v>#NAME?</v>
      </c>
    </row>
    <row r="133" spans="58:58" x14ac:dyDescent="0.3">
      <c r="BF133" t="e">
        <f>solver_lhs213=NonLinLarge!$H$73</f>
        <v>#NAME?</v>
      </c>
    </row>
    <row r="134" spans="58:58" x14ac:dyDescent="0.3">
      <c r="BF134" t="e">
        <f>solver_lhs214=NonLinLarge!$H$74</f>
        <v>#NAME?</v>
      </c>
    </row>
    <row r="135" spans="58:58" x14ac:dyDescent="0.3">
      <c r="BF135" t="e">
        <f>solver_lhs215=NonLinLarge!$H$75:$H$138</f>
        <v>#NAME?</v>
      </c>
    </row>
    <row r="136" spans="58:58" x14ac:dyDescent="0.3">
      <c r="BF136" t="e">
        <f>solver_lhs216=NonLinLarge!$H$139</f>
        <v>#NAME?</v>
      </c>
    </row>
    <row r="137" spans="58:58" x14ac:dyDescent="0.3">
      <c r="BF137" t="e">
        <f>solver_lhs217=NonLinLarge!$H$7:$H$8</f>
        <v>#NAME?</v>
      </c>
    </row>
    <row r="138" spans="58:58" x14ac:dyDescent="0.3">
      <c r="BF138" t="e">
        <f>solver_lhs218=NonLinLarge!$H$9:$H$72</f>
        <v>#NAME?</v>
      </c>
    </row>
    <row r="139" spans="58:58" x14ac:dyDescent="0.3">
      <c r="BF139" t="e">
        <f>solver_lhs219=NonLinLarge!$H$73</f>
        <v>#NAME?</v>
      </c>
    </row>
    <row r="140" spans="58:58" x14ac:dyDescent="0.3">
      <c r="BF140" t="e">
        <f>solver_lhs22=NonLinLarge!$H$74</f>
        <v>#NAME?</v>
      </c>
    </row>
    <row r="141" spans="58:58" x14ac:dyDescent="0.3">
      <c r="BF141" t="e">
        <f>solver_lhs220=NonLinLarge!$H$74</f>
        <v>#NAME?</v>
      </c>
    </row>
    <row r="142" spans="58:58" x14ac:dyDescent="0.3">
      <c r="BF142" t="e">
        <f>solver_lhs221=NonLinLarge!$H$75:$H$138</f>
        <v>#NAME?</v>
      </c>
    </row>
    <row r="143" spans="58:58" x14ac:dyDescent="0.3">
      <c r="BF143" t="e">
        <f>solver_lhs222=NonLinLarge!$H$139</f>
        <v>#NAME?</v>
      </c>
    </row>
    <row r="144" spans="58:58" x14ac:dyDescent="0.3">
      <c r="BF144" t="e">
        <f>solver_lhs223=NonLinLarge!$H$7:$H$8</f>
        <v>#NAME?</v>
      </c>
    </row>
    <row r="145" spans="58:58" x14ac:dyDescent="0.3">
      <c r="BF145" t="e">
        <f>solver_lhs224=NonLinLarge!$H$9:$H$72</f>
        <v>#NAME?</v>
      </c>
    </row>
    <row r="146" spans="58:58" x14ac:dyDescent="0.3">
      <c r="BF146" t="e">
        <f>solver_lhs225=NonLinLarge!$H$73</f>
        <v>#NAME?</v>
      </c>
    </row>
    <row r="147" spans="58:58" x14ac:dyDescent="0.3">
      <c r="BF147" t="e">
        <f>solver_lhs226=NonLinLarge!$H$74</f>
        <v>#NAME?</v>
      </c>
    </row>
    <row r="148" spans="58:58" x14ac:dyDescent="0.3">
      <c r="BF148" t="e">
        <f>solver_lhs227=NonLinLarge!$H$75:$H$138</f>
        <v>#NAME?</v>
      </c>
    </row>
    <row r="149" spans="58:58" x14ac:dyDescent="0.3">
      <c r="BF149" t="e">
        <f>solver_lhs228=NonLinLarge!$H$139</f>
        <v>#NAME?</v>
      </c>
    </row>
    <row r="150" spans="58:58" x14ac:dyDescent="0.3">
      <c r="BF150" t="e">
        <f>solver_lhs229=NonLinLarge!$H$7:$H$8</f>
        <v>#NAME?</v>
      </c>
    </row>
    <row r="151" spans="58:58" x14ac:dyDescent="0.3">
      <c r="BF151" t="e">
        <f>solver_lhs23=NonLinLarge!$H$75:$H$138</f>
        <v>#NAME?</v>
      </c>
    </row>
    <row r="152" spans="58:58" x14ac:dyDescent="0.3">
      <c r="BF152" t="e">
        <f>solver_lhs230=NonLinLarge!$H$9:$H$72</f>
        <v>#NAME?</v>
      </c>
    </row>
    <row r="153" spans="58:58" x14ac:dyDescent="0.3">
      <c r="BF153" t="e">
        <f>solver_lhs231=NonLinLarge!$H$73</f>
        <v>#NAME?</v>
      </c>
    </row>
    <row r="154" spans="58:58" x14ac:dyDescent="0.3">
      <c r="BF154" t="e">
        <f>solver_lhs232=NonLinLarge!$H$74</f>
        <v>#NAME?</v>
      </c>
    </row>
    <row r="155" spans="58:58" x14ac:dyDescent="0.3">
      <c r="BF155" t="e">
        <f>solver_lhs233=NonLinLarge!$H$75:$H$138</f>
        <v>#NAME?</v>
      </c>
    </row>
    <row r="156" spans="58:58" x14ac:dyDescent="0.3">
      <c r="BF156" t="e">
        <f>solver_lhs234=NonLinLarge!$H$139</f>
        <v>#NAME?</v>
      </c>
    </row>
    <row r="157" spans="58:58" x14ac:dyDescent="0.3">
      <c r="BF157" t="e">
        <f>solver_lhs235=NonLinLarge!$H$7:$H$8</f>
        <v>#NAME?</v>
      </c>
    </row>
    <row r="158" spans="58:58" x14ac:dyDescent="0.3">
      <c r="BF158" t="e">
        <f>solver_lhs236=NonLinLarge!$H$9:$H$72</f>
        <v>#NAME?</v>
      </c>
    </row>
    <row r="159" spans="58:58" x14ac:dyDescent="0.3">
      <c r="BF159" t="e">
        <f>solver_lhs237=NonLinLarge!$H$73</f>
        <v>#NAME?</v>
      </c>
    </row>
    <row r="160" spans="58:58" x14ac:dyDescent="0.3">
      <c r="BF160" t="e">
        <f>solver_lhs238=NonLinLarge!$H$74</f>
        <v>#NAME?</v>
      </c>
    </row>
    <row r="161" spans="58:58" x14ac:dyDescent="0.3">
      <c r="BF161" t="e">
        <f>solver_lhs239=NonLinLarge!$H$75:$H$138</f>
        <v>#NAME?</v>
      </c>
    </row>
    <row r="162" spans="58:58" x14ac:dyDescent="0.3">
      <c r="BF162" t="e">
        <f>solver_lhs24=NonLinLarge!$H$139</f>
        <v>#NAME?</v>
      </c>
    </row>
    <row r="163" spans="58:58" x14ac:dyDescent="0.3">
      <c r="BF163" t="e">
        <f>solver_lhs240=NonLinLarge!$H$139</f>
        <v>#NAME?</v>
      </c>
    </row>
    <row r="164" spans="58:58" x14ac:dyDescent="0.3">
      <c r="BF164" t="e">
        <f>solver_lhs241=NonLinLarge!$H$7:$H$8</f>
        <v>#NAME?</v>
      </c>
    </row>
    <row r="165" spans="58:58" x14ac:dyDescent="0.3">
      <c r="BF165" t="e">
        <f>solver_lhs242=NonLinLarge!$H$9:$H$72</f>
        <v>#NAME?</v>
      </c>
    </row>
    <row r="166" spans="58:58" x14ac:dyDescent="0.3">
      <c r="BF166" t="e">
        <f>solver_lhs243=NonLinLarge!$H$73</f>
        <v>#NAME?</v>
      </c>
    </row>
    <row r="167" spans="58:58" x14ac:dyDescent="0.3">
      <c r="BF167" t="e">
        <f>solver_lhs244=NonLinLarge!$H$74</f>
        <v>#NAME?</v>
      </c>
    </row>
    <row r="168" spans="58:58" x14ac:dyDescent="0.3">
      <c r="BF168" t="e">
        <f>solver_lhs245=NonLinLarge!$H$75:$H$138</f>
        <v>#NAME?</v>
      </c>
    </row>
    <row r="169" spans="58:58" x14ac:dyDescent="0.3">
      <c r="BF169" t="e">
        <f>solver_lhs246=NonLinLarge!$H$139</f>
        <v>#NAME?</v>
      </c>
    </row>
    <row r="170" spans="58:58" x14ac:dyDescent="0.3">
      <c r="BF170" t="e">
        <f>solver_lhs247=NonLinLarge!$H$7:$H$8</f>
        <v>#NAME?</v>
      </c>
    </row>
    <row r="171" spans="58:58" x14ac:dyDescent="0.3">
      <c r="BF171" t="e">
        <f>solver_lhs248=NonLinLarge!$H$9:$H$72</f>
        <v>#NAME?</v>
      </c>
    </row>
    <row r="172" spans="58:58" x14ac:dyDescent="0.3">
      <c r="BF172" t="e">
        <f>solver_lhs249=NonLinLarge!$H$73</f>
        <v>#NAME?</v>
      </c>
    </row>
    <row r="173" spans="58:58" x14ac:dyDescent="0.3">
      <c r="BF173" t="e">
        <f>solver_lhs25=NonLinLarge!$H$7:$H$8</f>
        <v>#NAME?</v>
      </c>
    </row>
    <row r="174" spans="58:58" x14ac:dyDescent="0.3">
      <c r="BF174" t="e">
        <f>solver_lhs250=NonLinLarge!$H$74</f>
        <v>#NAME?</v>
      </c>
    </row>
    <row r="175" spans="58:58" x14ac:dyDescent="0.3">
      <c r="BF175" t="e">
        <f>solver_lhs251=NonLinLarge!$H$75:$H$138</f>
        <v>#NAME?</v>
      </c>
    </row>
    <row r="176" spans="58:58" x14ac:dyDescent="0.3">
      <c r="BF176" t="e">
        <f>solver_lhs252=NonLinLarge!$H$139</f>
        <v>#NAME?</v>
      </c>
    </row>
    <row r="177" spans="58:58" x14ac:dyDescent="0.3">
      <c r="BF177" t="e">
        <f>solver_lhs253=NonLinLarge!$H$7:$H$8</f>
        <v>#NAME?</v>
      </c>
    </row>
    <row r="178" spans="58:58" x14ac:dyDescent="0.3">
      <c r="BF178" t="e">
        <f>solver_lhs254=NonLinLarge!$H$9:$H$72</f>
        <v>#NAME?</v>
      </c>
    </row>
    <row r="179" spans="58:58" x14ac:dyDescent="0.3">
      <c r="BF179" t="e">
        <f>solver_lhs255=NonLinLarge!$H$73</f>
        <v>#NAME?</v>
      </c>
    </row>
    <row r="180" spans="58:58" x14ac:dyDescent="0.3">
      <c r="BF180" t="e">
        <f>solver_lhs256=NonLinLarge!$H$74</f>
        <v>#NAME?</v>
      </c>
    </row>
    <row r="181" spans="58:58" x14ac:dyDescent="0.3">
      <c r="BF181" t="e">
        <f>solver_lhs257=NonLinLarge!$H$75:$H$138</f>
        <v>#NAME?</v>
      </c>
    </row>
    <row r="182" spans="58:58" x14ac:dyDescent="0.3">
      <c r="BF182" t="e">
        <f>solver_lhs258=NonLinLarge!$H$139</f>
        <v>#NAME?</v>
      </c>
    </row>
    <row r="183" spans="58:58" x14ac:dyDescent="0.3">
      <c r="BF183" t="e">
        <f>solver_lhs259=NonLinLarge!$H$7:$H$8</f>
        <v>#NAME?</v>
      </c>
    </row>
    <row r="184" spans="58:58" x14ac:dyDescent="0.3">
      <c r="BF184" t="e">
        <f>solver_lhs26=NonLinLarge!$H$9:$H$72</f>
        <v>#NAME?</v>
      </c>
    </row>
    <row r="185" spans="58:58" x14ac:dyDescent="0.3">
      <c r="BF185" t="e">
        <f>solver_lhs260=NonLinLarge!$H$9:$H$72</f>
        <v>#NAME?</v>
      </c>
    </row>
    <row r="186" spans="58:58" x14ac:dyDescent="0.3">
      <c r="BF186" t="e">
        <f>solver_lhs261=NonLinLarge!$H$73</f>
        <v>#NAME?</v>
      </c>
    </row>
    <row r="187" spans="58:58" x14ac:dyDescent="0.3">
      <c r="BF187" t="e">
        <f>solver_lhs262=NonLinLarge!$H$74</f>
        <v>#NAME?</v>
      </c>
    </row>
    <row r="188" spans="58:58" x14ac:dyDescent="0.3">
      <c r="BF188" t="e">
        <f>solver_lhs263=NonLinLarge!$H$75:$H$138</f>
        <v>#NAME?</v>
      </c>
    </row>
    <row r="189" spans="58:58" x14ac:dyDescent="0.3">
      <c r="BF189" t="e">
        <f>solver_lhs264=NonLinLarge!$H$139</f>
        <v>#NAME?</v>
      </c>
    </row>
    <row r="190" spans="58:58" x14ac:dyDescent="0.3">
      <c r="BF190" t="e">
        <f>solver_lhs265=NonLinLarge!$H$7:$H$8</f>
        <v>#NAME?</v>
      </c>
    </row>
    <row r="191" spans="58:58" x14ac:dyDescent="0.3">
      <c r="BF191" t="e">
        <f>solver_lhs266=NonLinLarge!$H$9:$H$72</f>
        <v>#NAME?</v>
      </c>
    </row>
    <row r="192" spans="58:58" x14ac:dyDescent="0.3">
      <c r="BF192" t="e">
        <f>solver_lhs267=NonLinLarge!$H$73</f>
        <v>#NAME?</v>
      </c>
    </row>
    <row r="193" spans="58:58" x14ac:dyDescent="0.3">
      <c r="BF193" t="e">
        <f>solver_lhs268=NonLinLarge!$H$74</f>
        <v>#NAME?</v>
      </c>
    </row>
    <row r="194" spans="58:58" x14ac:dyDescent="0.3">
      <c r="BF194" t="e">
        <f>solver_lhs269=NonLinLarge!$H$75:$H$138</f>
        <v>#NAME?</v>
      </c>
    </row>
    <row r="195" spans="58:58" x14ac:dyDescent="0.3">
      <c r="BF195" t="e">
        <f>solver_lhs27=NonLinLarge!$H$73</f>
        <v>#NAME?</v>
      </c>
    </row>
    <row r="196" spans="58:58" x14ac:dyDescent="0.3">
      <c r="BF196" t="e">
        <f>solver_lhs270=NonLinLarge!$H$139</f>
        <v>#NAME?</v>
      </c>
    </row>
    <row r="197" spans="58:58" x14ac:dyDescent="0.3">
      <c r="BF197" t="e">
        <f>solver_lhs271=NonLinLarge!$H$7:$H$8</f>
        <v>#NAME?</v>
      </c>
    </row>
    <row r="198" spans="58:58" x14ac:dyDescent="0.3">
      <c r="BF198" t="e">
        <f>solver_lhs272=NonLinLarge!$H$9:$H$72</f>
        <v>#NAME?</v>
      </c>
    </row>
    <row r="199" spans="58:58" x14ac:dyDescent="0.3">
      <c r="BF199" t="e">
        <f>solver_lhs273=NonLinLarge!$H$73</f>
        <v>#NAME?</v>
      </c>
    </row>
    <row r="200" spans="58:58" x14ac:dyDescent="0.3">
      <c r="BF200" t="e">
        <f>solver_lhs274=NonLinLarge!$H$74</f>
        <v>#NAME?</v>
      </c>
    </row>
    <row r="201" spans="58:58" x14ac:dyDescent="0.3">
      <c r="BF201" t="e">
        <f>solver_lhs275=NonLinLarge!$H$75:$H$138</f>
        <v>#NAME?</v>
      </c>
    </row>
    <row r="202" spans="58:58" x14ac:dyDescent="0.3">
      <c r="BF202" t="e">
        <f>solver_lhs276=NonLinLarge!$H$139</f>
        <v>#NAME?</v>
      </c>
    </row>
    <row r="203" spans="58:58" x14ac:dyDescent="0.3">
      <c r="BF203" t="e">
        <f>solver_lhs277=NonLinLarge!$H$7:$H$8</f>
        <v>#NAME?</v>
      </c>
    </row>
    <row r="204" spans="58:58" x14ac:dyDescent="0.3">
      <c r="BF204" t="e">
        <f>solver_lhs278=NonLinLarge!$H$9:$H$72</f>
        <v>#NAME?</v>
      </c>
    </row>
    <row r="205" spans="58:58" x14ac:dyDescent="0.3">
      <c r="BF205" t="e">
        <f>solver_lhs279=NonLinLarge!$H$73</f>
        <v>#NAME?</v>
      </c>
    </row>
    <row r="206" spans="58:58" x14ac:dyDescent="0.3">
      <c r="BF206" t="e">
        <f>solver_lhs28=NonLinLarge!$H$74</f>
        <v>#NAME?</v>
      </c>
    </row>
    <row r="207" spans="58:58" x14ac:dyDescent="0.3">
      <c r="BF207" t="e">
        <f>solver_lhs280=NonLinLarge!$H$74</f>
        <v>#NAME?</v>
      </c>
    </row>
    <row r="208" spans="58:58" x14ac:dyDescent="0.3">
      <c r="BF208" t="e">
        <f>solver_lhs281=NonLinLarge!$H$75:$H$138</f>
        <v>#NAME?</v>
      </c>
    </row>
    <row r="209" spans="58:58" x14ac:dyDescent="0.3">
      <c r="BF209" t="e">
        <f>solver_lhs282=NonLinLarge!$H$139</f>
        <v>#NAME?</v>
      </c>
    </row>
    <row r="210" spans="58:58" x14ac:dyDescent="0.3">
      <c r="BF210" t="e">
        <f>solver_lhs283=NonLinLarge!$H$7:$H$8</f>
        <v>#NAME?</v>
      </c>
    </row>
    <row r="211" spans="58:58" x14ac:dyDescent="0.3">
      <c r="BF211" t="e">
        <f>solver_lhs284=NonLinLarge!$H$9:$H$72</f>
        <v>#NAME?</v>
      </c>
    </row>
    <row r="212" spans="58:58" x14ac:dyDescent="0.3">
      <c r="BF212" t="e">
        <f>solver_lhs285=NonLinLarge!$H$73</f>
        <v>#NAME?</v>
      </c>
    </row>
    <row r="213" spans="58:58" x14ac:dyDescent="0.3">
      <c r="BF213" t="e">
        <f>solver_lhs286=NonLinLarge!$H$74</f>
        <v>#NAME?</v>
      </c>
    </row>
    <row r="214" spans="58:58" x14ac:dyDescent="0.3">
      <c r="BF214" t="e">
        <f>solver_lhs287=NonLinLarge!$H$75:$H$138</f>
        <v>#NAME?</v>
      </c>
    </row>
    <row r="215" spans="58:58" x14ac:dyDescent="0.3">
      <c r="BF215" t="e">
        <f>solver_lhs288=NonLinLarge!$H$139</f>
        <v>#NAME?</v>
      </c>
    </row>
    <row r="216" spans="58:58" x14ac:dyDescent="0.3">
      <c r="BF216" t="e">
        <f>solver_lhs289=NonLinLarge!$H$7:$H$8</f>
        <v>#NAME?</v>
      </c>
    </row>
    <row r="217" spans="58:58" x14ac:dyDescent="0.3">
      <c r="BF217" t="e">
        <f>solver_lhs29=NonLinLarge!$H$75:$H$138</f>
        <v>#NAME?</v>
      </c>
    </row>
    <row r="218" spans="58:58" x14ac:dyDescent="0.3">
      <c r="BF218" t="e">
        <f>solver_lhs290=NonLinLarge!$H$9:$H$72</f>
        <v>#NAME?</v>
      </c>
    </row>
    <row r="219" spans="58:58" x14ac:dyDescent="0.3">
      <c r="BF219" t="e">
        <f>solver_lhs291=NonLinLarge!$H$73</f>
        <v>#NAME?</v>
      </c>
    </row>
    <row r="220" spans="58:58" x14ac:dyDescent="0.3">
      <c r="BF220" t="e">
        <f>solver_lhs292=NonLinLarge!$H$74</f>
        <v>#NAME?</v>
      </c>
    </row>
    <row r="221" spans="58:58" x14ac:dyDescent="0.3">
      <c r="BF221" t="e">
        <f>solver_lhs293=NonLinLarge!$H$75:$H$138</f>
        <v>#NAME?</v>
      </c>
    </row>
    <row r="222" spans="58:58" x14ac:dyDescent="0.3">
      <c r="BF222" t="e">
        <f>solver_lhs294=NonLinLarge!$H$139</f>
        <v>#NAME?</v>
      </c>
    </row>
    <row r="223" spans="58:58" x14ac:dyDescent="0.3">
      <c r="BF223" t="e">
        <f>solver_lhs295=NonLinLarge!$H$7:$H$8</f>
        <v>#NAME?</v>
      </c>
    </row>
    <row r="224" spans="58:58" x14ac:dyDescent="0.3">
      <c r="BF224" t="e">
        <f>solver_lhs296=NonLinLarge!$H$9:$H$72</f>
        <v>#NAME?</v>
      </c>
    </row>
    <row r="225" spans="58:58" x14ac:dyDescent="0.3">
      <c r="BF225" t="e">
        <f>solver_lhs297=NonLinLarge!$H$73</f>
        <v>#NAME?</v>
      </c>
    </row>
    <row r="226" spans="58:58" x14ac:dyDescent="0.3">
      <c r="BF226" t="e">
        <f>solver_lhs298=NonLinLarge!$H$74</f>
        <v>#NAME?</v>
      </c>
    </row>
    <row r="227" spans="58:58" x14ac:dyDescent="0.3">
      <c r="BF227" t="e">
        <f>solver_lhs299=NonLinLarge!$H$75:$H$138</f>
        <v>#NAME?</v>
      </c>
    </row>
    <row r="228" spans="58:58" x14ac:dyDescent="0.3">
      <c r="BF228" t="e">
        <f>solver_lhs3=NonLinLarge!$H$73</f>
        <v>#NAME?</v>
      </c>
    </row>
    <row r="229" spans="58:58" x14ac:dyDescent="0.3">
      <c r="BF229" t="e">
        <f>solver_lhs30=NonLinLarge!$H$139</f>
        <v>#NAME?</v>
      </c>
    </row>
    <row r="230" spans="58:58" x14ac:dyDescent="0.3">
      <c r="BF230" t="e">
        <f>solver_lhs300=NonLinLarge!$H$139</f>
        <v>#NAME?</v>
      </c>
    </row>
    <row r="231" spans="58:58" x14ac:dyDescent="0.3">
      <c r="BF231" t="e">
        <f>solver_lhs301=NonLinLarge!$H$7:$H$8</f>
        <v>#NAME?</v>
      </c>
    </row>
    <row r="232" spans="58:58" x14ac:dyDescent="0.3">
      <c r="BF232" t="e">
        <f>solver_lhs302=NonLinLarge!$H$9:$H$72</f>
        <v>#NAME?</v>
      </c>
    </row>
    <row r="233" spans="58:58" x14ac:dyDescent="0.3">
      <c r="BF233" t="e">
        <f>solver_lhs303=NonLinLarge!$H$73</f>
        <v>#NAME?</v>
      </c>
    </row>
    <row r="234" spans="58:58" x14ac:dyDescent="0.3">
      <c r="BF234" t="e">
        <f>solver_lhs304=NonLinLarge!$H$74</f>
        <v>#NAME?</v>
      </c>
    </row>
    <row r="235" spans="58:58" x14ac:dyDescent="0.3">
      <c r="BF235" t="e">
        <f>solver_lhs305=NonLinLarge!$H$75:$H$138</f>
        <v>#NAME?</v>
      </c>
    </row>
    <row r="236" spans="58:58" x14ac:dyDescent="0.3">
      <c r="BF236" t="e">
        <f>solver_lhs306=NonLinLarge!$H$139</f>
        <v>#NAME?</v>
      </c>
    </row>
    <row r="237" spans="58:58" x14ac:dyDescent="0.3">
      <c r="BF237" t="e">
        <f>solver_lhs307=NonLinLarge!$H$7:$H$8</f>
        <v>#NAME?</v>
      </c>
    </row>
    <row r="238" spans="58:58" x14ac:dyDescent="0.3">
      <c r="BF238" t="e">
        <f>solver_lhs308=NonLinLarge!$H$9:$H$72</f>
        <v>#NAME?</v>
      </c>
    </row>
    <row r="239" spans="58:58" x14ac:dyDescent="0.3">
      <c r="BF239" t="e">
        <f>solver_lhs309=NonLinLarge!$H$73</f>
        <v>#NAME?</v>
      </c>
    </row>
    <row r="240" spans="58:58" x14ac:dyDescent="0.3">
      <c r="BF240" t="e">
        <f>solver_lhs31=NonLinLarge!$H$7:$H$8</f>
        <v>#NAME?</v>
      </c>
    </row>
    <row r="241" spans="58:58" x14ac:dyDescent="0.3">
      <c r="BF241" t="e">
        <f>solver_lhs310=NonLinLarge!$H$74</f>
        <v>#NAME?</v>
      </c>
    </row>
    <row r="242" spans="58:58" x14ac:dyDescent="0.3">
      <c r="BF242" t="e">
        <f>solver_lhs311=NonLinLarge!$H$75:$H$138</f>
        <v>#NAME?</v>
      </c>
    </row>
    <row r="243" spans="58:58" x14ac:dyDescent="0.3">
      <c r="BF243" t="e">
        <f>solver_lhs312=NonLinLarge!$H$139</f>
        <v>#NAME?</v>
      </c>
    </row>
    <row r="244" spans="58:58" x14ac:dyDescent="0.3">
      <c r="BF244" t="e">
        <f>solver_lhs313=NonLinLarge!$H$7:$H$8</f>
        <v>#NAME?</v>
      </c>
    </row>
    <row r="245" spans="58:58" x14ac:dyDescent="0.3">
      <c r="BF245" t="e">
        <f>solver_lhs314=NonLinLarge!$H$9:$H$72</f>
        <v>#NAME?</v>
      </c>
    </row>
    <row r="246" spans="58:58" x14ac:dyDescent="0.3">
      <c r="BF246" t="e">
        <f>solver_lhs315=NonLinLarge!$H$73</f>
        <v>#NAME?</v>
      </c>
    </row>
    <row r="247" spans="58:58" x14ac:dyDescent="0.3">
      <c r="BF247" t="e">
        <f>solver_lhs316=NonLinLarge!$H$74</f>
        <v>#NAME?</v>
      </c>
    </row>
    <row r="248" spans="58:58" x14ac:dyDescent="0.3">
      <c r="BF248" t="e">
        <f>solver_lhs317=NonLinLarge!$H$75:$H$138</f>
        <v>#NAME?</v>
      </c>
    </row>
    <row r="249" spans="58:58" x14ac:dyDescent="0.3">
      <c r="BF249" t="e">
        <f>solver_lhs318=NonLinLarge!$H$139</f>
        <v>#NAME?</v>
      </c>
    </row>
    <row r="250" spans="58:58" x14ac:dyDescent="0.3">
      <c r="BF250" t="e">
        <f>solver_lhs319=NonLinLarge!$H$7:$H$8</f>
        <v>#NAME?</v>
      </c>
    </row>
    <row r="251" spans="58:58" x14ac:dyDescent="0.3">
      <c r="BF251" t="e">
        <f>solver_lhs32=NonLinLarge!$H$9:$H$72</f>
        <v>#NAME?</v>
      </c>
    </row>
    <row r="252" spans="58:58" x14ac:dyDescent="0.3">
      <c r="BF252" t="e">
        <f>solver_lhs320=NonLinLarge!$H$9:$H$72</f>
        <v>#NAME?</v>
      </c>
    </row>
    <row r="253" spans="58:58" x14ac:dyDescent="0.3">
      <c r="BF253" t="e">
        <f>solver_lhs321=NonLinLarge!$H$73</f>
        <v>#NAME?</v>
      </c>
    </row>
    <row r="254" spans="58:58" x14ac:dyDescent="0.3">
      <c r="BF254" t="e">
        <f>solver_lhs322=NonLinLarge!$H$74</f>
        <v>#NAME?</v>
      </c>
    </row>
    <row r="255" spans="58:58" x14ac:dyDescent="0.3">
      <c r="BF255" t="e">
        <f>solver_lhs323=NonLinLarge!$H$75:$H$138</f>
        <v>#NAME?</v>
      </c>
    </row>
    <row r="256" spans="58:58" x14ac:dyDescent="0.3">
      <c r="BF256" t="e">
        <f>solver_lhs324=NonLinLarge!$H$139</f>
        <v>#NAME?</v>
      </c>
    </row>
    <row r="257" spans="58:58" x14ac:dyDescent="0.3">
      <c r="BF257" t="e">
        <f>solver_lhs325=NonLinLarge!$H$7:$H$8</f>
        <v>#NAME?</v>
      </c>
    </row>
    <row r="258" spans="58:58" x14ac:dyDescent="0.3">
      <c r="BF258" t="e">
        <f>solver_lhs326=NonLinLarge!$H$9:$H$72</f>
        <v>#NAME?</v>
      </c>
    </row>
    <row r="259" spans="58:58" x14ac:dyDescent="0.3">
      <c r="BF259" t="e">
        <f>solver_lhs327=NonLinLarge!$H$73</f>
        <v>#NAME?</v>
      </c>
    </row>
    <row r="260" spans="58:58" x14ac:dyDescent="0.3">
      <c r="BF260" t="e">
        <f>solver_lhs328=NonLinLarge!$H$74</f>
        <v>#NAME?</v>
      </c>
    </row>
    <row r="261" spans="58:58" x14ac:dyDescent="0.3">
      <c r="BF261" t="e">
        <f>solver_lhs329=NonLinLarge!$H$75:$H$138</f>
        <v>#NAME?</v>
      </c>
    </row>
    <row r="262" spans="58:58" x14ac:dyDescent="0.3">
      <c r="BF262" t="e">
        <f>solver_lhs33=NonLinLarge!$H$73</f>
        <v>#NAME?</v>
      </c>
    </row>
    <row r="263" spans="58:58" x14ac:dyDescent="0.3">
      <c r="BF263" t="e">
        <f>solver_lhs330=NonLinLarge!$H$139</f>
        <v>#NAME?</v>
      </c>
    </row>
    <row r="264" spans="58:58" x14ac:dyDescent="0.3">
      <c r="BF264" t="e">
        <f>solver_lhs331=NonLinLarge!$H$7:$H$8</f>
        <v>#NAME?</v>
      </c>
    </row>
    <row r="265" spans="58:58" x14ac:dyDescent="0.3">
      <c r="BF265" t="e">
        <f>solver_lhs332=NonLinLarge!$H$9:$H$72</f>
        <v>#NAME?</v>
      </c>
    </row>
    <row r="266" spans="58:58" x14ac:dyDescent="0.3">
      <c r="BF266" t="e">
        <f>solver_lhs333=NonLinLarge!$H$73</f>
        <v>#NAME?</v>
      </c>
    </row>
    <row r="267" spans="58:58" x14ac:dyDescent="0.3">
      <c r="BF267" t="e">
        <f>solver_lhs334=NonLinLarge!$H$74</f>
        <v>#NAME?</v>
      </c>
    </row>
    <row r="268" spans="58:58" x14ac:dyDescent="0.3">
      <c r="BF268" t="e">
        <f>solver_lhs335=NonLinLarge!$H$75:$H$138</f>
        <v>#NAME?</v>
      </c>
    </row>
    <row r="269" spans="58:58" x14ac:dyDescent="0.3">
      <c r="BF269" t="e">
        <f>solver_lhs336=NonLinLarge!$H$139</f>
        <v>#NAME?</v>
      </c>
    </row>
    <row r="270" spans="58:58" x14ac:dyDescent="0.3">
      <c r="BF270" t="e">
        <f>solver_lhs337=NonLinLarge!$H$7:$H$8</f>
        <v>#NAME?</v>
      </c>
    </row>
    <row r="271" spans="58:58" x14ac:dyDescent="0.3">
      <c r="BF271" t="e">
        <f>solver_lhs338=NonLinLarge!$H$9:$H$72</f>
        <v>#NAME?</v>
      </c>
    </row>
    <row r="272" spans="58:58" x14ac:dyDescent="0.3">
      <c r="BF272" t="e">
        <f>solver_lhs339=NonLinLarge!$H$73</f>
        <v>#NAME?</v>
      </c>
    </row>
    <row r="273" spans="58:58" x14ac:dyDescent="0.3">
      <c r="BF273" t="e">
        <f>solver_lhs34=NonLinLarge!$H$74</f>
        <v>#NAME?</v>
      </c>
    </row>
    <row r="274" spans="58:58" x14ac:dyDescent="0.3">
      <c r="BF274" t="e">
        <f>solver_lhs340=NonLinLarge!$H$74</f>
        <v>#NAME?</v>
      </c>
    </row>
    <row r="275" spans="58:58" x14ac:dyDescent="0.3">
      <c r="BF275" t="e">
        <f>solver_lhs341=NonLinLarge!$H$75:$H$138</f>
        <v>#NAME?</v>
      </c>
    </row>
    <row r="276" spans="58:58" x14ac:dyDescent="0.3">
      <c r="BF276" t="e">
        <f>solver_lhs342=NonLinLarge!$H$139</f>
        <v>#NAME?</v>
      </c>
    </row>
    <row r="277" spans="58:58" x14ac:dyDescent="0.3">
      <c r="BF277" t="e">
        <f>solver_lhs343=NonLinLarge!$H$7:$H$8</f>
        <v>#NAME?</v>
      </c>
    </row>
    <row r="278" spans="58:58" x14ac:dyDescent="0.3">
      <c r="BF278" t="e">
        <f>solver_lhs344=NonLinLarge!$H$9:$H$72</f>
        <v>#NAME?</v>
      </c>
    </row>
    <row r="279" spans="58:58" x14ac:dyDescent="0.3">
      <c r="BF279" t="e">
        <f>solver_lhs345=NonLinLarge!$H$73</f>
        <v>#NAME?</v>
      </c>
    </row>
    <row r="280" spans="58:58" x14ac:dyDescent="0.3">
      <c r="BF280" t="e">
        <f>solver_lhs346=NonLinLarge!$H$74</f>
        <v>#NAME?</v>
      </c>
    </row>
    <row r="281" spans="58:58" x14ac:dyDescent="0.3">
      <c r="BF281" t="e">
        <f>solver_lhs347=NonLinLarge!$H$75:$H$138</f>
        <v>#NAME?</v>
      </c>
    </row>
    <row r="282" spans="58:58" x14ac:dyDescent="0.3">
      <c r="BF282" t="e">
        <f>solver_lhs348=NonLinLarge!$H$139</f>
        <v>#NAME?</v>
      </c>
    </row>
    <row r="283" spans="58:58" x14ac:dyDescent="0.3">
      <c r="BF283" t="e">
        <f>solver_lhs349=NonLinLarge!$H$7:$H$8</f>
        <v>#NAME?</v>
      </c>
    </row>
    <row r="284" spans="58:58" x14ac:dyDescent="0.3">
      <c r="BF284" t="e">
        <f>solver_lhs35=NonLinLarge!$H$75:$H$138</f>
        <v>#NAME?</v>
      </c>
    </row>
    <row r="285" spans="58:58" x14ac:dyDescent="0.3">
      <c r="BF285" t="e">
        <f>solver_lhs350=NonLinLarge!$H$9:$H$72</f>
        <v>#NAME?</v>
      </c>
    </row>
    <row r="286" spans="58:58" x14ac:dyDescent="0.3">
      <c r="BF286" t="e">
        <f>solver_lhs351=NonLinLarge!$H$73</f>
        <v>#NAME?</v>
      </c>
    </row>
    <row r="287" spans="58:58" x14ac:dyDescent="0.3">
      <c r="BF287" t="e">
        <f>solver_lhs352=NonLinLarge!$H$74</f>
        <v>#NAME?</v>
      </c>
    </row>
    <row r="288" spans="58:58" x14ac:dyDescent="0.3">
      <c r="BF288" t="e">
        <f>solver_lhs353=NonLinLarge!$H$75:$H$138</f>
        <v>#NAME?</v>
      </c>
    </row>
    <row r="289" spans="58:58" x14ac:dyDescent="0.3">
      <c r="BF289" t="e">
        <f>solver_lhs354=NonLinLarge!$H$139</f>
        <v>#NAME?</v>
      </c>
    </row>
    <row r="290" spans="58:58" x14ac:dyDescent="0.3">
      <c r="BF290" t="e">
        <f>solver_lhs355=NonLinLarge!$H$7:$H$8</f>
        <v>#NAME?</v>
      </c>
    </row>
    <row r="291" spans="58:58" x14ac:dyDescent="0.3">
      <c r="BF291" t="e">
        <f>solver_lhs356=NonLinLarge!$H$9:$H$72</f>
        <v>#NAME?</v>
      </c>
    </row>
    <row r="292" spans="58:58" x14ac:dyDescent="0.3">
      <c r="BF292" t="e">
        <f>solver_lhs357=NonLinLarge!$H$73</f>
        <v>#NAME?</v>
      </c>
    </row>
    <row r="293" spans="58:58" x14ac:dyDescent="0.3">
      <c r="BF293" t="e">
        <f>solver_lhs358=NonLinLarge!$H$74</f>
        <v>#NAME?</v>
      </c>
    </row>
    <row r="294" spans="58:58" x14ac:dyDescent="0.3">
      <c r="BF294" t="e">
        <f>solver_lhs359=NonLinLarge!$H$75:$H$138</f>
        <v>#NAME?</v>
      </c>
    </row>
    <row r="295" spans="58:58" x14ac:dyDescent="0.3">
      <c r="BF295" t="e">
        <f>solver_lhs36=NonLinLarge!$H$139</f>
        <v>#NAME?</v>
      </c>
    </row>
    <row r="296" spans="58:58" x14ac:dyDescent="0.3">
      <c r="BF296" t="e">
        <f>solver_lhs360=NonLinLarge!$H$139</f>
        <v>#NAME?</v>
      </c>
    </row>
    <row r="297" spans="58:58" x14ac:dyDescent="0.3">
      <c r="BF297" t="e">
        <f>solver_lhs361=NonLinLarge!$H$7:$H$8</f>
        <v>#NAME?</v>
      </c>
    </row>
    <row r="298" spans="58:58" x14ac:dyDescent="0.3">
      <c r="BF298" t="e">
        <f>solver_lhs362=NonLinLarge!$H$9:$H$72</f>
        <v>#NAME?</v>
      </c>
    </row>
    <row r="299" spans="58:58" x14ac:dyDescent="0.3">
      <c r="BF299" t="e">
        <f>solver_lhs363=NonLinLarge!$H$73</f>
        <v>#NAME?</v>
      </c>
    </row>
    <row r="300" spans="58:58" x14ac:dyDescent="0.3">
      <c r="BF300" t="e">
        <f>solver_lhs364=NonLinLarge!$H$74</f>
        <v>#NAME?</v>
      </c>
    </row>
    <row r="301" spans="58:58" x14ac:dyDescent="0.3">
      <c r="BF301" t="e">
        <f>solver_lhs365=NonLinLarge!$H$75:$H$138</f>
        <v>#NAME?</v>
      </c>
    </row>
    <row r="302" spans="58:58" x14ac:dyDescent="0.3">
      <c r="BF302" t="e">
        <f>solver_lhs366=NonLinLarge!$H$139</f>
        <v>#NAME?</v>
      </c>
    </row>
    <row r="303" spans="58:58" x14ac:dyDescent="0.3">
      <c r="BF303" t="e">
        <f>solver_lhs367=NonLinLarge!$H$7:$H$8</f>
        <v>#NAME?</v>
      </c>
    </row>
    <row r="304" spans="58:58" x14ac:dyDescent="0.3">
      <c r="BF304" t="e">
        <f>solver_lhs368=NonLinLarge!$H$9:$H$72</f>
        <v>#NAME?</v>
      </c>
    </row>
    <row r="305" spans="58:58" x14ac:dyDescent="0.3">
      <c r="BF305" t="e">
        <f>solver_lhs369=NonLinLarge!$H$73</f>
        <v>#NAME?</v>
      </c>
    </row>
    <row r="306" spans="58:58" x14ac:dyDescent="0.3">
      <c r="BF306" t="e">
        <f>solver_lhs37=NonLinLarge!$H$7:$H$8</f>
        <v>#NAME?</v>
      </c>
    </row>
    <row r="307" spans="58:58" x14ac:dyDescent="0.3">
      <c r="BF307" t="e">
        <f>solver_lhs370=NonLinLarge!$H$74</f>
        <v>#NAME?</v>
      </c>
    </row>
    <row r="308" spans="58:58" x14ac:dyDescent="0.3">
      <c r="BF308" t="e">
        <f>solver_lhs371=NonLinLarge!$H$75:$H$138</f>
        <v>#NAME?</v>
      </c>
    </row>
    <row r="309" spans="58:58" x14ac:dyDescent="0.3">
      <c r="BF309" t="e">
        <f>solver_lhs372=NonLinLarge!$H$139</f>
        <v>#NAME?</v>
      </c>
    </row>
    <row r="310" spans="58:58" x14ac:dyDescent="0.3">
      <c r="BF310" t="e">
        <f>solver_lhs373=NonLinLarge!$H$7:$H$8</f>
        <v>#NAME?</v>
      </c>
    </row>
    <row r="311" spans="58:58" x14ac:dyDescent="0.3">
      <c r="BF311" t="e">
        <f>solver_lhs374=NonLinLarge!$H$9:$H$72</f>
        <v>#NAME?</v>
      </c>
    </row>
    <row r="312" spans="58:58" x14ac:dyDescent="0.3">
      <c r="BF312" t="e">
        <f>solver_lhs375=NonLinLarge!$H$73</f>
        <v>#NAME?</v>
      </c>
    </row>
    <row r="313" spans="58:58" x14ac:dyDescent="0.3">
      <c r="BF313" t="e">
        <f>solver_lhs376=NonLinLarge!$H$74</f>
        <v>#NAME?</v>
      </c>
    </row>
    <row r="314" spans="58:58" x14ac:dyDescent="0.3">
      <c r="BF314" t="e">
        <f>solver_lhs377=NonLinLarge!$H$75:$H$138</f>
        <v>#NAME?</v>
      </c>
    </row>
    <row r="315" spans="58:58" x14ac:dyDescent="0.3">
      <c r="BF315" t="e">
        <f>solver_lhs378=NonLinLarge!$H$139</f>
        <v>#NAME?</v>
      </c>
    </row>
    <row r="316" spans="58:58" x14ac:dyDescent="0.3">
      <c r="BF316" t="e">
        <f>solver_lhs379=NonLinLarge!$H$7:$H$8</f>
        <v>#NAME?</v>
      </c>
    </row>
    <row r="317" spans="58:58" x14ac:dyDescent="0.3">
      <c r="BF317" t="e">
        <f>solver_lhs38=NonLinLarge!$H$9:$H$72</f>
        <v>#NAME?</v>
      </c>
    </row>
    <row r="318" spans="58:58" x14ac:dyDescent="0.3">
      <c r="BF318" t="e">
        <f>solver_lhs380=NonLinLarge!$H$9:$H$72</f>
        <v>#NAME?</v>
      </c>
    </row>
    <row r="319" spans="58:58" x14ac:dyDescent="0.3">
      <c r="BF319" t="e">
        <f>solver_lhs381=NonLinLarge!$H$73</f>
        <v>#NAME?</v>
      </c>
    </row>
    <row r="320" spans="58:58" x14ac:dyDescent="0.3">
      <c r="BF320" t="e">
        <f>solver_lhs382=NonLinLarge!$H$74</f>
        <v>#NAME?</v>
      </c>
    </row>
    <row r="321" spans="58:58" x14ac:dyDescent="0.3">
      <c r="BF321" t="e">
        <f>solver_lhs383=NonLinLarge!$H$75:$H$138</f>
        <v>#NAME?</v>
      </c>
    </row>
    <row r="322" spans="58:58" x14ac:dyDescent="0.3">
      <c r="BF322" t="e">
        <f>solver_lhs384=NonLinLarge!$H$139</f>
        <v>#NAME?</v>
      </c>
    </row>
    <row r="323" spans="58:58" x14ac:dyDescent="0.3">
      <c r="BF323" t="e">
        <f>solver_lhs385=NonLinLarge!$H$7:$H$8</f>
        <v>#NAME?</v>
      </c>
    </row>
    <row r="324" spans="58:58" x14ac:dyDescent="0.3">
      <c r="BF324" t="e">
        <f>solver_lhs386=NonLinLarge!$H$9:$H$72</f>
        <v>#NAME?</v>
      </c>
    </row>
    <row r="325" spans="58:58" x14ac:dyDescent="0.3">
      <c r="BF325" t="e">
        <f>solver_lhs387=NonLinLarge!$H$73</f>
        <v>#NAME?</v>
      </c>
    </row>
    <row r="326" spans="58:58" x14ac:dyDescent="0.3">
      <c r="BF326" t="e">
        <f>solver_lhs388=NonLinLarge!$H$74</f>
        <v>#NAME?</v>
      </c>
    </row>
    <row r="327" spans="58:58" x14ac:dyDescent="0.3">
      <c r="BF327" t="e">
        <f>solver_lhs389=NonLinLarge!$H$75:$H$138</f>
        <v>#NAME?</v>
      </c>
    </row>
    <row r="328" spans="58:58" x14ac:dyDescent="0.3">
      <c r="BF328" t="e">
        <f>solver_lhs39=NonLinLarge!$H$73</f>
        <v>#NAME?</v>
      </c>
    </row>
    <row r="329" spans="58:58" x14ac:dyDescent="0.3">
      <c r="BF329" t="e">
        <f>solver_lhs390=NonLinLarge!$H$139</f>
        <v>#NAME?</v>
      </c>
    </row>
    <row r="330" spans="58:58" x14ac:dyDescent="0.3">
      <c r="BF330" t="e">
        <f>solver_lhs391=NonLinLarge!$H$7:$H$8</f>
        <v>#NAME?</v>
      </c>
    </row>
    <row r="331" spans="58:58" x14ac:dyDescent="0.3">
      <c r="BF331" t="e">
        <f>solver_lhs392=NonLinLarge!$H$9:$H$72</f>
        <v>#NAME?</v>
      </c>
    </row>
    <row r="332" spans="58:58" x14ac:dyDescent="0.3">
      <c r="BF332" t="e">
        <f>solver_lhs393=NonLinLarge!$H$73</f>
        <v>#NAME?</v>
      </c>
    </row>
    <row r="333" spans="58:58" x14ac:dyDescent="0.3">
      <c r="BF333" t="e">
        <f>solver_lhs394=NonLinLarge!$H$74</f>
        <v>#NAME?</v>
      </c>
    </row>
    <row r="334" spans="58:58" x14ac:dyDescent="0.3">
      <c r="BF334" t="e">
        <f>solver_lhs395=NonLinLarge!$H$75:$H$138</f>
        <v>#NAME?</v>
      </c>
    </row>
    <row r="335" spans="58:58" x14ac:dyDescent="0.3">
      <c r="BF335" t="e">
        <f>solver_lhs396=NonLinLarge!$H$139</f>
        <v>#NAME?</v>
      </c>
    </row>
    <row r="336" spans="58:58" x14ac:dyDescent="0.3">
      <c r="BF336" t="e">
        <f>solver_lhs397=NonLinLarge!$H$7:$H$8</f>
        <v>#NAME?</v>
      </c>
    </row>
    <row r="337" spans="58:58" x14ac:dyDescent="0.3">
      <c r="BF337" t="e">
        <f>solver_lhs398=NonLinLarge!$H$9:$H$72</f>
        <v>#NAME?</v>
      </c>
    </row>
    <row r="338" spans="58:58" x14ac:dyDescent="0.3">
      <c r="BF338" t="e">
        <f>solver_lhs399=NonLinLarge!$H$73</f>
        <v>#NAME?</v>
      </c>
    </row>
    <row r="339" spans="58:58" x14ac:dyDescent="0.3">
      <c r="BF339" t="e">
        <f>solver_lhs4=NonLinLarge!$H$74</f>
        <v>#NAME?</v>
      </c>
    </row>
    <row r="340" spans="58:58" x14ac:dyDescent="0.3">
      <c r="BF340" t="e">
        <f>solver_lhs40=NonLinLarge!$H$74</f>
        <v>#NAME?</v>
      </c>
    </row>
    <row r="341" spans="58:58" x14ac:dyDescent="0.3">
      <c r="BF341" t="e">
        <f>solver_lhs400=NonLinLarge!$H$74</f>
        <v>#NAME?</v>
      </c>
    </row>
    <row r="342" spans="58:58" x14ac:dyDescent="0.3">
      <c r="BF342" t="e">
        <f>solver_lhs401=NonLinLarge!$H$75:$H$138</f>
        <v>#NAME?</v>
      </c>
    </row>
    <row r="343" spans="58:58" x14ac:dyDescent="0.3">
      <c r="BF343" t="e">
        <f>solver_lhs402=NonLinLarge!$H$139</f>
        <v>#NAME?</v>
      </c>
    </row>
    <row r="344" spans="58:58" x14ac:dyDescent="0.3">
      <c r="BF344" t="e">
        <f>solver_lhs403=NonLinLarge!$H$7:$H$8</f>
        <v>#NAME?</v>
      </c>
    </row>
    <row r="345" spans="58:58" x14ac:dyDescent="0.3">
      <c r="BF345" t="e">
        <f>solver_lhs404=NonLinLarge!$H$9:$H$72</f>
        <v>#NAME?</v>
      </c>
    </row>
    <row r="346" spans="58:58" x14ac:dyDescent="0.3">
      <c r="BF346" t="e">
        <f>solver_lhs405=NonLinLarge!$H$73</f>
        <v>#NAME?</v>
      </c>
    </row>
    <row r="347" spans="58:58" x14ac:dyDescent="0.3">
      <c r="BF347" t="e">
        <f>solver_lhs406=NonLinLarge!$H$74</f>
        <v>#NAME?</v>
      </c>
    </row>
    <row r="348" spans="58:58" x14ac:dyDescent="0.3">
      <c r="BF348" t="e">
        <f>solver_lhs407=NonLinLarge!$H$75:$H$138</f>
        <v>#NAME?</v>
      </c>
    </row>
    <row r="349" spans="58:58" x14ac:dyDescent="0.3">
      <c r="BF349" t="e">
        <f>solver_lhs408=NonLinLarge!$H$139</f>
        <v>#NAME?</v>
      </c>
    </row>
    <row r="350" spans="58:58" x14ac:dyDescent="0.3">
      <c r="BF350" t="e">
        <f>solver_lhs409=NonLinLarge!$H$7:$H$8</f>
        <v>#NAME?</v>
      </c>
    </row>
    <row r="351" spans="58:58" x14ac:dyDescent="0.3">
      <c r="BF351" t="e">
        <f>solver_lhs41=NonLinLarge!$H$75:$H$138</f>
        <v>#NAME?</v>
      </c>
    </row>
    <row r="352" spans="58:58" x14ac:dyDescent="0.3">
      <c r="BF352" t="e">
        <f>solver_lhs410=NonLinLarge!$H$9:$H$72</f>
        <v>#NAME?</v>
      </c>
    </row>
    <row r="353" spans="58:58" x14ac:dyDescent="0.3">
      <c r="BF353" t="e">
        <f>solver_lhs411=NonLinLarge!$H$73</f>
        <v>#NAME?</v>
      </c>
    </row>
    <row r="354" spans="58:58" x14ac:dyDescent="0.3">
      <c r="BF354" t="e">
        <f>solver_lhs412=NonLinLarge!$H$74</f>
        <v>#NAME?</v>
      </c>
    </row>
    <row r="355" spans="58:58" x14ac:dyDescent="0.3">
      <c r="BF355" t="e">
        <f>solver_lhs413=NonLinLarge!$H$75:$H$138</f>
        <v>#NAME?</v>
      </c>
    </row>
    <row r="356" spans="58:58" x14ac:dyDescent="0.3">
      <c r="BF356" t="e">
        <f>solver_lhs414=NonLinLarge!$H$139</f>
        <v>#NAME?</v>
      </c>
    </row>
    <row r="357" spans="58:58" x14ac:dyDescent="0.3">
      <c r="BF357" t="e">
        <f>solver_lhs415=NonLinLarge!$H$7:$H$8</f>
        <v>#NAME?</v>
      </c>
    </row>
    <row r="358" spans="58:58" x14ac:dyDescent="0.3">
      <c r="BF358" t="e">
        <f>solver_lhs416=NonLinLarge!$H$9:$H$72</f>
        <v>#NAME?</v>
      </c>
    </row>
    <row r="359" spans="58:58" x14ac:dyDescent="0.3">
      <c r="BF359" t="e">
        <f>solver_lhs417=NonLinLarge!$H$73</f>
        <v>#NAME?</v>
      </c>
    </row>
    <row r="360" spans="58:58" x14ac:dyDescent="0.3">
      <c r="BF360" t="e">
        <f>solver_lhs418=NonLinLarge!$H$74</f>
        <v>#NAME?</v>
      </c>
    </row>
    <row r="361" spans="58:58" x14ac:dyDescent="0.3">
      <c r="BF361" t="e">
        <f>solver_lhs419=NonLinLarge!$H$75:$H$138</f>
        <v>#NAME?</v>
      </c>
    </row>
    <row r="362" spans="58:58" x14ac:dyDescent="0.3">
      <c r="BF362" t="e">
        <f>solver_lhs42=NonLinLarge!$H$139</f>
        <v>#NAME?</v>
      </c>
    </row>
    <row r="363" spans="58:58" x14ac:dyDescent="0.3">
      <c r="BF363" t="e">
        <f>solver_lhs420=NonLinLarge!$H$139</f>
        <v>#NAME?</v>
      </c>
    </row>
    <row r="364" spans="58:58" x14ac:dyDescent="0.3">
      <c r="BF364" t="e">
        <f>solver_lhs421=NonLinLarge!$H$7:$H$8</f>
        <v>#NAME?</v>
      </c>
    </row>
    <row r="365" spans="58:58" x14ac:dyDescent="0.3">
      <c r="BF365" t="e">
        <f>solver_lhs422=NonLinLarge!$H$9:$H$72</f>
        <v>#NAME?</v>
      </c>
    </row>
    <row r="366" spans="58:58" x14ac:dyDescent="0.3">
      <c r="BF366" t="e">
        <f>solver_lhs423=NonLinLarge!$H$73</f>
        <v>#NAME?</v>
      </c>
    </row>
    <row r="367" spans="58:58" x14ac:dyDescent="0.3">
      <c r="BF367" t="e">
        <f>solver_lhs424=NonLinLarge!$H$74</f>
        <v>#NAME?</v>
      </c>
    </row>
    <row r="368" spans="58:58" x14ac:dyDescent="0.3">
      <c r="BF368" t="e">
        <f>solver_lhs425=NonLinLarge!$H$75:$H$138</f>
        <v>#NAME?</v>
      </c>
    </row>
    <row r="369" spans="58:58" x14ac:dyDescent="0.3">
      <c r="BF369" t="e">
        <f>solver_lhs426=NonLinLarge!$H$139</f>
        <v>#NAME?</v>
      </c>
    </row>
    <row r="370" spans="58:58" x14ac:dyDescent="0.3">
      <c r="BF370" t="e">
        <f>solver_lhs427=NonLinLarge!$H$7:$H$8</f>
        <v>#NAME?</v>
      </c>
    </row>
    <row r="371" spans="58:58" x14ac:dyDescent="0.3">
      <c r="BF371" t="e">
        <f>solver_lhs428=NonLinLarge!$H$9:$H$72</f>
        <v>#NAME?</v>
      </c>
    </row>
    <row r="372" spans="58:58" x14ac:dyDescent="0.3">
      <c r="BF372" t="e">
        <f>solver_lhs429=NonLinLarge!$H$73</f>
        <v>#NAME?</v>
      </c>
    </row>
    <row r="373" spans="58:58" x14ac:dyDescent="0.3">
      <c r="BF373" t="e">
        <f>solver_lhs43=NonLinLarge!$H$7:$H$8</f>
        <v>#NAME?</v>
      </c>
    </row>
    <row r="374" spans="58:58" x14ac:dyDescent="0.3">
      <c r="BF374" t="e">
        <f>solver_lhs430=NonLinLarge!$H$74</f>
        <v>#NAME?</v>
      </c>
    </row>
    <row r="375" spans="58:58" x14ac:dyDescent="0.3">
      <c r="BF375" t="e">
        <f>solver_lhs431=NonLinLarge!$H$75:$H$138</f>
        <v>#NAME?</v>
      </c>
    </row>
    <row r="376" spans="58:58" x14ac:dyDescent="0.3">
      <c r="BF376" t="e">
        <f>solver_lhs432=NonLinLarge!$H$139</f>
        <v>#NAME?</v>
      </c>
    </row>
    <row r="377" spans="58:58" x14ac:dyDescent="0.3">
      <c r="BF377" t="e">
        <f>solver_lhs433=NonLinLarge!$H$7:$H$8</f>
        <v>#NAME?</v>
      </c>
    </row>
    <row r="378" spans="58:58" x14ac:dyDescent="0.3">
      <c r="BF378" t="e">
        <f>solver_lhs434=NonLinLarge!$H$9:$H$72</f>
        <v>#NAME?</v>
      </c>
    </row>
    <row r="379" spans="58:58" x14ac:dyDescent="0.3">
      <c r="BF379" t="e">
        <f>solver_lhs435=NonLinLarge!$H$73</f>
        <v>#NAME?</v>
      </c>
    </row>
    <row r="380" spans="58:58" x14ac:dyDescent="0.3">
      <c r="BF380" t="e">
        <f>solver_lhs436=NonLinLarge!$H$74</f>
        <v>#NAME?</v>
      </c>
    </row>
    <row r="381" spans="58:58" x14ac:dyDescent="0.3">
      <c r="BF381" t="e">
        <f>solver_lhs437=NonLinLarge!$H$75:$H$138</f>
        <v>#NAME?</v>
      </c>
    </row>
    <row r="382" spans="58:58" x14ac:dyDescent="0.3">
      <c r="BF382" t="e">
        <f>solver_lhs438=NonLinLarge!$H$139</f>
        <v>#NAME?</v>
      </c>
    </row>
    <row r="383" spans="58:58" x14ac:dyDescent="0.3">
      <c r="BF383" t="e">
        <f>solver_lhs439=NonLinLarge!$H$7:$H$8</f>
        <v>#NAME?</v>
      </c>
    </row>
    <row r="384" spans="58:58" x14ac:dyDescent="0.3">
      <c r="BF384" t="e">
        <f>solver_lhs44=NonLinLarge!$H$9:$H$72</f>
        <v>#NAME?</v>
      </c>
    </row>
    <row r="385" spans="58:58" x14ac:dyDescent="0.3">
      <c r="BF385" t="e">
        <f>solver_lhs440=NonLinLarge!$H$9:$H$72</f>
        <v>#NAME?</v>
      </c>
    </row>
    <row r="386" spans="58:58" x14ac:dyDescent="0.3">
      <c r="BF386" t="e">
        <f>solver_lhs441=NonLinLarge!$H$73</f>
        <v>#NAME?</v>
      </c>
    </row>
    <row r="387" spans="58:58" x14ac:dyDescent="0.3">
      <c r="BF387" t="e">
        <f>solver_lhs442=NonLinLarge!$H$74</f>
        <v>#NAME?</v>
      </c>
    </row>
    <row r="388" spans="58:58" x14ac:dyDescent="0.3">
      <c r="BF388" t="e">
        <f>solver_lhs443=NonLinLarge!$H$75:$H$138</f>
        <v>#NAME?</v>
      </c>
    </row>
    <row r="389" spans="58:58" x14ac:dyDescent="0.3">
      <c r="BF389" t="e">
        <f>solver_lhs444=NonLinLarge!$H$139</f>
        <v>#NAME?</v>
      </c>
    </row>
    <row r="390" spans="58:58" x14ac:dyDescent="0.3">
      <c r="BF390" t="e">
        <f>solver_lhs445=NonLinLarge!$H$7:$H$8</f>
        <v>#NAME?</v>
      </c>
    </row>
    <row r="391" spans="58:58" x14ac:dyDescent="0.3">
      <c r="BF391" t="e">
        <f>solver_lhs446=NonLinLarge!$H$9:$H$72</f>
        <v>#NAME?</v>
      </c>
    </row>
    <row r="392" spans="58:58" x14ac:dyDescent="0.3">
      <c r="BF392" t="e">
        <f>solver_lhs447=NonLinLarge!$H$73</f>
        <v>#NAME?</v>
      </c>
    </row>
    <row r="393" spans="58:58" x14ac:dyDescent="0.3">
      <c r="BF393" t="e">
        <f>solver_lhs448=NonLinLarge!$H$74</f>
        <v>#NAME?</v>
      </c>
    </row>
    <row r="394" spans="58:58" x14ac:dyDescent="0.3">
      <c r="BF394" t="e">
        <f>solver_lhs449=NonLinLarge!$H$75:$H$138</f>
        <v>#NAME?</v>
      </c>
    </row>
    <row r="395" spans="58:58" x14ac:dyDescent="0.3">
      <c r="BF395" t="e">
        <f>solver_lhs45=NonLinLarge!$H$73</f>
        <v>#NAME?</v>
      </c>
    </row>
    <row r="396" spans="58:58" x14ac:dyDescent="0.3">
      <c r="BF396" t="e">
        <f>solver_lhs450=NonLinLarge!$H$139</f>
        <v>#NAME?</v>
      </c>
    </row>
    <row r="397" spans="58:58" x14ac:dyDescent="0.3">
      <c r="BF397" t="e">
        <f>solver_lhs451=NonLinLarge!$H$7:$H$8</f>
        <v>#NAME?</v>
      </c>
    </row>
    <row r="398" spans="58:58" x14ac:dyDescent="0.3">
      <c r="BF398" t="e">
        <f>solver_lhs452=NonLinLarge!$H$9:$H$72</f>
        <v>#NAME?</v>
      </c>
    </row>
    <row r="399" spans="58:58" x14ac:dyDescent="0.3">
      <c r="BF399" t="e">
        <f>solver_lhs453=NonLinLarge!$H$73</f>
        <v>#NAME?</v>
      </c>
    </row>
    <row r="400" spans="58:58" x14ac:dyDescent="0.3">
      <c r="BF400" t="e">
        <f>solver_lhs454=NonLinLarge!$H$74</f>
        <v>#NAME?</v>
      </c>
    </row>
    <row r="401" spans="58:58" x14ac:dyDescent="0.3">
      <c r="BF401" t="e">
        <f>solver_lhs455=NonLinLarge!$H$75:$H$138</f>
        <v>#NAME?</v>
      </c>
    </row>
    <row r="402" spans="58:58" x14ac:dyDescent="0.3">
      <c r="BF402" t="e">
        <f>solver_lhs456=NonLinLarge!$H$139</f>
        <v>#NAME?</v>
      </c>
    </row>
    <row r="403" spans="58:58" x14ac:dyDescent="0.3">
      <c r="BF403" t="e">
        <f>solver_lhs457=NonLinLarge!$H$7:$H$8</f>
        <v>#NAME?</v>
      </c>
    </row>
    <row r="404" spans="58:58" x14ac:dyDescent="0.3">
      <c r="BF404" t="e">
        <f>solver_lhs458=NonLinLarge!$H$9:$H$72</f>
        <v>#NAME?</v>
      </c>
    </row>
    <row r="405" spans="58:58" x14ac:dyDescent="0.3">
      <c r="BF405" t="e">
        <f>solver_lhs459=NonLinLarge!$H$73</f>
        <v>#NAME?</v>
      </c>
    </row>
    <row r="406" spans="58:58" x14ac:dyDescent="0.3">
      <c r="BF406" t="e">
        <f>solver_lhs46=NonLinLarge!$H$74</f>
        <v>#NAME?</v>
      </c>
    </row>
    <row r="407" spans="58:58" x14ac:dyDescent="0.3">
      <c r="BF407" t="e">
        <f>solver_lhs460=NonLinLarge!$H$74</f>
        <v>#NAME?</v>
      </c>
    </row>
    <row r="408" spans="58:58" x14ac:dyDescent="0.3">
      <c r="BF408" t="e">
        <f>solver_lhs461=NonLinLarge!$H$75:$H$138</f>
        <v>#NAME?</v>
      </c>
    </row>
    <row r="409" spans="58:58" x14ac:dyDescent="0.3">
      <c r="BF409" t="e">
        <f>solver_lhs462=NonLinLarge!$H$139</f>
        <v>#NAME?</v>
      </c>
    </row>
    <row r="410" spans="58:58" x14ac:dyDescent="0.3">
      <c r="BF410" t="e">
        <f>solver_lhs463=NonLinLarge!$H$7:$H$8</f>
        <v>#NAME?</v>
      </c>
    </row>
    <row r="411" spans="58:58" x14ac:dyDescent="0.3">
      <c r="BF411" t="e">
        <f>solver_lhs464=NonLinLarge!$H$9:$H$72</f>
        <v>#NAME?</v>
      </c>
    </row>
    <row r="412" spans="58:58" x14ac:dyDescent="0.3">
      <c r="BF412" t="e">
        <f>solver_lhs465=NonLinLarge!$H$73</f>
        <v>#NAME?</v>
      </c>
    </row>
    <row r="413" spans="58:58" x14ac:dyDescent="0.3">
      <c r="BF413" t="e">
        <f>solver_lhs466=NonLinLarge!$H$74</f>
        <v>#NAME?</v>
      </c>
    </row>
    <row r="414" spans="58:58" x14ac:dyDescent="0.3">
      <c r="BF414" t="e">
        <f>solver_lhs467=NonLinLarge!$H$75:$H$138</f>
        <v>#NAME?</v>
      </c>
    </row>
    <row r="415" spans="58:58" x14ac:dyDescent="0.3">
      <c r="BF415" t="e">
        <f>solver_lhs468=NonLinLarge!$H$139</f>
        <v>#NAME?</v>
      </c>
    </row>
    <row r="416" spans="58:58" x14ac:dyDescent="0.3">
      <c r="BF416" t="e">
        <f>solver_lhs469=NonLinLarge!$H$7:$H$8</f>
        <v>#NAME?</v>
      </c>
    </row>
    <row r="417" spans="58:58" x14ac:dyDescent="0.3">
      <c r="BF417" t="e">
        <f>solver_lhs47=NonLinLarge!$H$75:$H$138</f>
        <v>#NAME?</v>
      </c>
    </row>
    <row r="418" spans="58:58" x14ac:dyDescent="0.3">
      <c r="BF418" t="e">
        <f>solver_lhs470=NonLinLarge!$H$9:$H$72</f>
        <v>#NAME?</v>
      </c>
    </row>
    <row r="419" spans="58:58" x14ac:dyDescent="0.3">
      <c r="BF419" t="e">
        <f>solver_lhs471=NonLinLarge!$H$73</f>
        <v>#NAME?</v>
      </c>
    </row>
    <row r="420" spans="58:58" x14ac:dyDescent="0.3">
      <c r="BF420" t="e">
        <f>solver_lhs472=NonLinLarge!$H$74</f>
        <v>#NAME?</v>
      </c>
    </row>
    <row r="421" spans="58:58" x14ac:dyDescent="0.3">
      <c r="BF421" t="e">
        <f>solver_lhs473=NonLinLarge!$H$75:$H$138</f>
        <v>#NAME?</v>
      </c>
    </row>
    <row r="422" spans="58:58" x14ac:dyDescent="0.3">
      <c r="BF422" t="e">
        <f>solver_lhs474=NonLinLarge!$H$139</f>
        <v>#NAME?</v>
      </c>
    </row>
    <row r="423" spans="58:58" x14ac:dyDescent="0.3">
      <c r="BF423" t="e">
        <f>solver_lhs475=NonLinLarge!$H$7:$H$8</f>
        <v>#NAME?</v>
      </c>
    </row>
    <row r="424" spans="58:58" x14ac:dyDescent="0.3">
      <c r="BF424" t="e">
        <f>solver_lhs476=NonLinLarge!$H$9:$H$72</f>
        <v>#NAME?</v>
      </c>
    </row>
    <row r="425" spans="58:58" x14ac:dyDescent="0.3">
      <c r="BF425" t="e">
        <f>solver_lhs477=NonLinLarge!$H$73</f>
        <v>#NAME?</v>
      </c>
    </row>
    <row r="426" spans="58:58" x14ac:dyDescent="0.3">
      <c r="BF426" t="e">
        <f>solver_lhs478=NonLinLarge!$H$74</f>
        <v>#NAME?</v>
      </c>
    </row>
    <row r="427" spans="58:58" x14ac:dyDescent="0.3">
      <c r="BF427" t="e">
        <f>solver_lhs479=NonLinLarge!$H$75:$H$138</f>
        <v>#NAME?</v>
      </c>
    </row>
    <row r="428" spans="58:58" x14ac:dyDescent="0.3">
      <c r="BF428" t="e">
        <f>solver_lhs48=NonLinLarge!$H$139</f>
        <v>#NAME?</v>
      </c>
    </row>
    <row r="429" spans="58:58" x14ac:dyDescent="0.3">
      <c r="BF429" t="e">
        <f>solver_lhs480=NonLinLarge!$H$139</f>
        <v>#NAME?</v>
      </c>
    </row>
    <row r="430" spans="58:58" x14ac:dyDescent="0.3">
      <c r="BF430" t="e">
        <f>solver_lhs481=NonLinLarge!$H$7:$H$8</f>
        <v>#NAME?</v>
      </c>
    </row>
    <row r="431" spans="58:58" x14ac:dyDescent="0.3">
      <c r="BF431" t="e">
        <f>solver_lhs482=NonLinLarge!$H$9:$H$72</f>
        <v>#NAME?</v>
      </c>
    </row>
    <row r="432" spans="58:58" x14ac:dyDescent="0.3">
      <c r="BF432" t="e">
        <f>solver_lhs483=NonLinLarge!$H$73</f>
        <v>#NAME?</v>
      </c>
    </row>
    <row r="433" spans="58:58" x14ac:dyDescent="0.3">
      <c r="BF433" t="e">
        <f>solver_lhs484=NonLinLarge!$H$74</f>
        <v>#NAME?</v>
      </c>
    </row>
    <row r="434" spans="58:58" x14ac:dyDescent="0.3">
      <c r="BF434" t="e">
        <f>solver_lhs485=NonLinLarge!$H$75:$H$138</f>
        <v>#NAME?</v>
      </c>
    </row>
    <row r="435" spans="58:58" x14ac:dyDescent="0.3">
      <c r="BF435" t="e">
        <f>solver_lhs486=NonLinLarge!$H$139</f>
        <v>#NAME?</v>
      </c>
    </row>
    <row r="436" spans="58:58" x14ac:dyDescent="0.3">
      <c r="BF436" t="e">
        <f>solver_lhs487=NonLinLarge!$H$7:$H$8</f>
        <v>#NAME?</v>
      </c>
    </row>
    <row r="437" spans="58:58" x14ac:dyDescent="0.3">
      <c r="BF437" t="e">
        <f>solver_lhs488=NonLinLarge!$H$9:$H$72</f>
        <v>#NAME?</v>
      </c>
    </row>
    <row r="438" spans="58:58" x14ac:dyDescent="0.3">
      <c r="BF438" t="e">
        <f>solver_lhs489=NonLinLarge!$H$73</f>
        <v>#NAME?</v>
      </c>
    </row>
    <row r="439" spans="58:58" x14ac:dyDescent="0.3">
      <c r="BF439" t="e">
        <f>solver_lhs49=NonLinLarge!$H$7:$H$8</f>
        <v>#NAME?</v>
      </c>
    </row>
    <row r="440" spans="58:58" x14ac:dyDescent="0.3">
      <c r="BF440" t="e">
        <f>solver_lhs490=NonLinLarge!$H$74</f>
        <v>#NAME?</v>
      </c>
    </row>
    <row r="441" spans="58:58" x14ac:dyDescent="0.3">
      <c r="BF441" t="e">
        <f>solver_lhs491=NonLinLarge!$H$75:$H$138</f>
        <v>#NAME?</v>
      </c>
    </row>
    <row r="442" spans="58:58" x14ac:dyDescent="0.3">
      <c r="BF442" t="e">
        <f>solver_lhs492=NonLinLarge!$H$139</f>
        <v>#NAME?</v>
      </c>
    </row>
    <row r="443" spans="58:58" x14ac:dyDescent="0.3">
      <c r="BF443" t="e">
        <f>solver_lhs493=NonLinLarge!$H$7:$H$8</f>
        <v>#NAME?</v>
      </c>
    </row>
    <row r="444" spans="58:58" x14ac:dyDescent="0.3">
      <c r="BF444" t="e">
        <f>solver_lhs494=NonLinLarge!$H$9:$H$72</f>
        <v>#NAME?</v>
      </c>
    </row>
    <row r="445" spans="58:58" x14ac:dyDescent="0.3">
      <c r="BF445" t="e">
        <f>solver_lhs495=NonLinLarge!$H$73</f>
        <v>#NAME?</v>
      </c>
    </row>
    <row r="446" spans="58:58" x14ac:dyDescent="0.3">
      <c r="BF446" t="e">
        <f>solver_lhs496=NonLinLarge!$H$74</f>
        <v>#NAME?</v>
      </c>
    </row>
    <row r="447" spans="58:58" x14ac:dyDescent="0.3">
      <c r="BF447" t="e">
        <f>solver_lhs497=NonLinLarge!$H$75:$H$138</f>
        <v>#NAME?</v>
      </c>
    </row>
    <row r="448" spans="58:58" x14ac:dyDescent="0.3">
      <c r="BF448" t="e">
        <f>solver_lhs498=NonLinLarge!$H$139</f>
        <v>#NAME?</v>
      </c>
    </row>
    <row r="449" spans="58:58" x14ac:dyDescent="0.3">
      <c r="BF449" t="e">
        <f>solver_lhs499=NonLinLarge!$H$7:$H$8</f>
        <v>#NAME?</v>
      </c>
    </row>
    <row r="450" spans="58:58" x14ac:dyDescent="0.3">
      <c r="BF450" t="e">
        <f>solver_lhs5=NonLinLarge!$H$75:$H$138</f>
        <v>#NAME?</v>
      </c>
    </row>
    <row r="451" spans="58:58" x14ac:dyDescent="0.3">
      <c r="BF451" t="e">
        <f>solver_lhs50=NonLinLarge!$H$9:$H$72</f>
        <v>#NAME?</v>
      </c>
    </row>
    <row r="452" spans="58:58" x14ac:dyDescent="0.3">
      <c r="BF452" t="e">
        <f>solver_lhs500=NonLinLarge!$H$9:$H$72</f>
        <v>#NAME?</v>
      </c>
    </row>
    <row r="453" spans="58:58" x14ac:dyDescent="0.3">
      <c r="BF453" t="e">
        <f>solver_lhs501=NonLinLarge!$H$73</f>
        <v>#NAME?</v>
      </c>
    </row>
    <row r="454" spans="58:58" x14ac:dyDescent="0.3">
      <c r="BF454" t="e">
        <f>solver_lhs502=NonLinLarge!$H$74</f>
        <v>#NAME?</v>
      </c>
    </row>
    <row r="455" spans="58:58" x14ac:dyDescent="0.3">
      <c r="BF455" t="e">
        <f>solver_lhs503=NonLinLarge!$H$75:$H$138</f>
        <v>#NAME?</v>
      </c>
    </row>
    <row r="456" spans="58:58" x14ac:dyDescent="0.3">
      <c r="BF456" t="e">
        <f>solver_lhs504=NonLinLarge!$H$139</f>
        <v>#NAME?</v>
      </c>
    </row>
    <row r="457" spans="58:58" x14ac:dyDescent="0.3">
      <c r="BF457" t="e">
        <f>solver_lhs505=NonLinLarge!$H$7:$H$8</f>
        <v>#NAME?</v>
      </c>
    </row>
    <row r="458" spans="58:58" x14ac:dyDescent="0.3">
      <c r="BF458" t="e">
        <f>solver_lhs506=NonLinLarge!$H$9:$H$72</f>
        <v>#NAME?</v>
      </c>
    </row>
    <row r="459" spans="58:58" x14ac:dyDescent="0.3">
      <c r="BF459" t="e">
        <f>solver_lhs507=NonLinLarge!$H$73</f>
        <v>#NAME?</v>
      </c>
    </row>
    <row r="460" spans="58:58" x14ac:dyDescent="0.3">
      <c r="BF460" t="e">
        <f>solver_lhs508=NonLinLarge!$H$74</f>
        <v>#NAME?</v>
      </c>
    </row>
    <row r="461" spans="58:58" x14ac:dyDescent="0.3">
      <c r="BF461" t="e">
        <f>solver_lhs509=NonLinLarge!$H$75:$H$138</f>
        <v>#NAME?</v>
      </c>
    </row>
    <row r="462" spans="58:58" x14ac:dyDescent="0.3">
      <c r="BF462" t="e">
        <f>solver_lhs51=NonLinLarge!$H$73</f>
        <v>#NAME?</v>
      </c>
    </row>
    <row r="463" spans="58:58" x14ac:dyDescent="0.3">
      <c r="BF463" t="e">
        <f>solver_lhs510=NonLinLarge!$H$139</f>
        <v>#NAME?</v>
      </c>
    </row>
    <row r="464" spans="58:58" x14ac:dyDescent="0.3">
      <c r="BF464" t="e">
        <f>solver_lhs511=NonLinLarge!$H$7:$H$8</f>
        <v>#NAME?</v>
      </c>
    </row>
    <row r="465" spans="58:58" x14ac:dyDescent="0.3">
      <c r="BF465" t="e">
        <f>solver_lhs512=NonLinLarge!$H$9:$H$72</f>
        <v>#NAME?</v>
      </c>
    </row>
    <row r="466" spans="58:58" x14ac:dyDescent="0.3">
      <c r="BF466" t="e">
        <f>solver_lhs513=NonLinLarge!$H$73</f>
        <v>#NAME?</v>
      </c>
    </row>
    <row r="467" spans="58:58" x14ac:dyDescent="0.3">
      <c r="BF467" t="e">
        <f>solver_lhs514=NonLinLarge!$H$74</f>
        <v>#NAME?</v>
      </c>
    </row>
    <row r="468" spans="58:58" x14ac:dyDescent="0.3">
      <c r="BF468" t="e">
        <f>solver_lhs515=NonLinLarge!$H$75:$H$138</f>
        <v>#NAME?</v>
      </c>
    </row>
    <row r="469" spans="58:58" x14ac:dyDescent="0.3">
      <c r="BF469" t="e">
        <f>solver_lhs516=NonLinLarge!$H$139</f>
        <v>#NAME?</v>
      </c>
    </row>
    <row r="470" spans="58:58" x14ac:dyDescent="0.3">
      <c r="BF470" t="e">
        <f>solver_lhs517=NonLinLarge!$H$7:$H$8</f>
        <v>#NAME?</v>
      </c>
    </row>
    <row r="471" spans="58:58" x14ac:dyDescent="0.3">
      <c r="BF471" t="e">
        <f>solver_lhs518=NonLinLarge!$H$9:$H$72</f>
        <v>#NAME?</v>
      </c>
    </row>
    <row r="472" spans="58:58" x14ac:dyDescent="0.3">
      <c r="BF472" t="e">
        <f>solver_lhs519=NonLinLarge!$H$73</f>
        <v>#NAME?</v>
      </c>
    </row>
    <row r="473" spans="58:58" x14ac:dyDescent="0.3">
      <c r="BF473" t="e">
        <f>solver_lhs52=NonLinLarge!$H$74</f>
        <v>#NAME?</v>
      </c>
    </row>
    <row r="474" spans="58:58" x14ac:dyDescent="0.3">
      <c r="BF474" t="e">
        <f>solver_lhs520=NonLinLarge!$H$74</f>
        <v>#NAME?</v>
      </c>
    </row>
    <row r="475" spans="58:58" x14ac:dyDescent="0.3">
      <c r="BF475" t="e">
        <f>solver_lhs521=NonLinLarge!$H$75:$H$138</f>
        <v>#NAME?</v>
      </c>
    </row>
    <row r="476" spans="58:58" x14ac:dyDescent="0.3">
      <c r="BF476" t="e">
        <f>solver_lhs522=NonLinLarge!$H$139</f>
        <v>#NAME?</v>
      </c>
    </row>
    <row r="477" spans="58:58" x14ac:dyDescent="0.3">
      <c r="BF477" t="e">
        <f>solver_lhs523=NonLinLarge!$H$7:$H$8</f>
        <v>#NAME?</v>
      </c>
    </row>
    <row r="478" spans="58:58" x14ac:dyDescent="0.3">
      <c r="BF478" t="e">
        <f>solver_lhs524=NonLinLarge!$H$9:$H$72</f>
        <v>#NAME?</v>
      </c>
    </row>
    <row r="479" spans="58:58" x14ac:dyDescent="0.3">
      <c r="BF479" t="e">
        <f>solver_lhs525=NonLinLarge!$H$73</f>
        <v>#NAME?</v>
      </c>
    </row>
    <row r="480" spans="58:58" x14ac:dyDescent="0.3">
      <c r="BF480" t="e">
        <f>solver_lhs526=NonLinLarge!$H$74</f>
        <v>#NAME?</v>
      </c>
    </row>
    <row r="481" spans="58:58" x14ac:dyDescent="0.3">
      <c r="BF481" t="e">
        <f>solver_lhs527=NonLinLarge!$H$75:$H$138</f>
        <v>#NAME?</v>
      </c>
    </row>
    <row r="482" spans="58:58" x14ac:dyDescent="0.3">
      <c r="BF482" t="e">
        <f>solver_lhs528=NonLinLarge!$H$139</f>
        <v>#NAME?</v>
      </c>
    </row>
    <row r="483" spans="58:58" x14ac:dyDescent="0.3">
      <c r="BF483" t="e">
        <f>solver_lhs529=NonLinLarge!$H$7:$H$8</f>
        <v>#NAME?</v>
      </c>
    </row>
    <row r="484" spans="58:58" x14ac:dyDescent="0.3">
      <c r="BF484" t="e">
        <f>solver_lhs53=NonLinLarge!$H$75:$H$138</f>
        <v>#NAME?</v>
      </c>
    </row>
    <row r="485" spans="58:58" x14ac:dyDescent="0.3">
      <c r="BF485" t="e">
        <f>solver_lhs530=NonLinLarge!$H$9:$H$72</f>
        <v>#NAME?</v>
      </c>
    </row>
    <row r="486" spans="58:58" x14ac:dyDescent="0.3">
      <c r="BF486" t="e">
        <f>solver_lhs531=NonLinLarge!$H$73</f>
        <v>#NAME?</v>
      </c>
    </row>
    <row r="487" spans="58:58" x14ac:dyDescent="0.3">
      <c r="BF487" t="e">
        <f>solver_lhs532=NonLinLarge!$H$74</f>
        <v>#NAME?</v>
      </c>
    </row>
    <row r="488" spans="58:58" x14ac:dyDescent="0.3">
      <c r="BF488" t="e">
        <f>solver_lhs533=NonLinLarge!$H$75:$H$138</f>
        <v>#NAME?</v>
      </c>
    </row>
    <row r="489" spans="58:58" x14ac:dyDescent="0.3">
      <c r="BF489" t="e">
        <f>solver_lhs534=NonLinLarge!$H$139</f>
        <v>#NAME?</v>
      </c>
    </row>
    <row r="490" spans="58:58" x14ac:dyDescent="0.3">
      <c r="BF490" t="e">
        <f>solver_lhs535=NonLinLarge!$H$7:$H$8</f>
        <v>#NAME?</v>
      </c>
    </row>
    <row r="491" spans="58:58" x14ac:dyDescent="0.3">
      <c r="BF491" t="e">
        <f>solver_lhs536=NonLinLarge!$H$9:$H$72</f>
        <v>#NAME?</v>
      </c>
    </row>
    <row r="492" spans="58:58" x14ac:dyDescent="0.3">
      <c r="BF492" t="e">
        <f>solver_lhs537=NonLinLarge!$H$73</f>
        <v>#NAME?</v>
      </c>
    </row>
    <row r="493" spans="58:58" x14ac:dyDescent="0.3">
      <c r="BF493" t="e">
        <f>solver_lhs538=NonLinLarge!$H$74</f>
        <v>#NAME?</v>
      </c>
    </row>
    <row r="494" spans="58:58" x14ac:dyDescent="0.3">
      <c r="BF494" t="e">
        <f>solver_lhs539=NonLinLarge!$H$75:$H$138</f>
        <v>#NAME?</v>
      </c>
    </row>
    <row r="495" spans="58:58" x14ac:dyDescent="0.3">
      <c r="BF495" t="e">
        <f>solver_lhs54=NonLinLarge!$H$139</f>
        <v>#NAME?</v>
      </c>
    </row>
    <row r="496" spans="58:58" x14ac:dyDescent="0.3">
      <c r="BF496" t="e">
        <f>solver_lhs540=NonLinLarge!$H$139</f>
        <v>#NAME?</v>
      </c>
    </row>
    <row r="497" spans="58:58" x14ac:dyDescent="0.3">
      <c r="BF497" t="e">
        <f>solver_lhs541=NonLinLarge!$H$7:$H$8</f>
        <v>#NAME?</v>
      </c>
    </row>
    <row r="498" spans="58:58" x14ac:dyDescent="0.3">
      <c r="BF498" t="e">
        <f>solver_lhs542=NonLinLarge!$H$9:$H$72</f>
        <v>#NAME?</v>
      </c>
    </row>
    <row r="499" spans="58:58" x14ac:dyDescent="0.3">
      <c r="BF499" t="e">
        <f>solver_lhs543=NonLinLarge!$H$73</f>
        <v>#NAME?</v>
      </c>
    </row>
    <row r="500" spans="58:58" x14ac:dyDescent="0.3">
      <c r="BF500" t="e">
        <f>solver_lhs544=NonLinLarge!$H$74</f>
        <v>#NAME?</v>
      </c>
    </row>
    <row r="501" spans="58:58" x14ac:dyDescent="0.3">
      <c r="BF501" t="e">
        <f>solver_lhs545=NonLinLarge!$H$75:$H$138</f>
        <v>#NAME?</v>
      </c>
    </row>
    <row r="502" spans="58:58" x14ac:dyDescent="0.3">
      <c r="BF502" t="e">
        <f>solver_lhs546=NonLinLarge!$H$139</f>
        <v>#NAME?</v>
      </c>
    </row>
    <row r="503" spans="58:58" x14ac:dyDescent="0.3">
      <c r="BF503" t="e">
        <f>solver_lhs547=NonLinLarge!$H$7:$H$8</f>
        <v>#NAME?</v>
      </c>
    </row>
    <row r="504" spans="58:58" x14ac:dyDescent="0.3">
      <c r="BF504" t="e">
        <f>solver_lhs548=NonLinLarge!$H$9:$H$72</f>
        <v>#NAME?</v>
      </c>
    </row>
    <row r="505" spans="58:58" x14ac:dyDescent="0.3">
      <c r="BF505" t="e">
        <f>solver_lhs549=NonLinLarge!$H$73</f>
        <v>#NAME?</v>
      </c>
    </row>
    <row r="506" spans="58:58" x14ac:dyDescent="0.3">
      <c r="BF506" t="e">
        <f>solver_lhs55=NonLinLarge!$H$7:$H$8</f>
        <v>#NAME?</v>
      </c>
    </row>
    <row r="507" spans="58:58" x14ac:dyDescent="0.3">
      <c r="BF507" t="e">
        <f>solver_lhs550=NonLinLarge!$H$74</f>
        <v>#NAME?</v>
      </c>
    </row>
    <row r="508" spans="58:58" x14ac:dyDescent="0.3">
      <c r="BF508" t="e">
        <f>solver_lhs551=NonLinLarge!$H$75:$H$138</f>
        <v>#NAME?</v>
      </c>
    </row>
    <row r="509" spans="58:58" x14ac:dyDescent="0.3">
      <c r="BF509" t="e">
        <f>solver_lhs552=NonLinLarge!$H$139</f>
        <v>#NAME?</v>
      </c>
    </row>
    <row r="510" spans="58:58" x14ac:dyDescent="0.3">
      <c r="BF510" t="e">
        <f>solver_lhs553=NonLinLarge!$H$7:$H$8</f>
        <v>#NAME?</v>
      </c>
    </row>
    <row r="511" spans="58:58" x14ac:dyDescent="0.3">
      <c r="BF511" t="e">
        <f>solver_lhs554=NonLinLarge!$H$9:$H$72</f>
        <v>#NAME?</v>
      </c>
    </row>
    <row r="512" spans="58:58" x14ac:dyDescent="0.3">
      <c r="BF512" t="e">
        <f>solver_lhs555=NonLinLarge!$H$73</f>
        <v>#NAME?</v>
      </c>
    </row>
    <row r="513" spans="58:58" x14ac:dyDescent="0.3">
      <c r="BF513" t="e">
        <f>solver_lhs556=NonLinLarge!$H$74</f>
        <v>#NAME?</v>
      </c>
    </row>
    <row r="514" spans="58:58" x14ac:dyDescent="0.3">
      <c r="BF514" t="e">
        <f>solver_lhs557=NonLinLarge!$H$75:$H$138</f>
        <v>#NAME?</v>
      </c>
    </row>
    <row r="515" spans="58:58" x14ac:dyDescent="0.3">
      <c r="BF515" t="e">
        <f>solver_lhs558=NonLinLarge!$H$139</f>
        <v>#NAME?</v>
      </c>
    </row>
    <row r="516" spans="58:58" x14ac:dyDescent="0.3">
      <c r="BF516" t="e">
        <f>solver_lhs559=NonLinLarge!$H$7:$H$8</f>
        <v>#NAME?</v>
      </c>
    </row>
    <row r="517" spans="58:58" x14ac:dyDescent="0.3">
      <c r="BF517" t="e">
        <f>solver_lhs56=NonLinLarge!$H$9:$H$72</f>
        <v>#NAME?</v>
      </c>
    </row>
    <row r="518" spans="58:58" x14ac:dyDescent="0.3">
      <c r="BF518" t="e">
        <f>solver_lhs560=NonLinLarge!$H$9:$H$72</f>
        <v>#NAME?</v>
      </c>
    </row>
    <row r="519" spans="58:58" x14ac:dyDescent="0.3">
      <c r="BF519" t="e">
        <f>solver_lhs561=NonLinLarge!$H$73</f>
        <v>#NAME?</v>
      </c>
    </row>
    <row r="520" spans="58:58" x14ac:dyDescent="0.3">
      <c r="BF520" t="e">
        <f>solver_lhs562=NonLinLarge!$H$74</f>
        <v>#NAME?</v>
      </c>
    </row>
    <row r="521" spans="58:58" x14ac:dyDescent="0.3">
      <c r="BF521" t="e">
        <f>solver_lhs563=NonLinLarge!$H$75:$H$138</f>
        <v>#NAME?</v>
      </c>
    </row>
    <row r="522" spans="58:58" x14ac:dyDescent="0.3">
      <c r="BF522" t="e">
        <f>solver_lhs564=NonLinLarge!$H$139</f>
        <v>#NAME?</v>
      </c>
    </row>
    <row r="523" spans="58:58" x14ac:dyDescent="0.3">
      <c r="BF523" t="e">
        <f>solver_lhs565=NonLinLarge!$H$7:$H$8</f>
        <v>#NAME?</v>
      </c>
    </row>
    <row r="524" spans="58:58" x14ac:dyDescent="0.3">
      <c r="BF524" t="e">
        <f>solver_lhs566=NonLinLarge!$H$9:$H$72</f>
        <v>#NAME?</v>
      </c>
    </row>
    <row r="525" spans="58:58" x14ac:dyDescent="0.3">
      <c r="BF525" t="e">
        <f>solver_lhs567=NonLinLarge!$H$73</f>
        <v>#NAME?</v>
      </c>
    </row>
    <row r="526" spans="58:58" x14ac:dyDescent="0.3">
      <c r="BF526" t="e">
        <f>solver_lhs568=NonLinLarge!$H$74</f>
        <v>#NAME?</v>
      </c>
    </row>
    <row r="527" spans="58:58" x14ac:dyDescent="0.3">
      <c r="BF527" t="e">
        <f>solver_lhs569=NonLinLarge!$H$75:$H$138</f>
        <v>#NAME?</v>
      </c>
    </row>
    <row r="528" spans="58:58" x14ac:dyDescent="0.3">
      <c r="BF528" t="e">
        <f>solver_lhs57=NonLinLarge!$H$73</f>
        <v>#NAME?</v>
      </c>
    </row>
    <row r="529" spans="58:58" x14ac:dyDescent="0.3">
      <c r="BF529" t="e">
        <f>solver_lhs570=NonLinLarge!$H$139</f>
        <v>#NAME?</v>
      </c>
    </row>
    <row r="530" spans="58:58" x14ac:dyDescent="0.3">
      <c r="BF530" t="e">
        <f>solver_lhs571=NonLinLarge!$H$7:$H$8</f>
        <v>#NAME?</v>
      </c>
    </row>
    <row r="531" spans="58:58" x14ac:dyDescent="0.3">
      <c r="BF531" t="e">
        <f>solver_lhs572=NonLinLarge!$H$9:$H$72</f>
        <v>#NAME?</v>
      </c>
    </row>
    <row r="532" spans="58:58" x14ac:dyDescent="0.3">
      <c r="BF532" t="e">
        <f>solver_lhs573=NonLinLarge!$H$73</f>
        <v>#NAME?</v>
      </c>
    </row>
    <row r="533" spans="58:58" x14ac:dyDescent="0.3">
      <c r="BF533" t="e">
        <f>solver_lhs574=NonLinLarge!$H$74</f>
        <v>#NAME?</v>
      </c>
    </row>
    <row r="534" spans="58:58" x14ac:dyDescent="0.3">
      <c r="BF534" t="e">
        <f>solver_lhs575=NonLinLarge!$H$75:$H$138</f>
        <v>#NAME?</v>
      </c>
    </row>
    <row r="535" spans="58:58" x14ac:dyDescent="0.3">
      <c r="BF535" t="e">
        <f>solver_lhs576=NonLinLarge!$H$139</f>
        <v>#NAME?</v>
      </c>
    </row>
    <row r="536" spans="58:58" x14ac:dyDescent="0.3">
      <c r="BF536" t="e">
        <f>solver_lhs577=NonLinLarge!$H$7:$H$8</f>
        <v>#NAME?</v>
      </c>
    </row>
    <row r="537" spans="58:58" x14ac:dyDescent="0.3">
      <c r="BF537" t="e">
        <f>solver_lhs578=NonLinLarge!$H$9:$H$72</f>
        <v>#NAME?</v>
      </c>
    </row>
    <row r="538" spans="58:58" x14ac:dyDescent="0.3">
      <c r="BF538" t="e">
        <f>solver_lhs579=NonLinLarge!$H$73</f>
        <v>#NAME?</v>
      </c>
    </row>
    <row r="539" spans="58:58" x14ac:dyDescent="0.3">
      <c r="BF539" t="e">
        <f>solver_lhs58=NonLinLarge!$H$74</f>
        <v>#NAME?</v>
      </c>
    </row>
    <row r="540" spans="58:58" x14ac:dyDescent="0.3">
      <c r="BF540" t="e">
        <f>solver_lhs580=NonLinLarge!$H$74</f>
        <v>#NAME?</v>
      </c>
    </row>
    <row r="541" spans="58:58" x14ac:dyDescent="0.3">
      <c r="BF541" t="e">
        <f>solver_lhs581=NonLinLarge!$H$75:$H$138</f>
        <v>#NAME?</v>
      </c>
    </row>
    <row r="542" spans="58:58" x14ac:dyDescent="0.3">
      <c r="BF542" t="e">
        <f>solver_lhs582=NonLinLarge!$H$139</f>
        <v>#NAME?</v>
      </c>
    </row>
    <row r="543" spans="58:58" x14ac:dyDescent="0.3">
      <c r="BF543" t="e">
        <f>solver_lhs583=NonLinLarge!$H$7:$H$8</f>
        <v>#NAME?</v>
      </c>
    </row>
    <row r="544" spans="58:58" x14ac:dyDescent="0.3">
      <c r="BF544" t="e">
        <f>solver_lhs584=NonLinLarge!$H$9:$H$72</f>
        <v>#NAME?</v>
      </c>
    </row>
    <row r="545" spans="58:58" x14ac:dyDescent="0.3">
      <c r="BF545" t="e">
        <f>solver_lhs585=NonLinLarge!$H$73</f>
        <v>#NAME?</v>
      </c>
    </row>
    <row r="546" spans="58:58" x14ac:dyDescent="0.3">
      <c r="BF546" t="e">
        <f>solver_lhs586=NonLinLarge!$H$74</f>
        <v>#NAME?</v>
      </c>
    </row>
    <row r="547" spans="58:58" x14ac:dyDescent="0.3">
      <c r="BF547" t="e">
        <f>solver_lhs587=NonLinLarge!$H$75:$H$138</f>
        <v>#NAME?</v>
      </c>
    </row>
    <row r="548" spans="58:58" x14ac:dyDescent="0.3">
      <c r="BF548" t="e">
        <f>solver_lhs588=NonLinLarge!$H$139</f>
        <v>#NAME?</v>
      </c>
    </row>
    <row r="549" spans="58:58" x14ac:dyDescent="0.3">
      <c r="BF549" t="e">
        <f>solver_lhs589=NonLinLarge!$H$7:$H$8</f>
        <v>#NAME?</v>
      </c>
    </row>
    <row r="550" spans="58:58" x14ac:dyDescent="0.3">
      <c r="BF550" t="e">
        <f>solver_lhs59=NonLinLarge!$H$75:$H$138</f>
        <v>#NAME?</v>
      </c>
    </row>
    <row r="551" spans="58:58" x14ac:dyDescent="0.3">
      <c r="BF551" t="e">
        <f>solver_lhs590=NonLinLarge!$H$9:$H$72</f>
        <v>#NAME?</v>
      </c>
    </row>
    <row r="552" spans="58:58" x14ac:dyDescent="0.3">
      <c r="BF552" t="e">
        <f>solver_lhs591=NonLinLarge!$H$73</f>
        <v>#NAME?</v>
      </c>
    </row>
    <row r="553" spans="58:58" x14ac:dyDescent="0.3">
      <c r="BF553" t="e">
        <f>solver_lhs592=NonLinLarge!$H$74</f>
        <v>#NAME?</v>
      </c>
    </row>
    <row r="554" spans="58:58" x14ac:dyDescent="0.3">
      <c r="BF554" t="e">
        <f>solver_lhs593=NonLinLarge!$H$75:$H$138</f>
        <v>#NAME?</v>
      </c>
    </row>
    <row r="555" spans="58:58" x14ac:dyDescent="0.3">
      <c r="BF555" t="e">
        <f>solver_lhs594=NonLinLarge!$H$139</f>
        <v>#NAME?</v>
      </c>
    </row>
    <row r="556" spans="58:58" x14ac:dyDescent="0.3">
      <c r="BF556" t="e">
        <f>solver_lhs595=NonLinLarge!$H$7:$H$8</f>
        <v>#NAME?</v>
      </c>
    </row>
    <row r="557" spans="58:58" x14ac:dyDescent="0.3">
      <c r="BF557" t="e">
        <f>solver_lhs596=NonLinLarge!$H$9:$H$72</f>
        <v>#NAME?</v>
      </c>
    </row>
    <row r="558" spans="58:58" x14ac:dyDescent="0.3">
      <c r="BF558" t="e">
        <f>solver_lhs597=NonLinLarge!$H$73</f>
        <v>#NAME?</v>
      </c>
    </row>
    <row r="559" spans="58:58" x14ac:dyDescent="0.3">
      <c r="BF559" t="e">
        <f>solver_lhs598=NonLinLarge!$H$74</f>
        <v>#NAME?</v>
      </c>
    </row>
    <row r="560" spans="58:58" x14ac:dyDescent="0.3">
      <c r="BF560" t="e">
        <f>solver_lhs599=NonLinLarge!$H$75:$H$138</f>
        <v>#NAME?</v>
      </c>
    </row>
    <row r="561" spans="58:58" x14ac:dyDescent="0.3">
      <c r="BF561" t="e">
        <f>solver_lhs6=NonLinLarge!$H$139</f>
        <v>#NAME?</v>
      </c>
    </row>
    <row r="562" spans="58:58" x14ac:dyDescent="0.3">
      <c r="BF562" t="e">
        <f>solver_lhs60=NonLinLarge!$H$139</f>
        <v>#NAME?</v>
      </c>
    </row>
    <row r="563" spans="58:58" x14ac:dyDescent="0.3">
      <c r="BF563" t="e">
        <f>solver_lhs600=NonLinLarge!$H$139</f>
        <v>#NAME?</v>
      </c>
    </row>
    <row r="564" spans="58:58" x14ac:dyDescent="0.3">
      <c r="BF564" t="e">
        <f>solver_lhs61=NonLinLarge!$H$7:$H$8</f>
        <v>#NAME?</v>
      </c>
    </row>
    <row r="565" spans="58:58" x14ac:dyDescent="0.3">
      <c r="BF565" t="e">
        <f>solver_lhs62=NonLinLarge!$H$9:$H$72</f>
        <v>#NAME?</v>
      </c>
    </row>
    <row r="566" spans="58:58" x14ac:dyDescent="0.3">
      <c r="BF566" t="e">
        <f>solver_lhs63=NonLinLarge!$H$73</f>
        <v>#NAME?</v>
      </c>
    </row>
    <row r="567" spans="58:58" x14ac:dyDescent="0.3">
      <c r="BF567" t="e">
        <f>solver_lhs64=NonLinLarge!$H$74</f>
        <v>#NAME?</v>
      </c>
    </row>
    <row r="568" spans="58:58" x14ac:dyDescent="0.3">
      <c r="BF568" t="e">
        <f>solver_lhs65=NonLinLarge!$H$75:$H$138</f>
        <v>#NAME?</v>
      </c>
    </row>
    <row r="569" spans="58:58" x14ac:dyDescent="0.3">
      <c r="BF569" t="e">
        <f>solver_lhs66=NonLinLarge!$H$139</f>
        <v>#NAME?</v>
      </c>
    </row>
    <row r="570" spans="58:58" x14ac:dyDescent="0.3">
      <c r="BF570" t="e">
        <f>solver_lhs67=NonLinLarge!$H$7:$H$8</f>
        <v>#NAME?</v>
      </c>
    </row>
    <row r="571" spans="58:58" x14ac:dyDescent="0.3">
      <c r="BF571" t="e">
        <f>solver_lhs68=NonLinLarge!$H$9:$H$72</f>
        <v>#NAME?</v>
      </c>
    </row>
    <row r="572" spans="58:58" x14ac:dyDescent="0.3">
      <c r="BF572" t="e">
        <f>solver_lhs69=NonLinLarge!$H$73</f>
        <v>#NAME?</v>
      </c>
    </row>
    <row r="573" spans="58:58" x14ac:dyDescent="0.3">
      <c r="BF573" t="e">
        <f>solver_lhs7=NonLinLarge!$H$7:$H$8</f>
        <v>#NAME?</v>
      </c>
    </row>
    <row r="574" spans="58:58" x14ac:dyDescent="0.3">
      <c r="BF574" t="e">
        <f>solver_lhs70=NonLinLarge!$H$74</f>
        <v>#NAME?</v>
      </c>
    </row>
    <row r="575" spans="58:58" x14ac:dyDescent="0.3">
      <c r="BF575" t="e">
        <f>solver_lhs71=NonLinLarge!$H$75:$H$138</f>
        <v>#NAME?</v>
      </c>
    </row>
    <row r="576" spans="58:58" x14ac:dyDescent="0.3">
      <c r="BF576" t="e">
        <f>solver_lhs72=NonLinLarge!$H$139</f>
        <v>#NAME?</v>
      </c>
    </row>
    <row r="577" spans="58:58" x14ac:dyDescent="0.3">
      <c r="BF577" t="e">
        <f>solver_lhs73=NonLinLarge!$H$7:$H$8</f>
        <v>#NAME?</v>
      </c>
    </row>
    <row r="578" spans="58:58" x14ac:dyDescent="0.3">
      <c r="BF578" t="e">
        <f>solver_lhs74=NonLinLarge!$H$9:$H$72</f>
        <v>#NAME?</v>
      </c>
    </row>
    <row r="579" spans="58:58" x14ac:dyDescent="0.3">
      <c r="BF579" t="e">
        <f>solver_lhs75=NonLinLarge!$H$73</f>
        <v>#NAME?</v>
      </c>
    </row>
    <row r="580" spans="58:58" x14ac:dyDescent="0.3">
      <c r="BF580" t="e">
        <f>solver_lhs76=NonLinLarge!$H$74</f>
        <v>#NAME?</v>
      </c>
    </row>
    <row r="581" spans="58:58" x14ac:dyDescent="0.3">
      <c r="BF581" t="e">
        <f>solver_lhs77=NonLinLarge!$H$75:$H$138</f>
        <v>#NAME?</v>
      </c>
    </row>
    <row r="582" spans="58:58" x14ac:dyDescent="0.3">
      <c r="BF582" t="e">
        <f>solver_lhs78=NonLinLarge!$H$139</f>
        <v>#NAME?</v>
      </c>
    </row>
    <row r="583" spans="58:58" x14ac:dyDescent="0.3">
      <c r="BF583" t="e">
        <f>solver_lhs79=NonLinLarge!$H$7:$H$8</f>
        <v>#NAME?</v>
      </c>
    </row>
    <row r="584" spans="58:58" x14ac:dyDescent="0.3">
      <c r="BF584" t="e">
        <f>solver_lhs8=NonLinLarge!$H$9:$H$72</f>
        <v>#NAME?</v>
      </c>
    </row>
    <row r="585" spans="58:58" x14ac:dyDescent="0.3">
      <c r="BF585" t="e">
        <f>solver_lhs80=NonLinLarge!$H$9:$H$72</f>
        <v>#NAME?</v>
      </c>
    </row>
    <row r="586" spans="58:58" x14ac:dyDescent="0.3">
      <c r="BF586" t="e">
        <f>solver_lhs81=NonLinLarge!$H$73</f>
        <v>#NAME?</v>
      </c>
    </row>
    <row r="587" spans="58:58" x14ac:dyDescent="0.3">
      <c r="BF587" t="e">
        <f>solver_lhs82=NonLinLarge!$H$74</f>
        <v>#NAME?</v>
      </c>
    </row>
    <row r="588" spans="58:58" x14ac:dyDescent="0.3">
      <c r="BF588" t="e">
        <f>solver_lhs83=NonLinLarge!$H$75:$H$138</f>
        <v>#NAME?</v>
      </c>
    </row>
    <row r="589" spans="58:58" x14ac:dyDescent="0.3">
      <c r="BF589" t="e">
        <f>solver_lhs84=NonLinLarge!$H$139</f>
        <v>#NAME?</v>
      </c>
    </row>
    <row r="590" spans="58:58" x14ac:dyDescent="0.3">
      <c r="BF590" t="e">
        <f>solver_lhs85=NonLinLarge!$H$7:$H$8</f>
        <v>#NAME?</v>
      </c>
    </row>
    <row r="591" spans="58:58" x14ac:dyDescent="0.3">
      <c r="BF591" t="e">
        <f>solver_lhs86=NonLinLarge!$H$9:$H$72</f>
        <v>#NAME?</v>
      </c>
    </row>
    <row r="592" spans="58:58" x14ac:dyDescent="0.3">
      <c r="BF592" t="e">
        <f>solver_lhs87=NonLinLarge!$H$73</f>
        <v>#NAME?</v>
      </c>
    </row>
    <row r="593" spans="58:58" x14ac:dyDescent="0.3">
      <c r="BF593" t="e">
        <f>solver_lhs88=NonLinLarge!$H$74</f>
        <v>#NAME?</v>
      </c>
    </row>
    <row r="594" spans="58:58" x14ac:dyDescent="0.3">
      <c r="BF594" t="e">
        <f>solver_lhs89=NonLinLarge!$H$75:$H$138</f>
        <v>#NAME?</v>
      </c>
    </row>
    <row r="595" spans="58:58" x14ac:dyDescent="0.3">
      <c r="BF595" t="e">
        <f>solver_lhs9=NonLinLarge!$H$73</f>
        <v>#NAME?</v>
      </c>
    </row>
    <row r="596" spans="58:58" x14ac:dyDescent="0.3">
      <c r="BF596" t="e">
        <f>solver_lhs90=NonLinLarge!$H$139</f>
        <v>#NAME?</v>
      </c>
    </row>
    <row r="597" spans="58:58" x14ac:dyDescent="0.3">
      <c r="BF597" t="e">
        <f>solver_lhs91=NonLinLarge!$H$7:$H$8</f>
        <v>#NAME?</v>
      </c>
    </row>
    <row r="598" spans="58:58" x14ac:dyDescent="0.3">
      <c r="BF598" t="e">
        <f>solver_lhs92=NonLinLarge!$H$9:$H$72</f>
        <v>#NAME?</v>
      </c>
    </row>
    <row r="599" spans="58:58" x14ac:dyDescent="0.3">
      <c r="BF599" t="e">
        <f>solver_lhs93=NonLinLarge!$H$73</f>
        <v>#NAME?</v>
      </c>
    </row>
    <row r="600" spans="58:58" x14ac:dyDescent="0.3">
      <c r="BF600" t="e">
        <f>solver_lhs94=NonLinLarge!$H$74</f>
        <v>#NAME?</v>
      </c>
    </row>
    <row r="601" spans="58:58" x14ac:dyDescent="0.3">
      <c r="BF601" t="e">
        <f>solver_lhs95=NonLinLarge!$H$75:$H$138</f>
        <v>#NAME?</v>
      </c>
    </row>
    <row r="602" spans="58:58" x14ac:dyDescent="0.3">
      <c r="BF602" t="e">
        <f>solver_lhs96=NonLinLarge!$H$139</f>
        <v>#NAME?</v>
      </c>
    </row>
    <row r="603" spans="58:58" x14ac:dyDescent="0.3">
      <c r="BF603" t="e">
        <f>solver_lhs97=NonLinLarge!$H$7:$H$8</f>
        <v>#NAME?</v>
      </c>
    </row>
    <row r="604" spans="58:58" x14ac:dyDescent="0.3">
      <c r="BF604" t="e">
        <f>solver_lhs98=NonLinLarge!$H$9:$H$72</f>
        <v>#NAME?</v>
      </c>
    </row>
    <row r="605" spans="58:58" x14ac:dyDescent="0.3">
      <c r="BF605" t="e">
        <f>solver_lhs99=NonLinLarge!$H$73</f>
        <v>#NAME?</v>
      </c>
    </row>
    <row r="606" spans="58:58" x14ac:dyDescent="0.3">
      <c r="BF606" t="e">
        <f>solver_neg=1</f>
        <v>#NAME?</v>
      </c>
    </row>
    <row r="607" spans="58:58" x14ac:dyDescent="0.3">
      <c r="BF607" t="e">
        <f>solver_num=600</f>
        <v>#NAME?</v>
      </c>
    </row>
    <row r="608" spans="58:58" x14ac:dyDescent="0.3">
      <c r="BF608" t="e">
        <f>solver_opt=NonLinLarge!$H$5</f>
        <v>#NAME?</v>
      </c>
    </row>
    <row r="609" spans="58:58" x14ac:dyDescent="0.3">
      <c r="BF609" t="e">
        <f>solver_rel1=1</f>
        <v>#NAME?</v>
      </c>
    </row>
    <row r="610" spans="58:58" x14ac:dyDescent="0.3">
      <c r="BF610" t="e">
        <f>solver_rel10=1</f>
        <v>#NAME?</v>
      </c>
    </row>
    <row r="611" spans="58:58" x14ac:dyDescent="0.3">
      <c r="BF611" t="e">
        <f>solver_rel100=1</f>
        <v>#NAME?</v>
      </c>
    </row>
    <row r="612" spans="58:58" x14ac:dyDescent="0.3">
      <c r="BF612" t="e">
        <f>solver_rel101=3</f>
        <v>#NAME?</v>
      </c>
    </row>
    <row r="613" spans="58:58" x14ac:dyDescent="0.3">
      <c r="BF613" t="e">
        <f>solver_rel102=2</f>
        <v>#NAME?</v>
      </c>
    </row>
    <row r="614" spans="58:58" x14ac:dyDescent="0.3">
      <c r="BF614" t="e">
        <f>solver_rel103=1</f>
        <v>#NAME?</v>
      </c>
    </row>
    <row r="615" spans="58:58" x14ac:dyDescent="0.3">
      <c r="BF615" t="e">
        <f>solver_rel104=3</f>
        <v>#NAME?</v>
      </c>
    </row>
    <row r="616" spans="58:58" x14ac:dyDescent="0.3">
      <c r="BF616" t="e">
        <f>solver_rel105=2</f>
        <v>#NAME?</v>
      </c>
    </row>
    <row r="617" spans="58:58" x14ac:dyDescent="0.3">
      <c r="BF617" t="e">
        <f>solver_rel106=1</f>
        <v>#NAME?</v>
      </c>
    </row>
    <row r="618" spans="58:58" x14ac:dyDescent="0.3">
      <c r="BF618" t="e">
        <f>solver_rel107=3</f>
        <v>#NAME?</v>
      </c>
    </row>
    <row r="619" spans="58:58" x14ac:dyDescent="0.3">
      <c r="BF619" t="e">
        <f>solver_rel108=2</f>
        <v>#NAME?</v>
      </c>
    </row>
    <row r="620" spans="58:58" x14ac:dyDescent="0.3">
      <c r="BF620" t="e">
        <f>solver_rel109=1</f>
        <v>#NAME?</v>
      </c>
    </row>
    <row r="621" spans="58:58" x14ac:dyDescent="0.3">
      <c r="BF621" t="e">
        <f>solver_rel11=3</f>
        <v>#NAME?</v>
      </c>
    </row>
    <row r="622" spans="58:58" x14ac:dyDescent="0.3">
      <c r="BF622" t="e">
        <f>solver_rel110=3</f>
        <v>#NAME?</v>
      </c>
    </row>
    <row r="623" spans="58:58" x14ac:dyDescent="0.3">
      <c r="BF623" t="e">
        <f>solver_rel111=2</f>
        <v>#NAME?</v>
      </c>
    </row>
    <row r="624" spans="58:58" x14ac:dyDescent="0.3">
      <c r="BF624" t="e">
        <f>solver_rel112=1</f>
        <v>#NAME?</v>
      </c>
    </row>
    <row r="625" spans="58:58" x14ac:dyDescent="0.3">
      <c r="BF625" t="e">
        <f>solver_rel113=3</f>
        <v>#NAME?</v>
      </c>
    </row>
    <row r="626" spans="58:58" x14ac:dyDescent="0.3">
      <c r="BF626" t="e">
        <f>solver_rel114=2</f>
        <v>#NAME?</v>
      </c>
    </row>
    <row r="627" spans="58:58" x14ac:dyDescent="0.3">
      <c r="BF627" t="e">
        <f>solver_rel115=1</f>
        <v>#NAME?</v>
      </c>
    </row>
    <row r="628" spans="58:58" x14ac:dyDescent="0.3">
      <c r="BF628" t="e">
        <f>solver_rel116=3</f>
        <v>#NAME?</v>
      </c>
    </row>
    <row r="629" spans="58:58" x14ac:dyDescent="0.3">
      <c r="BF629" t="e">
        <f>solver_rel117=2</f>
        <v>#NAME?</v>
      </c>
    </row>
    <row r="630" spans="58:58" x14ac:dyDescent="0.3">
      <c r="BF630" t="e">
        <f>solver_rel118=1</f>
        <v>#NAME?</v>
      </c>
    </row>
    <row r="631" spans="58:58" x14ac:dyDescent="0.3">
      <c r="BF631" t="e">
        <f>solver_rel119=3</f>
        <v>#NAME?</v>
      </c>
    </row>
    <row r="632" spans="58:58" x14ac:dyDescent="0.3">
      <c r="BF632" t="e">
        <f>solver_rel12=2</f>
        <v>#NAME?</v>
      </c>
    </row>
    <row r="633" spans="58:58" x14ac:dyDescent="0.3">
      <c r="BF633" t="e">
        <f>solver_rel120=2</f>
        <v>#NAME?</v>
      </c>
    </row>
    <row r="634" spans="58:58" x14ac:dyDescent="0.3">
      <c r="BF634" t="e">
        <f>solver_rel121=1</f>
        <v>#NAME?</v>
      </c>
    </row>
    <row r="635" spans="58:58" x14ac:dyDescent="0.3">
      <c r="BF635" t="e">
        <f>solver_rel122=3</f>
        <v>#NAME?</v>
      </c>
    </row>
    <row r="636" spans="58:58" x14ac:dyDescent="0.3">
      <c r="BF636" t="e">
        <f>solver_rel123=2</f>
        <v>#NAME?</v>
      </c>
    </row>
    <row r="637" spans="58:58" x14ac:dyDescent="0.3">
      <c r="BF637" t="e">
        <f>solver_rel124=1</f>
        <v>#NAME?</v>
      </c>
    </row>
    <row r="638" spans="58:58" x14ac:dyDescent="0.3">
      <c r="BF638" t="e">
        <f>solver_rel125=3</f>
        <v>#NAME?</v>
      </c>
    </row>
    <row r="639" spans="58:58" x14ac:dyDescent="0.3">
      <c r="BF639" t="e">
        <f>solver_rel126=2</f>
        <v>#NAME?</v>
      </c>
    </row>
    <row r="640" spans="58:58" x14ac:dyDescent="0.3">
      <c r="BF640" t="e">
        <f>solver_rel127=1</f>
        <v>#NAME?</v>
      </c>
    </row>
    <row r="641" spans="58:58" x14ac:dyDescent="0.3">
      <c r="BF641" t="e">
        <f>solver_rel128=3</f>
        <v>#NAME?</v>
      </c>
    </row>
    <row r="642" spans="58:58" x14ac:dyDescent="0.3">
      <c r="BF642" t="e">
        <f>solver_rel129=2</f>
        <v>#NAME?</v>
      </c>
    </row>
    <row r="643" spans="58:58" x14ac:dyDescent="0.3">
      <c r="BF643" t="e">
        <f>solver_rel13=1</f>
        <v>#NAME?</v>
      </c>
    </row>
    <row r="644" spans="58:58" x14ac:dyDescent="0.3">
      <c r="BF644" t="e">
        <f>solver_rel130=1</f>
        <v>#NAME?</v>
      </c>
    </row>
    <row r="645" spans="58:58" x14ac:dyDescent="0.3">
      <c r="BF645" t="e">
        <f>solver_rel131=3</f>
        <v>#NAME?</v>
      </c>
    </row>
    <row r="646" spans="58:58" x14ac:dyDescent="0.3">
      <c r="BF646" t="e">
        <f>solver_rel132=2</f>
        <v>#NAME?</v>
      </c>
    </row>
    <row r="647" spans="58:58" x14ac:dyDescent="0.3">
      <c r="BF647" t="e">
        <f>solver_rel133=1</f>
        <v>#NAME?</v>
      </c>
    </row>
    <row r="648" spans="58:58" x14ac:dyDescent="0.3">
      <c r="BF648" t="e">
        <f>solver_rel134=3</f>
        <v>#NAME?</v>
      </c>
    </row>
    <row r="649" spans="58:58" x14ac:dyDescent="0.3">
      <c r="BF649" t="e">
        <f>solver_rel135=2</f>
        <v>#NAME?</v>
      </c>
    </row>
    <row r="650" spans="58:58" x14ac:dyDescent="0.3">
      <c r="BF650" t="e">
        <f>solver_rel136=1</f>
        <v>#NAME?</v>
      </c>
    </row>
    <row r="651" spans="58:58" x14ac:dyDescent="0.3">
      <c r="BF651" t="e">
        <f>solver_rel137=3</f>
        <v>#NAME?</v>
      </c>
    </row>
    <row r="652" spans="58:58" x14ac:dyDescent="0.3">
      <c r="BF652" t="e">
        <f>solver_rel138=2</f>
        <v>#NAME?</v>
      </c>
    </row>
    <row r="653" spans="58:58" x14ac:dyDescent="0.3">
      <c r="BF653" t="e">
        <f>solver_rel139=1</f>
        <v>#NAME?</v>
      </c>
    </row>
    <row r="654" spans="58:58" x14ac:dyDescent="0.3">
      <c r="BF654" t="e">
        <f>solver_rel14=3</f>
        <v>#NAME?</v>
      </c>
    </row>
    <row r="655" spans="58:58" x14ac:dyDescent="0.3">
      <c r="BF655" t="e">
        <f>solver_rel140=3</f>
        <v>#NAME?</v>
      </c>
    </row>
    <row r="656" spans="58:58" x14ac:dyDescent="0.3">
      <c r="BF656" t="e">
        <f>solver_rel141=2</f>
        <v>#NAME?</v>
      </c>
    </row>
    <row r="657" spans="58:58" x14ac:dyDescent="0.3">
      <c r="BF657" t="e">
        <f>solver_rel142=1</f>
        <v>#NAME?</v>
      </c>
    </row>
    <row r="658" spans="58:58" x14ac:dyDescent="0.3">
      <c r="BF658" t="e">
        <f>solver_rel143=3</f>
        <v>#NAME?</v>
      </c>
    </row>
    <row r="659" spans="58:58" x14ac:dyDescent="0.3">
      <c r="BF659" t="e">
        <f>solver_rel144=2</f>
        <v>#NAME?</v>
      </c>
    </row>
    <row r="660" spans="58:58" x14ac:dyDescent="0.3">
      <c r="BF660" t="e">
        <f>solver_rel145=1</f>
        <v>#NAME?</v>
      </c>
    </row>
    <row r="661" spans="58:58" x14ac:dyDescent="0.3">
      <c r="BF661" t="e">
        <f>solver_rel146=3</f>
        <v>#NAME?</v>
      </c>
    </row>
    <row r="662" spans="58:58" x14ac:dyDescent="0.3">
      <c r="BF662" t="e">
        <f>solver_rel147=2</f>
        <v>#NAME?</v>
      </c>
    </row>
    <row r="663" spans="58:58" x14ac:dyDescent="0.3">
      <c r="BF663" t="e">
        <f>solver_rel148=1</f>
        <v>#NAME?</v>
      </c>
    </row>
    <row r="664" spans="58:58" x14ac:dyDescent="0.3">
      <c r="BF664" t="e">
        <f>solver_rel149=3</f>
        <v>#NAME?</v>
      </c>
    </row>
    <row r="665" spans="58:58" x14ac:dyDescent="0.3">
      <c r="BF665" t="e">
        <f>solver_rel15=2</f>
        <v>#NAME?</v>
      </c>
    </row>
    <row r="666" spans="58:58" x14ac:dyDescent="0.3">
      <c r="BF666" t="e">
        <f>solver_rel150=2</f>
        <v>#NAME?</v>
      </c>
    </row>
    <row r="667" spans="58:58" x14ac:dyDescent="0.3">
      <c r="BF667" t="e">
        <f>solver_rel151=1</f>
        <v>#NAME?</v>
      </c>
    </row>
    <row r="668" spans="58:58" x14ac:dyDescent="0.3">
      <c r="BF668" t="e">
        <f>solver_rel152=3</f>
        <v>#NAME?</v>
      </c>
    </row>
    <row r="669" spans="58:58" x14ac:dyDescent="0.3">
      <c r="BF669" t="e">
        <f>solver_rel153=2</f>
        <v>#NAME?</v>
      </c>
    </row>
    <row r="670" spans="58:58" x14ac:dyDescent="0.3">
      <c r="BF670" t="e">
        <f>solver_rel154=1</f>
        <v>#NAME?</v>
      </c>
    </row>
    <row r="671" spans="58:58" x14ac:dyDescent="0.3">
      <c r="BF671" t="e">
        <f>solver_rel155=3</f>
        <v>#NAME?</v>
      </c>
    </row>
    <row r="672" spans="58:58" x14ac:dyDescent="0.3">
      <c r="BF672" t="e">
        <f>solver_rel156=2</f>
        <v>#NAME?</v>
      </c>
    </row>
    <row r="673" spans="58:58" x14ac:dyDescent="0.3">
      <c r="BF673" t="e">
        <f>solver_rel157=1</f>
        <v>#NAME?</v>
      </c>
    </row>
    <row r="674" spans="58:58" x14ac:dyDescent="0.3">
      <c r="BF674" t="e">
        <f>solver_rel158=3</f>
        <v>#NAME?</v>
      </c>
    </row>
    <row r="675" spans="58:58" x14ac:dyDescent="0.3">
      <c r="BF675" t="e">
        <f>solver_rel159=2</f>
        <v>#NAME?</v>
      </c>
    </row>
    <row r="676" spans="58:58" x14ac:dyDescent="0.3">
      <c r="BF676" t="e">
        <f>solver_rel16=1</f>
        <v>#NAME?</v>
      </c>
    </row>
    <row r="677" spans="58:58" x14ac:dyDescent="0.3">
      <c r="BF677" t="e">
        <f>solver_rel160=1</f>
        <v>#NAME?</v>
      </c>
    </row>
    <row r="678" spans="58:58" x14ac:dyDescent="0.3">
      <c r="BF678" t="e">
        <f>solver_rel161=3</f>
        <v>#NAME?</v>
      </c>
    </row>
    <row r="679" spans="58:58" x14ac:dyDescent="0.3">
      <c r="BF679" t="e">
        <f>solver_rel162=2</f>
        <v>#NAME?</v>
      </c>
    </row>
    <row r="680" spans="58:58" x14ac:dyDescent="0.3">
      <c r="BF680" t="e">
        <f>solver_rel163=1</f>
        <v>#NAME?</v>
      </c>
    </row>
    <row r="681" spans="58:58" x14ac:dyDescent="0.3">
      <c r="BF681" t="e">
        <f>solver_rel164=3</f>
        <v>#NAME?</v>
      </c>
    </row>
    <row r="682" spans="58:58" x14ac:dyDescent="0.3">
      <c r="BF682" t="e">
        <f>solver_rel165=2</f>
        <v>#NAME?</v>
      </c>
    </row>
    <row r="683" spans="58:58" x14ac:dyDescent="0.3">
      <c r="BF683" t="e">
        <f>solver_rel166=1</f>
        <v>#NAME?</v>
      </c>
    </row>
    <row r="684" spans="58:58" x14ac:dyDescent="0.3">
      <c r="BF684" t="e">
        <f>solver_rel167=3</f>
        <v>#NAME?</v>
      </c>
    </row>
    <row r="685" spans="58:58" x14ac:dyDescent="0.3">
      <c r="BF685" t="e">
        <f>solver_rel168=2</f>
        <v>#NAME?</v>
      </c>
    </row>
    <row r="686" spans="58:58" x14ac:dyDescent="0.3">
      <c r="BF686" t="e">
        <f>solver_rel169=1</f>
        <v>#NAME?</v>
      </c>
    </row>
    <row r="687" spans="58:58" x14ac:dyDescent="0.3">
      <c r="BF687" t="e">
        <f>solver_rel17=3</f>
        <v>#NAME?</v>
      </c>
    </row>
    <row r="688" spans="58:58" x14ac:dyDescent="0.3">
      <c r="BF688" t="e">
        <f>solver_rel170=3</f>
        <v>#NAME?</v>
      </c>
    </row>
    <row r="689" spans="58:58" x14ac:dyDescent="0.3">
      <c r="BF689" t="e">
        <f>solver_rel171=2</f>
        <v>#NAME?</v>
      </c>
    </row>
    <row r="690" spans="58:58" x14ac:dyDescent="0.3">
      <c r="BF690" t="e">
        <f>solver_rel172=1</f>
        <v>#NAME?</v>
      </c>
    </row>
    <row r="691" spans="58:58" x14ac:dyDescent="0.3">
      <c r="BF691" t="e">
        <f>solver_rel173=3</f>
        <v>#NAME?</v>
      </c>
    </row>
    <row r="692" spans="58:58" x14ac:dyDescent="0.3">
      <c r="BF692" t="e">
        <f>solver_rel174=2</f>
        <v>#NAME?</v>
      </c>
    </row>
    <row r="693" spans="58:58" x14ac:dyDescent="0.3">
      <c r="BF693" t="e">
        <f>solver_rel175=1</f>
        <v>#NAME?</v>
      </c>
    </row>
    <row r="694" spans="58:58" x14ac:dyDescent="0.3">
      <c r="BF694" t="e">
        <f>solver_rel176=3</f>
        <v>#NAME?</v>
      </c>
    </row>
    <row r="695" spans="58:58" x14ac:dyDescent="0.3">
      <c r="BF695" t="e">
        <f>solver_rel177=2</f>
        <v>#NAME?</v>
      </c>
    </row>
    <row r="696" spans="58:58" x14ac:dyDescent="0.3">
      <c r="BF696" t="e">
        <f>solver_rel178=1</f>
        <v>#NAME?</v>
      </c>
    </row>
    <row r="697" spans="58:58" x14ac:dyDescent="0.3">
      <c r="BF697" t="e">
        <f>solver_rel179=3</f>
        <v>#NAME?</v>
      </c>
    </row>
    <row r="698" spans="58:58" x14ac:dyDescent="0.3">
      <c r="BF698" t="e">
        <f>solver_rel18=2</f>
        <v>#NAME?</v>
      </c>
    </row>
    <row r="699" spans="58:58" x14ac:dyDescent="0.3">
      <c r="BF699" t="e">
        <f>solver_rel180=2</f>
        <v>#NAME?</v>
      </c>
    </row>
    <row r="700" spans="58:58" x14ac:dyDescent="0.3">
      <c r="BF700" t="e">
        <f>solver_rel181=1</f>
        <v>#NAME?</v>
      </c>
    </row>
    <row r="701" spans="58:58" x14ac:dyDescent="0.3">
      <c r="BF701" t="e">
        <f>solver_rel182=3</f>
        <v>#NAME?</v>
      </c>
    </row>
    <row r="702" spans="58:58" x14ac:dyDescent="0.3">
      <c r="BF702" t="e">
        <f>solver_rel183=2</f>
        <v>#NAME?</v>
      </c>
    </row>
    <row r="703" spans="58:58" x14ac:dyDescent="0.3">
      <c r="BF703" t="e">
        <f>solver_rel184=1</f>
        <v>#NAME?</v>
      </c>
    </row>
    <row r="704" spans="58:58" x14ac:dyDescent="0.3">
      <c r="BF704" t="e">
        <f>solver_rel185=3</f>
        <v>#NAME?</v>
      </c>
    </row>
    <row r="705" spans="58:58" x14ac:dyDescent="0.3">
      <c r="BF705" t="e">
        <f>solver_rel186=2</f>
        <v>#NAME?</v>
      </c>
    </row>
    <row r="706" spans="58:58" x14ac:dyDescent="0.3">
      <c r="BF706" t="e">
        <f>solver_rel187=1</f>
        <v>#NAME?</v>
      </c>
    </row>
    <row r="707" spans="58:58" x14ac:dyDescent="0.3">
      <c r="BF707" t="e">
        <f>solver_rel188=3</f>
        <v>#NAME?</v>
      </c>
    </row>
    <row r="708" spans="58:58" x14ac:dyDescent="0.3">
      <c r="BF708" t="e">
        <f>solver_rel189=2</f>
        <v>#NAME?</v>
      </c>
    </row>
    <row r="709" spans="58:58" x14ac:dyDescent="0.3">
      <c r="BF709" t="e">
        <f>solver_rel19=1</f>
        <v>#NAME?</v>
      </c>
    </row>
    <row r="710" spans="58:58" x14ac:dyDescent="0.3">
      <c r="BF710" t="e">
        <f>solver_rel190=1</f>
        <v>#NAME?</v>
      </c>
    </row>
    <row r="711" spans="58:58" x14ac:dyDescent="0.3">
      <c r="BF711" t="e">
        <f>solver_rel191=3</f>
        <v>#NAME?</v>
      </c>
    </row>
    <row r="712" spans="58:58" x14ac:dyDescent="0.3">
      <c r="BF712" t="e">
        <f>solver_rel192=2</f>
        <v>#NAME?</v>
      </c>
    </row>
    <row r="713" spans="58:58" x14ac:dyDescent="0.3">
      <c r="BF713" t="e">
        <f>solver_rel193=1</f>
        <v>#NAME?</v>
      </c>
    </row>
    <row r="714" spans="58:58" x14ac:dyDescent="0.3">
      <c r="BF714" t="e">
        <f>solver_rel194=3</f>
        <v>#NAME?</v>
      </c>
    </row>
    <row r="715" spans="58:58" x14ac:dyDescent="0.3">
      <c r="BF715" t="e">
        <f>solver_rel195=2</f>
        <v>#NAME?</v>
      </c>
    </row>
    <row r="716" spans="58:58" x14ac:dyDescent="0.3">
      <c r="BF716" t="e">
        <f>solver_rel196=1</f>
        <v>#NAME?</v>
      </c>
    </row>
    <row r="717" spans="58:58" x14ac:dyDescent="0.3">
      <c r="BF717" t="e">
        <f>solver_rel197=3</f>
        <v>#NAME?</v>
      </c>
    </row>
    <row r="718" spans="58:58" x14ac:dyDescent="0.3">
      <c r="BF718" t="e">
        <f>solver_rel198=2</f>
        <v>#NAME?</v>
      </c>
    </row>
    <row r="719" spans="58:58" x14ac:dyDescent="0.3">
      <c r="BF719" t="e">
        <f>solver_rel199=1</f>
        <v>#NAME?</v>
      </c>
    </row>
    <row r="720" spans="58:58" x14ac:dyDescent="0.3">
      <c r="BF720" t="e">
        <f>solver_rel2=3</f>
        <v>#NAME?</v>
      </c>
    </row>
    <row r="721" spans="58:58" x14ac:dyDescent="0.3">
      <c r="BF721" t="e">
        <f>solver_rel20=3</f>
        <v>#NAME?</v>
      </c>
    </row>
    <row r="722" spans="58:58" x14ac:dyDescent="0.3">
      <c r="BF722" t="e">
        <f>solver_rel200=3</f>
        <v>#NAME?</v>
      </c>
    </row>
    <row r="723" spans="58:58" x14ac:dyDescent="0.3">
      <c r="BF723" t="e">
        <f>solver_rel201=2</f>
        <v>#NAME?</v>
      </c>
    </row>
    <row r="724" spans="58:58" x14ac:dyDescent="0.3">
      <c r="BF724" t="e">
        <f>solver_rel202=1</f>
        <v>#NAME?</v>
      </c>
    </row>
    <row r="725" spans="58:58" x14ac:dyDescent="0.3">
      <c r="BF725" t="e">
        <f>solver_rel203=3</f>
        <v>#NAME?</v>
      </c>
    </row>
    <row r="726" spans="58:58" x14ac:dyDescent="0.3">
      <c r="BF726" t="e">
        <f>solver_rel204=2</f>
        <v>#NAME?</v>
      </c>
    </row>
    <row r="727" spans="58:58" x14ac:dyDescent="0.3">
      <c r="BF727" t="e">
        <f>solver_rel205=1</f>
        <v>#NAME?</v>
      </c>
    </row>
    <row r="728" spans="58:58" x14ac:dyDescent="0.3">
      <c r="BF728" t="e">
        <f>solver_rel206=3</f>
        <v>#NAME?</v>
      </c>
    </row>
    <row r="729" spans="58:58" x14ac:dyDescent="0.3">
      <c r="BF729" t="e">
        <f>solver_rel207=2</f>
        <v>#NAME?</v>
      </c>
    </row>
    <row r="730" spans="58:58" x14ac:dyDescent="0.3">
      <c r="BF730" t="e">
        <f>solver_rel208=1</f>
        <v>#NAME?</v>
      </c>
    </row>
    <row r="731" spans="58:58" x14ac:dyDescent="0.3">
      <c r="BF731" t="e">
        <f>solver_rel209=3</f>
        <v>#NAME?</v>
      </c>
    </row>
    <row r="732" spans="58:58" x14ac:dyDescent="0.3">
      <c r="BF732" t="e">
        <f>solver_rel21=2</f>
        <v>#NAME?</v>
      </c>
    </row>
    <row r="733" spans="58:58" x14ac:dyDescent="0.3">
      <c r="BF733" t="e">
        <f>solver_rel210=2</f>
        <v>#NAME?</v>
      </c>
    </row>
    <row r="734" spans="58:58" x14ac:dyDescent="0.3">
      <c r="BF734" t="e">
        <f>solver_rel211=1</f>
        <v>#NAME?</v>
      </c>
    </row>
    <row r="735" spans="58:58" x14ac:dyDescent="0.3">
      <c r="BF735" t="e">
        <f>solver_rel212=3</f>
        <v>#NAME?</v>
      </c>
    </row>
    <row r="736" spans="58:58" x14ac:dyDescent="0.3">
      <c r="BF736" t="e">
        <f>solver_rel213=2</f>
        <v>#NAME?</v>
      </c>
    </row>
    <row r="737" spans="58:58" x14ac:dyDescent="0.3">
      <c r="BF737" t="e">
        <f>solver_rel214=1</f>
        <v>#NAME?</v>
      </c>
    </row>
    <row r="738" spans="58:58" x14ac:dyDescent="0.3">
      <c r="BF738" t="e">
        <f>solver_rel215=3</f>
        <v>#NAME?</v>
      </c>
    </row>
    <row r="739" spans="58:58" x14ac:dyDescent="0.3">
      <c r="BF739" t="e">
        <f>solver_rel216=2</f>
        <v>#NAME?</v>
      </c>
    </row>
    <row r="740" spans="58:58" x14ac:dyDescent="0.3">
      <c r="BF740" t="e">
        <f>solver_rel217=1</f>
        <v>#NAME?</v>
      </c>
    </row>
    <row r="741" spans="58:58" x14ac:dyDescent="0.3">
      <c r="BF741" t="e">
        <f>solver_rel218=3</f>
        <v>#NAME?</v>
      </c>
    </row>
    <row r="742" spans="58:58" x14ac:dyDescent="0.3">
      <c r="BF742" t="e">
        <f>solver_rel219=2</f>
        <v>#NAME?</v>
      </c>
    </row>
    <row r="743" spans="58:58" x14ac:dyDescent="0.3">
      <c r="BF743" t="e">
        <f>solver_rel22=1</f>
        <v>#NAME?</v>
      </c>
    </row>
    <row r="744" spans="58:58" x14ac:dyDescent="0.3">
      <c r="BF744" t="e">
        <f>solver_rel220=1</f>
        <v>#NAME?</v>
      </c>
    </row>
    <row r="745" spans="58:58" x14ac:dyDescent="0.3">
      <c r="BF745" t="e">
        <f>solver_rel221=3</f>
        <v>#NAME?</v>
      </c>
    </row>
    <row r="746" spans="58:58" x14ac:dyDescent="0.3">
      <c r="BF746" t="e">
        <f>solver_rel222=2</f>
        <v>#NAME?</v>
      </c>
    </row>
    <row r="747" spans="58:58" x14ac:dyDescent="0.3">
      <c r="BF747" t="e">
        <f>solver_rel223=1</f>
        <v>#NAME?</v>
      </c>
    </row>
    <row r="748" spans="58:58" x14ac:dyDescent="0.3">
      <c r="BF748" t="e">
        <f>solver_rel224=3</f>
        <v>#NAME?</v>
      </c>
    </row>
    <row r="749" spans="58:58" x14ac:dyDescent="0.3">
      <c r="BF749" t="e">
        <f>solver_rel225=2</f>
        <v>#NAME?</v>
      </c>
    </row>
    <row r="750" spans="58:58" x14ac:dyDescent="0.3">
      <c r="BF750" t="e">
        <f>solver_rel226=1</f>
        <v>#NAME?</v>
      </c>
    </row>
    <row r="751" spans="58:58" x14ac:dyDescent="0.3">
      <c r="BF751" t="e">
        <f>solver_rel227=3</f>
        <v>#NAME?</v>
      </c>
    </row>
    <row r="752" spans="58:58" x14ac:dyDescent="0.3">
      <c r="BF752" t="e">
        <f>solver_rel228=2</f>
        <v>#NAME?</v>
      </c>
    </row>
    <row r="753" spans="58:58" x14ac:dyDescent="0.3">
      <c r="BF753" t="e">
        <f>solver_rel229=1</f>
        <v>#NAME?</v>
      </c>
    </row>
    <row r="754" spans="58:58" x14ac:dyDescent="0.3">
      <c r="BF754" t="e">
        <f>solver_rel23=3</f>
        <v>#NAME?</v>
      </c>
    </row>
    <row r="755" spans="58:58" x14ac:dyDescent="0.3">
      <c r="BF755" t="e">
        <f>solver_rel230=3</f>
        <v>#NAME?</v>
      </c>
    </row>
    <row r="756" spans="58:58" x14ac:dyDescent="0.3">
      <c r="BF756" t="e">
        <f>solver_rel231=2</f>
        <v>#NAME?</v>
      </c>
    </row>
    <row r="757" spans="58:58" x14ac:dyDescent="0.3">
      <c r="BF757" t="e">
        <f>solver_rel232=1</f>
        <v>#NAME?</v>
      </c>
    </row>
    <row r="758" spans="58:58" x14ac:dyDescent="0.3">
      <c r="BF758" t="e">
        <f>solver_rel233=3</f>
        <v>#NAME?</v>
      </c>
    </row>
    <row r="759" spans="58:58" x14ac:dyDescent="0.3">
      <c r="BF759" t="e">
        <f>solver_rel234=2</f>
        <v>#NAME?</v>
      </c>
    </row>
    <row r="760" spans="58:58" x14ac:dyDescent="0.3">
      <c r="BF760" t="e">
        <f>solver_rel235=1</f>
        <v>#NAME?</v>
      </c>
    </row>
    <row r="761" spans="58:58" x14ac:dyDescent="0.3">
      <c r="BF761" t="e">
        <f>solver_rel236=3</f>
        <v>#NAME?</v>
      </c>
    </row>
    <row r="762" spans="58:58" x14ac:dyDescent="0.3">
      <c r="BF762" t="e">
        <f>solver_rel237=2</f>
        <v>#NAME?</v>
      </c>
    </row>
    <row r="763" spans="58:58" x14ac:dyDescent="0.3">
      <c r="BF763" t="e">
        <f>solver_rel238=1</f>
        <v>#NAME?</v>
      </c>
    </row>
    <row r="764" spans="58:58" x14ac:dyDescent="0.3">
      <c r="BF764" t="e">
        <f>solver_rel239=3</f>
        <v>#NAME?</v>
      </c>
    </row>
    <row r="765" spans="58:58" x14ac:dyDescent="0.3">
      <c r="BF765" t="e">
        <f>solver_rel24=2</f>
        <v>#NAME?</v>
      </c>
    </row>
    <row r="766" spans="58:58" x14ac:dyDescent="0.3">
      <c r="BF766" t="e">
        <f>solver_rel240=2</f>
        <v>#NAME?</v>
      </c>
    </row>
    <row r="767" spans="58:58" x14ac:dyDescent="0.3">
      <c r="BF767" t="e">
        <f>solver_rel241=1</f>
        <v>#NAME?</v>
      </c>
    </row>
    <row r="768" spans="58:58" x14ac:dyDescent="0.3">
      <c r="BF768" t="e">
        <f>solver_rel242=3</f>
        <v>#NAME?</v>
      </c>
    </row>
    <row r="769" spans="58:58" x14ac:dyDescent="0.3">
      <c r="BF769" t="e">
        <f>solver_rel243=2</f>
        <v>#NAME?</v>
      </c>
    </row>
    <row r="770" spans="58:58" x14ac:dyDescent="0.3">
      <c r="BF770" t="e">
        <f>solver_rel244=1</f>
        <v>#NAME?</v>
      </c>
    </row>
    <row r="771" spans="58:58" x14ac:dyDescent="0.3">
      <c r="BF771" t="e">
        <f>solver_rel245=3</f>
        <v>#NAME?</v>
      </c>
    </row>
    <row r="772" spans="58:58" x14ac:dyDescent="0.3">
      <c r="BF772" t="e">
        <f>solver_rel246=2</f>
        <v>#NAME?</v>
      </c>
    </row>
    <row r="773" spans="58:58" x14ac:dyDescent="0.3">
      <c r="BF773" t="e">
        <f>solver_rel247=1</f>
        <v>#NAME?</v>
      </c>
    </row>
    <row r="774" spans="58:58" x14ac:dyDescent="0.3">
      <c r="BF774" t="e">
        <f>solver_rel248=3</f>
        <v>#NAME?</v>
      </c>
    </row>
    <row r="775" spans="58:58" x14ac:dyDescent="0.3">
      <c r="BF775" t="e">
        <f>solver_rel249=2</f>
        <v>#NAME?</v>
      </c>
    </row>
    <row r="776" spans="58:58" x14ac:dyDescent="0.3">
      <c r="BF776" t="e">
        <f>solver_rel25=1</f>
        <v>#NAME?</v>
      </c>
    </row>
    <row r="777" spans="58:58" x14ac:dyDescent="0.3">
      <c r="BF777" t="e">
        <f>solver_rel250=1</f>
        <v>#NAME?</v>
      </c>
    </row>
    <row r="778" spans="58:58" x14ac:dyDescent="0.3">
      <c r="BF778" t="e">
        <f>solver_rel251=3</f>
        <v>#NAME?</v>
      </c>
    </row>
    <row r="779" spans="58:58" x14ac:dyDescent="0.3">
      <c r="BF779" t="e">
        <f>solver_rel252=2</f>
        <v>#NAME?</v>
      </c>
    </row>
    <row r="780" spans="58:58" x14ac:dyDescent="0.3">
      <c r="BF780" t="e">
        <f>solver_rel253=1</f>
        <v>#NAME?</v>
      </c>
    </row>
    <row r="781" spans="58:58" x14ac:dyDescent="0.3">
      <c r="BF781" t="e">
        <f>solver_rel254=3</f>
        <v>#NAME?</v>
      </c>
    </row>
    <row r="782" spans="58:58" x14ac:dyDescent="0.3">
      <c r="BF782" t="e">
        <f>solver_rel255=2</f>
        <v>#NAME?</v>
      </c>
    </row>
    <row r="783" spans="58:58" x14ac:dyDescent="0.3">
      <c r="BF783" t="e">
        <f>solver_rel256=1</f>
        <v>#NAME?</v>
      </c>
    </row>
    <row r="784" spans="58:58" x14ac:dyDescent="0.3">
      <c r="BF784" t="e">
        <f>solver_rel257=3</f>
        <v>#NAME?</v>
      </c>
    </row>
    <row r="785" spans="58:58" x14ac:dyDescent="0.3">
      <c r="BF785" t="e">
        <f>solver_rel258=2</f>
        <v>#NAME?</v>
      </c>
    </row>
    <row r="786" spans="58:58" x14ac:dyDescent="0.3">
      <c r="BF786" t="e">
        <f>solver_rel259=1</f>
        <v>#NAME?</v>
      </c>
    </row>
    <row r="787" spans="58:58" x14ac:dyDescent="0.3">
      <c r="BF787" t="e">
        <f>solver_rel26=3</f>
        <v>#NAME?</v>
      </c>
    </row>
    <row r="788" spans="58:58" x14ac:dyDescent="0.3">
      <c r="BF788" t="e">
        <f>solver_rel260=3</f>
        <v>#NAME?</v>
      </c>
    </row>
    <row r="789" spans="58:58" x14ac:dyDescent="0.3">
      <c r="BF789" t="e">
        <f>solver_rel261=2</f>
        <v>#NAME?</v>
      </c>
    </row>
    <row r="790" spans="58:58" x14ac:dyDescent="0.3">
      <c r="BF790" t="e">
        <f>solver_rel262=1</f>
        <v>#NAME?</v>
      </c>
    </row>
    <row r="791" spans="58:58" x14ac:dyDescent="0.3">
      <c r="BF791" t="e">
        <f>solver_rel263=3</f>
        <v>#NAME?</v>
      </c>
    </row>
    <row r="792" spans="58:58" x14ac:dyDescent="0.3">
      <c r="BF792" t="e">
        <f>solver_rel264=2</f>
        <v>#NAME?</v>
      </c>
    </row>
    <row r="793" spans="58:58" x14ac:dyDescent="0.3">
      <c r="BF793" t="e">
        <f>solver_rel265=1</f>
        <v>#NAME?</v>
      </c>
    </row>
    <row r="794" spans="58:58" x14ac:dyDescent="0.3">
      <c r="BF794" t="e">
        <f>solver_rel266=3</f>
        <v>#NAME?</v>
      </c>
    </row>
    <row r="795" spans="58:58" x14ac:dyDescent="0.3">
      <c r="BF795" t="e">
        <f>solver_rel267=2</f>
        <v>#NAME?</v>
      </c>
    </row>
    <row r="796" spans="58:58" x14ac:dyDescent="0.3">
      <c r="BF796" t="e">
        <f>solver_rel268=1</f>
        <v>#NAME?</v>
      </c>
    </row>
    <row r="797" spans="58:58" x14ac:dyDescent="0.3">
      <c r="BF797" t="e">
        <f>solver_rel269=3</f>
        <v>#NAME?</v>
      </c>
    </row>
    <row r="798" spans="58:58" x14ac:dyDescent="0.3">
      <c r="BF798" t="e">
        <f>solver_rel27=2</f>
        <v>#NAME?</v>
      </c>
    </row>
    <row r="799" spans="58:58" x14ac:dyDescent="0.3">
      <c r="BF799" t="e">
        <f>solver_rel270=2</f>
        <v>#NAME?</v>
      </c>
    </row>
    <row r="800" spans="58:58" x14ac:dyDescent="0.3">
      <c r="BF800" t="e">
        <f>solver_rel271=1</f>
        <v>#NAME?</v>
      </c>
    </row>
    <row r="801" spans="58:58" x14ac:dyDescent="0.3">
      <c r="BF801" t="e">
        <f>solver_rel272=3</f>
        <v>#NAME?</v>
      </c>
    </row>
    <row r="802" spans="58:58" x14ac:dyDescent="0.3">
      <c r="BF802" t="e">
        <f>solver_rel273=2</f>
        <v>#NAME?</v>
      </c>
    </row>
    <row r="803" spans="58:58" x14ac:dyDescent="0.3">
      <c r="BF803" t="e">
        <f>solver_rel274=1</f>
        <v>#NAME?</v>
      </c>
    </row>
    <row r="804" spans="58:58" x14ac:dyDescent="0.3">
      <c r="BF804" t="e">
        <f>solver_rel275=3</f>
        <v>#NAME?</v>
      </c>
    </row>
    <row r="805" spans="58:58" x14ac:dyDescent="0.3">
      <c r="BF805" t="e">
        <f>solver_rel276=2</f>
        <v>#NAME?</v>
      </c>
    </row>
    <row r="806" spans="58:58" x14ac:dyDescent="0.3">
      <c r="BF806" t="e">
        <f>solver_rel277=1</f>
        <v>#NAME?</v>
      </c>
    </row>
    <row r="807" spans="58:58" x14ac:dyDescent="0.3">
      <c r="BF807" t="e">
        <f>solver_rel278=3</f>
        <v>#NAME?</v>
      </c>
    </row>
    <row r="808" spans="58:58" x14ac:dyDescent="0.3">
      <c r="BF808" t="e">
        <f>solver_rel279=2</f>
        <v>#NAME?</v>
      </c>
    </row>
    <row r="809" spans="58:58" x14ac:dyDescent="0.3">
      <c r="BF809" t="e">
        <f>solver_rel28=1</f>
        <v>#NAME?</v>
      </c>
    </row>
    <row r="810" spans="58:58" x14ac:dyDescent="0.3">
      <c r="BF810" t="e">
        <f>solver_rel280=1</f>
        <v>#NAME?</v>
      </c>
    </row>
    <row r="811" spans="58:58" x14ac:dyDescent="0.3">
      <c r="BF811" t="e">
        <f>solver_rel281=3</f>
        <v>#NAME?</v>
      </c>
    </row>
    <row r="812" spans="58:58" x14ac:dyDescent="0.3">
      <c r="BF812" t="e">
        <f>solver_rel282=2</f>
        <v>#NAME?</v>
      </c>
    </row>
    <row r="813" spans="58:58" x14ac:dyDescent="0.3">
      <c r="BF813" t="e">
        <f>solver_rel283=1</f>
        <v>#NAME?</v>
      </c>
    </row>
    <row r="814" spans="58:58" x14ac:dyDescent="0.3">
      <c r="BF814" t="e">
        <f>solver_rel284=3</f>
        <v>#NAME?</v>
      </c>
    </row>
    <row r="815" spans="58:58" x14ac:dyDescent="0.3">
      <c r="BF815" t="e">
        <f>solver_rel285=2</f>
        <v>#NAME?</v>
      </c>
    </row>
    <row r="816" spans="58:58" x14ac:dyDescent="0.3">
      <c r="BF816" t="e">
        <f>solver_rel286=1</f>
        <v>#NAME?</v>
      </c>
    </row>
    <row r="817" spans="58:58" x14ac:dyDescent="0.3">
      <c r="BF817" t="e">
        <f>solver_rel287=3</f>
        <v>#NAME?</v>
      </c>
    </row>
    <row r="818" spans="58:58" x14ac:dyDescent="0.3">
      <c r="BF818" t="e">
        <f>solver_rel288=2</f>
        <v>#NAME?</v>
      </c>
    </row>
    <row r="819" spans="58:58" x14ac:dyDescent="0.3">
      <c r="BF819" t="e">
        <f>solver_rel289=1</f>
        <v>#NAME?</v>
      </c>
    </row>
    <row r="820" spans="58:58" x14ac:dyDescent="0.3">
      <c r="BF820" t="e">
        <f>solver_rel29=3</f>
        <v>#NAME?</v>
      </c>
    </row>
    <row r="821" spans="58:58" x14ac:dyDescent="0.3">
      <c r="BF821" t="e">
        <f>solver_rel290=3</f>
        <v>#NAME?</v>
      </c>
    </row>
    <row r="822" spans="58:58" x14ac:dyDescent="0.3">
      <c r="BF822" t="e">
        <f>solver_rel291=2</f>
        <v>#NAME?</v>
      </c>
    </row>
    <row r="823" spans="58:58" x14ac:dyDescent="0.3">
      <c r="BF823" t="e">
        <f>solver_rel292=1</f>
        <v>#NAME?</v>
      </c>
    </row>
    <row r="824" spans="58:58" x14ac:dyDescent="0.3">
      <c r="BF824" t="e">
        <f>solver_rel293=3</f>
        <v>#NAME?</v>
      </c>
    </row>
    <row r="825" spans="58:58" x14ac:dyDescent="0.3">
      <c r="BF825" t="e">
        <f>solver_rel294=2</f>
        <v>#NAME?</v>
      </c>
    </row>
    <row r="826" spans="58:58" x14ac:dyDescent="0.3">
      <c r="BF826" t="e">
        <f>solver_rel295=1</f>
        <v>#NAME?</v>
      </c>
    </row>
    <row r="827" spans="58:58" x14ac:dyDescent="0.3">
      <c r="BF827" t="e">
        <f>solver_rel296=3</f>
        <v>#NAME?</v>
      </c>
    </row>
    <row r="828" spans="58:58" x14ac:dyDescent="0.3">
      <c r="BF828" t="e">
        <f>solver_rel297=2</f>
        <v>#NAME?</v>
      </c>
    </row>
    <row r="829" spans="58:58" x14ac:dyDescent="0.3">
      <c r="BF829" t="e">
        <f>solver_rel298=1</f>
        <v>#NAME?</v>
      </c>
    </row>
    <row r="830" spans="58:58" x14ac:dyDescent="0.3">
      <c r="BF830" t="e">
        <f>solver_rel299=3</f>
        <v>#NAME?</v>
      </c>
    </row>
    <row r="831" spans="58:58" x14ac:dyDescent="0.3">
      <c r="BF831" t="e">
        <f>solver_rel3=2</f>
        <v>#NAME?</v>
      </c>
    </row>
    <row r="832" spans="58:58" x14ac:dyDescent="0.3">
      <c r="BF832" t="e">
        <f>solver_rel30=2</f>
        <v>#NAME?</v>
      </c>
    </row>
    <row r="833" spans="58:58" x14ac:dyDescent="0.3">
      <c r="BF833" t="e">
        <f>solver_rel300=2</f>
        <v>#NAME?</v>
      </c>
    </row>
    <row r="834" spans="58:58" x14ac:dyDescent="0.3">
      <c r="BF834" t="e">
        <f>solver_rel301=1</f>
        <v>#NAME?</v>
      </c>
    </row>
    <row r="835" spans="58:58" x14ac:dyDescent="0.3">
      <c r="BF835" t="e">
        <f>solver_rel302=3</f>
        <v>#NAME?</v>
      </c>
    </row>
    <row r="836" spans="58:58" x14ac:dyDescent="0.3">
      <c r="BF836" t="e">
        <f>solver_rel303=2</f>
        <v>#NAME?</v>
      </c>
    </row>
    <row r="837" spans="58:58" x14ac:dyDescent="0.3">
      <c r="BF837" t="e">
        <f>solver_rel304=1</f>
        <v>#NAME?</v>
      </c>
    </row>
    <row r="838" spans="58:58" x14ac:dyDescent="0.3">
      <c r="BF838" t="e">
        <f>solver_rel305=3</f>
        <v>#NAME?</v>
      </c>
    </row>
    <row r="839" spans="58:58" x14ac:dyDescent="0.3">
      <c r="BF839" t="e">
        <f>solver_rel306=2</f>
        <v>#NAME?</v>
      </c>
    </row>
    <row r="840" spans="58:58" x14ac:dyDescent="0.3">
      <c r="BF840" t="e">
        <f>solver_rel307=1</f>
        <v>#NAME?</v>
      </c>
    </row>
    <row r="841" spans="58:58" x14ac:dyDescent="0.3">
      <c r="BF841" t="e">
        <f>solver_rel308=3</f>
        <v>#NAME?</v>
      </c>
    </row>
    <row r="842" spans="58:58" x14ac:dyDescent="0.3">
      <c r="BF842" t="e">
        <f>solver_rel309=2</f>
        <v>#NAME?</v>
      </c>
    </row>
    <row r="843" spans="58:58" x14ac:dyDescent="0.3">
      <c r="BF843" t="e">
        <f>solver_rel31=1</f>
        <v>#NAME?</v>
      </c>
    </row>
    <row r="844" spans="58:58" x14ac:dyDescent="0.3">
      <c r="BF844" t="e">
        <f>solver_rel310=1</f>
        <v>#NAME?</v>
      </c>
    </row>
    <row r="845" spans="58:58" x14ac:dyDescent="0.3">
      <c r="BF845" t="e">
        <f>solver_rel311=3</f>
        <v>#NAME?</v>
      </c>
    </row>
    <row r="846" spans="58:58" x14ac:dyDescent="0.3">
      <c r="BF846" t="e">
        <f>solver_rel312=2</f>
        <v>#NAME?</v>
      </c>
    </row>
    <row r="847" spans="58:58" x14ac:dyDescent="0.3">
      <c r="BF847" t="e">
        <f>solver_rel313=1</f>
        <v>#NAME?</v>
      </c>
    </row>
    <row r="848" spans="58:58" x14ac:dyDescent="0.3">
      <c r="BF848" t="e">
        <f>solver_rel314=3</f>
        <v>#NAME?</v>
      </c>
    </row>
    <row r="849" spans="58:58" x14ac:dyDescent="0.3">
      <c r="BF849" t="e">
        <f>solver_rel315=2</f>
        <v>#NAME?</v>
      </c>
    </row>
    <row r="850" spans="58:58" x14ac:dyDescent="0.3">
      <c r="BF850" t="e">
        <f>solver_rel316=1</f>
        <v>#NAME?</v>
      </c>
    </row>
    <row r="851" spans="58:58" x14ac:dyDescent="0.3">
      <c r="BF851" t="e">
        <f>solver_rel317=3</f>
        <v>#NAME?</v>
      </c>
    </row>
    <row r="852" spans="58:58" x14ac:dyDescent="0.3">
      <c r="BF852" t="e">
        <f>solver_rel318=2</f>
        <v>#NAME?</v>
      </c>
    </row>
    <row r="853" spans="58:58" x14ac:dyDescent="0.3">
      <c r="BF853" t="e">
        <f>solver_rel319=1</f>
        <v>#NAME?</v>
      </c>
    </row>
    <row r="854" spans="58:58" x14ac:dyDescent="0.3">
      <c r="BF854" t="e">
        <f>solver_rel32=3</f>
        <v>#NAME?</v>
      </c>
    </row>
    <row r="855" spans="58:58" x14ac:dyDescent="0.3">
      <c r="BF855" t="e">
        <f>solver_rel320=3</f>
        <v>#NAME?</v>
      </c>
    </row>
    <row r="856" spans="58:58" x14ac:dyDescent="0.3">
      <c r="BF856" t="e">
        <f>solver_rel321=2</f>
        <v>#NAME?</v>
      </c>
    </row>
    <row r="857" spans="58:58" x14ac:dyDescent="0.3">
      <c r="BF857" t="e">
        <f>solver_rel322=1</f>
        <v>#NAME?</v>
      </c>
    </row>
    <row r="858" spans="58:58" x14ac:dyDescent="0.3">
      <c r="BF858" t="e">
        <f>solver_rel323=3</f>
        <v>#NAME?</v>
      </c>
    </row>
    <row r="859" spans="58:58" x14ac:dyDescent="0.3">
      <c r="BF859" t="e">
        <f>solver_rel324=2</f>
        <v>#NAME?</v>
      </c>
    </row>
    <row r="860" spans="58:58" x14ac:dyDescent="0.3">
      <c r="BF860" t="e">
        <f>solver_rel325=1</f>
        <v>#NAME?</v>
      </c>
    </row>
    <row r="861" spans="58:58" x14ac:dyDescent="0.3">
      <c r="BF861" t="e">
        <f>solver_rel326=3</f>
        <v>#NAME?</v>
      </c>
    </row>
    <row r="862" spans="58:58" x14ac:dyDescent="0.3">
      <c r="BF862" t="e">
        <f>solver_rel327=2</f>
        <v>#NAME?</v>
      </c>
    </row>
    <row r="863" spans="58:58" x14ac:dyDescent="0.3">
      <c r="BF863" t="e">
        <f>solver_rel328=1</f>
        <v>#NAME?</v>
      </c>
    </row>
    <row r="864" spans="58:58" x14ac:dyDescent="0.3">
      <c r="BF864" t="e">
        <f>solver_rel329=3</f>
        <v>#NAME?</v>
      </c>
    </row>
    <row r="865" spans="58:58" x14ac:dyDescent="0.3">
      <c r="BF865" t="e">
        <f>solver_rel33=2</f>
        <v>#NAME?</v>
      </c>
    </row>
    <row r="866" spans="58:58" x14ac:dyDescent="0.3">
      <c r="BF866" t="e">
        <f>solver_rel330=2</f>
        <v>#NAME?</v>
      </c>
    </row>
    <row r="867" spans="58:58" x14ac:dyDescent="0.3">
      <c r="BF867" t="e">
        <f>solver_rel331=1</f>
        <v>#NAME?</v>
      </c>
    </row>
    <row r="868" spans="58:58" x14ac:dyDescent="0.3">
      <c r="BF868" t="e">
        <f>solver_rel332=3</f>
        <v>#NAME?</v>
      </c>
    </row>
    <row r="869" spans="58:58" x14ac:dyDescent="0.3">
      <c r="BF869" t="e">
        <f>solver_rel333=2</f>
        <v>#NAME?</v>
      </c>
    </row>
    <row r="870" spans="58:58" x14ac:dyDescent="0.3">
      <c r="BF870" t="e">
        <f>solver_rel334=1</f>
        <v>#NAME?</v>
      </c>
    </row>
    <row r="871" spans="58:58" x14ac:dyDescent="0.3">
      <c r="BF871" t="e">
        <f>solver_rel335=3</f>
        <v>#NAME?</v>
      </c>
    </row>
    <row r="872" spans="58:58" x14ac:dyDescent="0.3">
      <c r="BF872" t="e">
        <f>solver_rel336=2</f>
        <v>#NAME?</v>
      </c>
    </row>
    <row r="873" spans="58:58" x14ac:dyDescent="0.3">
      <c r="BF873" t="e">
        <f>solver_rel337=1</f>
        <v>#NAME?</v>
      </c>
    </row>
    <row r="874" spans="58:58" x14ac:dyDescent="0.3">
      <c r="BF874" t="e">
        <f>solver_rel338=3</f>
        <v>#NAME?</v>
      </c>
    </row>
    <row r="875" spans="58:58" x14ac:dyDescent="0.3">
      <c r="BF875" t="e">
        <f>solver_rel339=2</f>
        <v>#NAME?</v>
      </c>
    </row>
    <row r="876" spans="58:58" x14ac:dyDescent="0.3">
      <c r="BF876" t="e">
        <f>solver_rel34=1</f>
        <v>#NAME?</v>
      </c>
    </row>
    <row r="877" spans="58:58" x14ac:dyDescent="0.3">
      <c r="BF877" t="e">
        <f>solver_rel340=1</f>
        <v>#NAME?</v>
      </c>
    </row>
    <row r="878" spans="58:58" x14ac:dyDescent="0.3">
      <c r="BF878" t="e">
        <f>solver_rel341=3</f>
        <v>#NAME?</v>
      </c>
    </row>
    <row r="879" spans="58:58" x14ac:dyDescent="0.3">
      <c r="BF879" t="e">
        <f>solver_rel342=2</f>
        <v>#NAME?</v>
      </c>
    </row>
    <row r="880" spans="58:58" x14ac:dyDescent="0.3">
      <c r="BF880" t="e">
        <f>solver_rel343=1</f>
        <v>#NAME?</v>
      </c>
    </row>
    <row r="881" spans="58:58" x14ac:dyDescent="0.3">
      <c r="BF881" t="e">
        <f>solver_rel344=3</f>
        <v>#NAME?</v>
      </c>
    </row>
    <row r="882" spans="58:58" x14ac:dyDescent="0.3">
      <c r="BF882" t="e">
        <f>solver_rel345=2</f>
        <v>#NAME?</v>
      </c>
    </row>
    <row r="883" spans="58:58" x14ac:dyDescent="0.3">
      <c r="BF883" t="e">
        <f>solver_rel346=1</f>
        <v>#NAME?</v>
      </c>
    </row>
    <row r="884" spans="58:58" x14ac:dyDescent="0.3">
      <c r="BF884" t="e">
        <f>solver_rel347=3</f>
        <v>#NAME?</v>
      </c>
    </row>
    <row r="885" spans="58:58" x14ac:dyDescent="0.3">
      <c r="BF885" t="e">
        <f>solver_rel348=2</f>
        <v>#NAME?</v>
      </c>
    </row>
    <row r="886" spans="58:58" x14ac:dyDescent="0.3">
      <c r="BF886" t="e">
        <f>solver_rel349=1</f>
        <v>#NAME?</v>
      </c>
    </row>
    <row r="887" spans="58:58" x14ac:dyDescent="0.3">
      <c r="BF887" t="e">
        <f>solver_rel35=3</f>
        <v>#NAME?</v>
      </c>
    </row>
    <row r="888" spans="58:58" x14ac:dyDescent="0.3">
      <c r="BF888" t="e">
        <f>solver_rel350=3</f>
        <v>#NAME?</v>
      </c>
    </row>
    <row r="889" spans="58:58" x14ac:dyDescent="0.3">
      <c r="BF889" t="e">
        <f>solver_rel351=2</f>
        <v>#NAME?</v>
      </c>
    </row>
    <row r="890" spans="58:58" x14ac:dyDescent="0.3">
      <c r="BF890" t="e">
        <f>solver_rel352=1</f>
        <v>#NAME?</v>
      </c>
    </row>
    <row r="891" spans="58:58" x14ac:dyDescent="0.3">
      <c r="BF891" t="e">
        <f>solver_rel353=3</f>
        <v>#NAME?</v>
      </c>
    </row>
    <row r="892" spans="58:58" x14ac:dyDescent="0.3">
      <c r="BF892" t="e">
        <f>solver_rel354=2</f>
        <v>#NAME?</v>
      </c>
    </row>
    <row r="893" spans="58:58" x14ac:dyDescent="0.3">
      <c r="BF893" t="e">
        <f>solver_rel355=1</f>
        <v>#NAME?</v>
      </c>
    </row>
    <row r="894" spans="58:58" x14ac:dyDescent="0.3">
      <c r="BF894" t="e">
        <f>solver_rel356=3</f>
        <v>#NAME?</v>
      </c>
    </row>
    <row r="895" spans="58:58" x14ac:dyDescent="0.3">
      <c r="BF895" t="e">
        <f>solver_rel357=2</f>
        <v>#NAME?</v>
      </c>
    </row>
    <row r="896" spans="58:58" x14ac:dyDescent="0.3">
      <c r="BF896" t="e">
        <f>solver_rel358=1</f>
        <v>#NAME?</v>
      </c>
    </row>
    <row r="897" spans="58:58" x14ac:dyDescent="0.3">
      <c r="BF897" t="e">
        <f>solver_rel359=3</f>
        <v>#NAME?</v>
      </c>
    </row>
    <row r="898" spans="58:58" x14ac:dyDescent="0.3">
      <c r="BF898" t="e">
        <f>solver_rel36=2</f>
        <v>#NAME?</v>
      </c>
    </row>
    <row r="899" spans="58:58" x14ac:dyDescent="0.3">
      <c r="BF899" t="e">
        <f>solver_rel360=2</f>
        <v>#NAME?</v>
      </c>
    </row>
    <row r="900" spans="58:58" x14ac:dyDescent="0.3">
      <c r="BF900" t="e">
        <f>solver_rel361=1</f>
        <v>#NAME?</v>
      </c>
    </row>
    <row r="901" spans="58:58" x14ac:dyDescent="0.3">
      <c r="BF901" t="e">
        <f>solver_rel362=3</f>
        <v>#NAME?</v>
      </c>
    </row>
    <row r="902" spans="58:58" x14ac:dyDescent="0.3">
      <c r="BF902" t="e">
        <f>solver_rel363=2</f>
        <v>#NAME?</v>
      </c>
    </row>
    <row r="903" spans="58:58" x14ac:dyDescent="0.3">
      <c r="BF903" t="e">
        <f>solver_rel364=1</f>
        <v>#NAME?</v>
      </c>
    </row>
    <row r="904" spans="58:58" x14ac:dyDescent="0.3">
      <c r="BF904" t="e">
        <f>solver_rel365=3</f>
        <v>#NAME?</v>
      </c>
    </row>
    <row r="905" spans="58:58" x14ac:dyDescent="0.3">
      <c r="BF905" t="e">
        <f>solver_rel366=2</f>
        <v>#NAME?</v>
      </c>
    </row>
    <row r="906" spans="58:58" x14ac:dyDescent="0.3">
      <c r="BF906" t="e">
        <f>solver_rel367=1</f>
        <v>#NAME?</v>
      </c>
    </row>
    <row r="907" spans="58:58" x14ac:dyDescent="0.3">
      <c r="BF907" t="e">
        <f>solver_rel368=3</f>
        <v>#NAME?</v>
      </c>
    </row>
    <row r="908" spans="58:58" x14ac:dyDescent="0.3">
      <c r="BF908" t="e">
        <f>solver_rel369=2</f>
        <v>#NAME?</v>
      </c>
    </row>
    <row r="909" spans="58:58" x14ac:dyDescent="0.3">
      <c r="BF909" t="e">
        <f>solver_rel37=1</f>
        <v>#NAME?</v>
      </c>
    </row>
    <row r="910" spans="58:58" x14ac:dyDescent="0.3">
      <c r="BF910" t="e">
        <f>solver_rel370=1</f>
        <v>#NAME?</v>
      </c>
    </row>
    <row r="911" spans="58:58" x14ac:dyDescent="0.3">
      <c r="BF911" t="e">
        <f>solver_rel371=3</f>
        <v>#NAME?</v>
      </c>
    </row>
    <row r="912" spans="58:58" x14ac:dyDescent="0.3">
      <c r="BF912" t="e">
        <f>solver_rel372=2</f>
        <v>#NAME?</v>
      </c>
    </row>
    <row r="913" spans="58:58" x14ac:dyDescent="0.3">
      <c r="BF913" t="e">
        <f>solver_rel373=1</f>
        <v>#NAME?</v>
      </c>
    </row>
    <row r="914" spans="58:58" x14ac:dyDescent="0.3">
      <c r="BF914" t="e">
        <f>solver_rel374=3</f>
        <v>#NAME?</v>
      </c>
    </row>
    <row r="915" spans="58:58" x14ac:dyDescent="0.3">
      <c r="BF915" t="e">
        <f>solver_rel375=2</f>
        <v>#NAME?</v>
      </c>
    </row>
    <row r="916" spans="58:58" x14ac:dyDescent="0.3">
      <c r="BF916" t="e">
        <f>solver_rel376=1</f>
        <v>#NAME?</v>
      </c>
    </row>
    <row r="917" spans="58:58" x14ac:dyDescent="0.3">
      <c r="BF917" t="e">
        <f>solver_rel377=3</f>
        <v>#NAME?</v>
      </c>
    </row>
    <row r="918" spans="58:58" x14ac:dyDescent="0.3">
      <c r="BF918" t="e">
        <f>solver_rel378=2</f>
        <v>#NAME?</v>
      </c>
    </row>
    <row r="919" spans="58:58" x14ac:dyDescent="0.3">
      <c r="BF919" t="e">
        <f>solver_rel379=1</f>
        <v>#NAME?</v>
      </c>
    </row>
    <row r="920" spans="58:58" x14ac:dyDescent="0.3">
      <c r="BF920" t="e">
        <f>solver_rel38=3</f>
        <v>#NAME?</v>
      </c>
    </row>
    <row r="921" spans="58:58" x14ac:dyDescent="0.3">
      <c r="BF921" t="e">
        <f>solver_rel380=3</f>
        <v>#NAME?</v>
      </c>
    </row>
    <row r="922" spans="58:58" x14ac:dyDescent="0.3">
      <c r="BF922" t="e">
        <f>solver_rel381=2</f>
        <v>#NAME?</v>
      </c>
    </row>
    <row r="923" spans="58:58" x14ac:dyDescent="0.3">
      <c r="BF923" t="e">
        <f>solver_rel382=1</f>
        <v>#NAME?</v>
      </c>
    </row>
    <row r="924" spans="58:58" x14ac:dyDescent="0.3">
      <c r="BF924" t="e">
        <f>solver_rel383=3</f>
        <v>#NAME?</v>
      </c>
    </row>
    <row r="925" spans="58:58" x14ac:dyDescent="0.3">
      <c r="BF925" t="e">
        <f>solver_rel384=2</f>
        <v>#NAME?</v>
      </c>
    </row>
    <row r="926" spans="58:58" x14ac:dyDescent="0.3">
      <c r="BF926" t="e">
        <f>solver_rel385=1</f>
        <v>#NAME?</v>
      </c>
    </row>
    <row r="927" spans="58:58" x14ac:dyDescent="0.3">
      <c r="BF927" t="e">
        <f>solver_rel386=3</f>
        <v>#NAME?</v>
      </c>
    </row>
    <row r="928" spans="58:58" x14ac:dyDescent="0.3">
      <c r="BF928" t="e">
        <f>solver_rel387=2</f>
        <v>#NAME?</v>
      </c>
    </row>
    <row r="929" spans="58:58" x14ac:dyDescent="0.3">
      <c r="BF929" t="e">
        <f>solver_rel388=1</f>
        <v>#NAME?</v>
      </c>
    </row>
    <row r="930" spans="58:58" x14ac:dyDescent="0.3">
      <c r="BF930" t="e">
        <f>solver_rel389=3</f>
        <v>#NAME?</v>
      </c>
    </row>
    <row r="931" spans="58:58" x14ac:dyDescent="0.3">
      <c r="BF931" t="e">
        <f>solver_rel39=2</f>
        <v>#NAME?</v>
      </c>
    </row>
    <row r="932" spans="58:58" x14ac:dyDescent="0.3">
      <c r="BF932" t="e">
        <f>solver_rel390=2</f>
        <v>#NAME?</v>
      </c>
    </row>
    <row r="933" spans="58:58" x14ac:dyDescent="0.3">
      <c r="BF933" t="e">
        <f>solver_rel391=1</f>
        <v>#NAME?</v>
      </c>
    </row>
    <row r="934" spans="58:58" x14ac:dyDescent="0.3">
      <c r="BF934" t="e">
        <f>solver_rel392=3</f>
        <v>#NAME?</v>
      </c>
    </row>
    <row r="935" spans="58:58" x14ac:dyDescent="0.3">
      <c r="BF935" t="e">
        <f>solver_rel393=2</f>
        <v>#NAME?</v>
      </c>
    </row>
    <row r="936" spans="58:58" x14ac:dyDescent="0.3">
      <c r="BF936" t="e">
        <f>solver_rel394=1</f>
        <v>#NAME?</v>
      </c>
    </row>
    <row r="937" spans="58:58" x14ac:dyDescent="0.3">
      <c r="BF937" t="e">
        <f>solver_rel395=3</f>
        <v>#NAME?</v>
      </c>
    </row>
    <row r="938" spans="58:58" x14ac:dyDescent="0.3">
      <c r="BF938" t="e">
        <f>solver_rel396=2</f>
        <v>#NAME?</v>
      </c>
    </row>
    <row r="939" spans="58:58" x14ac:dyDescent="0.3">
      <c r="BF939" t="e">
        <f>solver_rel397=1</f>
        <v>#NAME?</v>
      </c>
    </row>
    <row r="940" spans="58:58" x14ac:dyDescent="0.3">
      <c r="BF940" t="e">
        <f>solver_rel398=3</f>
        <v>#NAME?</v>
      </c>
    </row>
    <row r="941" spans="58:58" x14ac:dyDescent="0.3">
      <c r="BF941" t="e">
        <f>solver_rel399=2</f>
        <v>#NAME?</v>
      </c>
    </row>
    <row r="942" spans="58:58" x14ac:dyDescent="0.3">
      <c r="BF942" t="e">
        <f>solver_rel4=1</f>
        <v>#NAME?</v>
      </c>
    </row>
    <row r="943" spans="58:58" x14ac:dyDescent="0.3">
      <c r="BF943" t="e">
        <f>solver_rel40=1</f>
        <v>#NAME?</v>
      </c>
    </row>
    <row r="944" spans="58:58" x14ac:dyDescent="0.3">
      <c r="BF944" t="e">
        <f>solver_rel400=1</f>
        <v>#NAME?</v>
      </c>
    </row>
    <row r="945" spans="58:58" x14ac:dyDescent="0.3">
      <c r="BF945" t="e">
        <f>solver_rel401=3</f>
        <v>#NAME?</v>
      </c>
    </row>
    <row r="946" spans="58:58" x14ac:dyDescent="0.3">
      <c r="BF946" t="e">
        <f>solver_rel402=2</f>
        <v>#NAME?</v>
      </c>
    </row>
    <row r="947" spans="58:58" x14ac:dyDescent="0.3">
      <c r="BF947" t="e">
        <f>solver_rel403=1</f>
        <v>#NAME?</v>
      </c>
    </row>
    <row r="948" spans="58:58" x14ac:dyDescent="0.3">
      <c r="BF948" t="e">
        <f>solver_rel404=3</f>
        <v>#NAME?</v>
      </c>
    </row>
    <row r="949" spans="58:58" x14ac:dyDescent="0.3">
      <c r="BF949" t="e">
        <f>solver_rel405=2</f>
        <v>#NAME?</v>
      </c>
    </row>
    <row r="950" spans="58:58" x14ac:dyDescent="0.3">
      <c r="BF950" t="e">
        <f>solver_rel406=1</f>
        <v>#NAME?</v>
      </c>
    </row>
    <row r="951" spans="58:58" x14ac:dyDescent="0.3">
      <c r="BF951" t="e">
        <f>solver_rel407=3</f>
        <v>#NAME?</v>
      </c>
    </row>
    <row r="952" spans="58:58" x14ac:dyDescent="0.3">
      <c r="BF952" t="e">
        <f>solver_rel408=2</f>
        <v>#NAME?</v>
      </c>
    </row>
    <row r="953" spans="58:58" x14ac:dyDescent="0.3">
      <c r="BF953" t="e">
        <f>solver_rel409=1</f>
        <v>#NAME?</v>
      </c>
    </row>
    <row r="954" spans="58:58" x14ac:dyDescent="0.3">
      <c r="BF954" t="e">
        <f>solver_rel41=3</f>
        <v>#NAME?</v>
      </c>
    </row>
    <row r="955" spans="58:58" x14ac:dyDescent="0.3">
      <c r="BF955" t="e">
        <f>solver_rel410=3</f>
        <v>#NAME?</v>
      </c>
    </row>
    <row r="956" spans="58:58" x14ac:dyDescent="0.3">
      <c r="BF956" t="e">
        <f>solver_rel411=2</f>
        <v>#NAME?</v>
      </c>
    </row>
    <row r="957" spans="58:58" x14ac:dyDescent="0.3">
      <c r="BF957" t="e">
        <f>solver_rel412=1</f>
        <v>#NAME?</v>
      </c>
    </row>
    <row r="958" spans="58:58" x14ac:dyDescent="0.3">
      <c r="BF958" t="e">
        <f>solver_rel413=3</f>
        <v>#NAME?</v>
      </c>
    </row>
    <row r="959" spans="58:58" x14ac:dyDescent="0.3">
      <c r="BF959" t="e">
        <f>solver_rel414=2</f>
        <v>#NAME?</v>
      </c>
    </row>
    <row r="960" spans="58:58" x14ac:dyDescent="0.3">
      <c r="BF960" t="e">
        <f>solver_rel415=1</f>
        <v>#NAME?</v>
      </c>
    </row>
    <row r="961" spans="58:58" x14ac:dyDescent="0.3">
      <c r="BF961" t="e">
        <f>solver_rel416=3</f>
        <v>#NAME?</v>
      </c>
    </row>
    <row r="962" spans="58:58" x14ac:dyDescent="0.3">
      <c r="BF962" t="e">
        <f>solver_rel417=2</f>
        <v>#NAME?</v>
      </c>
    </row>
    <row r="963" spans="58:58" x14ac:dyDescent="0.3">
      <c r="BF963" t="e">
        <f>solver_rel418=1</f>
        <v>#NAME?</v>
      </c>
    </row>
    <row r="964" spans="58:58" x14ac:dyDescent="0.3">
      <c r="BF964" t="e">
        <f>solver_rel419=3</f>
        <v>#NAME?</v>
      </c>
    </row>
    <row r="965" spans="58:58" x14ac:dyDescent="0.3">
      <c r="BF965" t="e">
        <f>solver_rel42=2</f>
        <v>#NAME?</v>
      </c>
    </row>
    <row r="966" spans="58:58" x14ac:dyDescent="0.3">
      <c r="BF966" t="e">
        <f>solver_rel420=2</f>
        <v>#NAME?</v>
      </c>
    </row>
    <row r="967" spans="58:58" x14ac:dyDescent="0.3">
      <c r="BF967" t="e">
        <f>solver_rel421=1</f>
        <v>#NAME?</v>
      </c>
    </row>
    <row r="968" spans="58:58" x14ac:dyDescent="0.3">
      <c r="BF968" t="e">
        <f>solver_rel422=3</f>
        <v>#NAME?</v>
      </c>
    </row>
    <row r="969" spans="58:58" x14ac:dyDescent="0.3">
      <c r="BF969" t="e">
        <f>solver_rel423=2</f>
        <v>#NAME?</v>
      </c>
    </row>
    <row r="970" spans="58:58" x14ac:dyDescent="0.3">
      <c r="BF970" t="e">
        <f>solver_rel424=1</f>
        <v>#NAME?</v>
      </c>
    </row>
    <row r="971" spans="58:58" x14ac:dyDescent="0.3">
      <c r="BF971" t="e">
        <f>solver_rel425=3</f>
        <v>#NAME?</v>
      </c>
    </row>
    <row r="972" spans="58:58" x14ac:dyDescent="0.3">
      <c r="BF972" t="e">
        <f>solver_rel426=2</f>
        <v>#NAME?</v>
      </c>
    </row>
    <row r="973" spans="58:58" x14ac:dyDescent="0.3">
      <c r="BF973" t="e">
        <f>solver_rel427=1</f>
        <v>#NAME?</v>
      </c>
    </row>
    <row r="974" spans="58:58" x14ac:dyDescent="0.3">
      <c r="BF974" t="e">
        <f>solver_rel428=3</f>
        <v>#NAME?</v>
      </c>
    </row>
    <row r="975" spans="58:58" x14ac:dyDescent="0.3">
      <c r="BF975" t="e">
        <f>solver_rel429=2</f>
        <v>#NAME?</v>
      </c>
    </row>
    <row r="976" spans="58:58" x14ac:dyDescent="0.3">
      <c r="BF976" t="e">
        <f>solver_rel43=1</f>
        <v>#NAME?</v>
      </c>
    </row>
    <row r="977" spans="58:58" x14ac:dyDescent="0.3">
      <c r="BF977" t="e">
        <f>solver_rel430=1</f>
        <v>#NAME?</v>
      </c>
    </row>
    <row r="978" spans="58:58" x14ac:dyDescent="0.3">
      <c r="BF978" t="e">
        <f>solver_rel431=3</f>
        <v>#NAME?</v>
      </c>
    </row>
    <row r="979" spans="58:58" x14ac:dyDescent="0.3">
      <c r="BF979" t="e">
        <f>solver_rel432=2</f>
        <v>#NAME?</v>
      </c>
    </row>
    <row r="980" spans="58:58" x14ac:dyDescent="0.3">
      <c r="BF980" t="e">
        <f>solver_rel433=1</f>
        <v>#NAME?</v>
      </c>
    </row>
    <row r="981" spans="58:58" x14ac:dyDescent="0.3">
      <c r="BF981" t="e">
        <f>solver_rel434=3</f>
        <v>#NAME?</v>
      </c>
    </row>
    <row r="982" spans="58:58" x14ac:dyDescent="0.3">
      <c r="BF982" t="e">
        <f>solver_rel435=2</f>
        <v>#NAME?</v>
      </c>
    </row>
    <row r="983" spans="58:58" x14ac:dyDescent="0.3">
      <c r="BF983" t="e">
        <f>solver_rel436=1</f>
        <v>#NAME?</v>
      </c>
    </row>
    <row r="984" spans="58:58" x14ac:dyDescent="0.3">
      <c r="BF984" t="e">
        <f>solver_rel437=3</f>
        <v>#NAME?</v>
      </c>
    </row>
    <row r="985" spans="58:58" x14ac:dyDescent="0.3">
      <c r="BF985" t="e">
        <f>solver_rel438=2</f>
        <v>#NAME?</v>
      </c>
    </row>
    <row r="986" spans="58:58" x14ac:dyDescent="0.3">
      <c r="BF986" t="e">
        <f>solver_rel439=1</f>
        <v>#NAME?</v>
      </c>
    </row>
    <row r="987" spans="58:58" x14ac:dyDescent="0.3">
      <c r="BF987" t="e">
        <f>solver_rel44=3</f>
        <v>#NAME?</v>
      </c>
    </row>
    <row r="988" spans="58:58" x14ac:dyDescent="0.3">
      <c r="BF988" t="e">
        <f>solver_rel440=3</f>
        <v>#NAME?</v>
      </c>
    </row>
    <row r="989" spans="58:58" x14ac:dyDescent="0.3">
      <c r="BF989" t="e">
        <f>solver_rel441=2</f>
        <v>#NAME?</v>
      </c>
    </row>
    <row r="990" spans="58:58" x14ac:dyDescent="0.3">
      <c r="BF990" t="e">
        <f>solver_rel442=1</f>
        <v>#NAME?</v>
      </c>
    </row>
    <row r="991" spans="58:58" x14ac:dyDescent="0.3">
      <c r="BF991" t="e">
        <f>solver_rel443=3</f>
        <v>#NAME?</v>
      </c>
    </row>
    <row r="992" spans="58:58" x14ac:dyDescent="0.3">
      <c r="BF992" t="e">
        <f>solver_rel444=2</f>
        <v>#NAME?</v>
      </c>
    </row>
    <row r="993" spans="58:58" x14ac:dyDescent="0.3">
      <c r="BF993" t="e">
        <f>solver_rel445=1</f>
        <v>#NAME?</v>
      </c>
    </row>
    <row r="994" spans="58:58" x14ac:dyDescent="0.3">
      <c r="BF994" t="e">
        <f>solver_rel446=3</f>
        <v>#NAME?</v>
      </c>
    </row>
    <row r="995" spans="58:58" x14ac:dyDescent="0.3">
      <c r="BF995" t="e">
        <f>solver_rel447=2</f>
        <v>#NAME?</v>
      </c>
    </row>
    <row r="996" spans="58:58" x14ac:dyDescent="0.3">
      <c r="BF996" t="e">
        <f>solver_rel448=1</f>
        <v>#NAME?</v>
      </c>
    </row>
    <row r="997" spans="58:58" x14ac:dyDescent="0.3">
      <c r="BF997" t="e">
        <f>solver_rel449=3</f>
        <v>#NAME?</v>
      </c>
    </row>
    <row r="998" spans="58:58" x14ac:dyDescent="0.3">
      <c r="BF998" t="e">
        <f>solver_rel45=2</f>
        <v>#NAME?</v>
      </c>
    </row>
    <row r="999" spans="58:58" x14ac:dyDescent="0.3">
      <c r="BF999" t="e">
        <f>solver_rel450=2</f>
        <v>#NAME?</v>
      </c>
    </row>
    <row r="1000" spans="58:58" x14ac:dyDescent="0.3">
      <c r="BF1000" t="e">
        <f>solver_rel451=1</f>
        <v>#NAME?</v>
      </c>
    </row>
    <row r="1001" spans="58:58" x14ac:dyDescent="0.3">
      <c r="BF1001" t="e">
        <f>solver_rel452=3</f>
        <v>#NAME?</v>
      </c>
    </row>
    <row r="1002" spans="58:58" x14ac:dyDescent="0.3">
      <c r="BF1002" t="e">
        <f>solver_rel453=2</f>
        <v>#NAME?</v>
      </c>
    </row>
    <row r="1003" spans="58:58" x14ac:dyDescent="0.3">
      <c r="BF1003" t="e">
        <f>solver_rel454=1</f>
        <v>#NAME?</v>
      </c>
    </row>
    <row r="1004" spans="58:58" x14ac:dyDescent="0.3">
      <c r="BF1004" t="e">
        <f>solver_rel455=3</f>
        <v>#NAME?</v>
      </c>
    </row>
    <row r="1005" spans="58:58" x14ac:dyDescent="0.3">
      <c r="BF1005" t="e">
        <f>solver_rel456=2</f>
        <v>#NAME?</v>
      </c>
    </row>
    <row r="1006" spans="58:58" x14ac:dyDescent="0.3">
      <c r="BF1006" t="e">
        <f>solver_rel457=1</f>
        <v>#NAME?</v>
      </c>
    </row>
    <row r="1007" spans="58:58" x14ac:dyDescent="0.3">
      <c r="BF1007" t="e">
        <f>solver_rel458=3</f>
        <v>#NAME?</v>
      </c>
    </row>
    <row r="1008" spans="58:58" x14ac:dyDescent="0.3">
      <c r="BF1008" t="e">
        <f>solver_rel459=2</f>
        <v>#NAME?</v>
      </c>
    </row>
    <row r="1009" spans="58:58" x14ac:dyDescent="0.3">
      <c r="BF1009" t="e">
        <f>solver_rel46=1</f>
        <v>#NAME?</v>
      </c>
    </row>
    <row r="1010" spans="58:58" x14ac:dyDescent="0.3">
      <c r="BF1010" t="e">
        <f>solver_rel460=1</f>
        <v>#NAME?</v>
      </c>
    </row>
    <row r="1011" spans="58:58" x14ac:dyDescent="0.3">
      <c r="BF1011" t="e">
        <f>solver_rel461=3</f>
        <v>#NAME?</v>
      </c>
    </row>
    <row r="1012" spans="58:58" x14ac:dyDescent="0.3">
      <c r="BF1012" t="e">
        <f>solver_rel462=2</f>
        <v>#NAME?</v>
      </c>
    </row>
    <row r="1013" spans="58:58" x14ac:dyDescent="0.3">
      <c r="BF1013" t="e">
        <f>solver_rel463=1</f>
        <v>#NAME?</v>
      </c>
    </row>
    <row r="1014" spans="58:58" x14ac:dyDescent="0.3">
      <c r="BF1014" t="e">
        <f>solver_rel464=3</f>
        <v>#NAME?</v>
      </c>
    </row>
    <row r="1015" spans="58:58" x14ac:dyDescent="0.3">
      <c r="BF1015" t="e">
        <f>solver_rel465=2</f>
        <v>#NAME?</v>
      </c>
    </row>
    <row r="1016" spans="58:58" x14ac:dyDescent="0.3">
      <c r="BF1016" t="e">
        <f>solver_rel466=1</f>
        <v>#NAME?</v>
      </c>
    </row>
    <row r="1017" spans="58:58" x14ac:dyDescent="0.3">
      <c r="BF1017" t="e">
        <f>solver_rel467=3</f>
        <v>#NAME?</v>
      </c>
    </row>
    <row r="1018" spans="58:58" x14ac:dyDescent="0.3">
      <c r="BF1018" t="e">
        <f>solver_rel468=2</f>
        <v>#NAME?</v>
      </c>
    </row>
    <row r="1019" spans="58:58" x14ac:dyDescent="0.3">
      <c r="BF1019" t="e">
        <f>solver_rel469=1</f>
        <v>#NAME?</v>
      </c>
    </row>
    <row r="1020" spans="58:58" x14ac:dyDescent="0.3">
      <c r="BF1020" t="e">
        <f>solver_rel47=3</f>
        <v>#NAME?</v>
      </c>
    </row>
    <row r="1021" spans="58:58" x14ac:dyDescent="0.3">
      <c r="BF1021" t="e">
        <f>solver_rel470=3</f>
        <v>#NAME?</v>
      </c>
    </row>
    <row r="1022" spans="58:58" x14ac:dyDescent="0.3">
      <c r="BF1022" t="e">
        <f>solver_rel471=2</f>
        <v>#NAME?</v>
      </c>
    </row>
    <row r="1023" spans="58:58" x14ac:dyDescent="0.3">
      <c r="BF1023" t="e">
        <f>solver_rel472=1</f>
        <v>#NAME?</v>
      </c>
    </row>
    <row r="1024" spans="58:58" x14ac:dyDescent="0.3">
      <c r="BF1024" t="e">
        <f>solver_rel473=3</f>
        <v>#NAME?</v>
      </c>
    </row>
    <row r="1025" spans="58:58" x14ac:dyDescent="0.3">
      <c r="BF1025" t="e">
        <f>solver_rel474=2</f>
        <v>#NAME?</v>
      </c>
    </row>
    <row r="1026" spans="58:58" x14ac:dyDescent="0.3">
      <c r="BF1026" t="e">
        <f>solver_rel475=1</f>
        <v>#NAME?</v>
      </c>
    </row>
    <row r="1027" spans="58:58" x14ac:dyDescent="0.3">
      <c r="BF1027" t="e">
        <f>solver_rel476=3</f>
        <v>#NAME?</v>
      </c>
    </row>
    <row r="1028" spans="58:58" x14ac:dyDescent="0.3">
      <c r="BF1028" t="e">
        <f>solver_rel477=2</f>
        <v>#NAME?</v>
      </c>
    </row>
    <row r="1029" spans="58:58" x14ac:dyDescent="0.3">
      <c r="BF1029" t="e">
        <f>solver_rel478=1</f>
        <v>#NAME?</v>
      </c>
    </row>
    <row r="1030" spans="58:58" x14ac:dyDescent="0.3">
      <c r="BF1030" t="e">
        <f>solver_rel479=3</f>
        <v>#NAME?</v>
      </c>
    </row>
    <row r="1031" spans="58:58" x14ac:dyDescent="0.3">
      <c r="BF1031" t="e">
        <f>solver_rel48=2</f>
        <v>#NAME?</v>
      </c>
    </row>
    <row r="1032" spans="58:58" x14ac:dyDescent="0.3">
      <c r="BF1032" t="e">
        <f>solver_rel480=2</f>
        <v>#NAME?</v>
      </c>
    </row>
    <row r="1033" spans="58:58" x14ac:dyDescent="0.3">
      <c r="BF1033" t="e">
        <f>solver_rel481=1</f>
        <v>#NAME?</v>
      </c>
    </row>
    <row r="1034" spans="58:58" x14ac:dyDescent="0.3">
      <c r="BF1034" t="e">
        <f>solver_rel482=3</f>
        <v>#NAME?</v>
      </c>
    </row>
    <row r="1035" spans="58:58" x14ac:dyDescent="0.3">
      <c r="BF1035" t="e">
        <f>solver_rel483=2</f>
        <v>#NAME?</v>
      </c>
    </row>
    <row r="1036" spans="58:58" x14ac:dyDescent="0.3">
      <c r="BF1036" t="e">
        <f>solver_rel484=1</f>
        <v>#NAME?</v>
      </c>
    </row>
    <row r="1037" spans="58:58" x14ac:dyDescent="0.3">
      <c r="BF1037" t="e">
        <f>solver_rel485=3</f>
        <v>#NAME?</v>
      </c>
    </row>
    <row r="1038" spans="58:58" x14ac:dyDescent="0.3">
      <c r="BF1038" t="e">
        <f>solver_rel486=2</f>
        <v>#NAME?</v>
      </c>
    </row>
    <row r="1039" spans="58:58" x14ac:dyDescent="0.3">
      <c r="BF1039" t="e">
        <f>solver_rel487=1</f>
        <v>#NAME?</v>
      </c>
    </row>
    <row r="1040" spans="58:58" x14ac:dyDescent="0.3">
      <c r="BF1040" t="e">
        <f>solver_rel488=3</f>
        <v>#NAME?</v>
      </c>
    </row>
    <row r="1041" spans="58:58" x14ac:dyDescent="0.3">
      <c r="BF1041" t="e">
        <f>solver_rel489=2</f>
        <v>#NAME?</v>
      </c>
    </row>
    <row r="1042" spans="58:58" x14ac:dyDescent="0.3">
      <c r="BF1042" t="e">
        <f>solver_rel49=1</f>
        <v>#NAME?</v>
      </c>
    </row>
    <row r="1043" spans="58:58" x14ac:dyDescent="0.3">
      <c r="BF1043" t="e">
        <f>solver_rel490=1</f>
        <v>#NAME?</v>
      </c>
    </row>
    <row r="1044" spans="58:58" x14ac:dyDescent="0.3">
      <c r="BF1044" t="e">
        <f>solver_rel491=3</f>
        <v>#NAME?</v>
      </c>
    </row>
    <row r="1045" spans="58:58" x14ac:dyDescent="0.3">
      <c r="BF1045" t="e">
        <f>solver_rel492=2</f>
        <v>#NAME?</v>
      </c>
    </row>
    <row r="1046" spans="58:58" x14ac:dyDescent="0.3">
      <c r="BF1046" t="e">
        <f>solver_rel493=1</f>
        <v>#NAME?</v>
      </c>
    </row>
    <row r="1047" spans="58:58" x14ac:dyDescent="0.3">
      <c r="BF1047" t="e">
        <f>solver_rel494=3</f>
        <v>#NAME?</v>
      </c>
    </row>
    <row r="1048" spans="58:58" x14ac:dyDescent="0.3">
      <c r="BF1048" t="e">
        <f>solver_rel495=2</f>
        <v>#NAME?</v>
      </c>
    </row>
    <row r="1049" spans="58:58" x14ac:dyDescent="0.3">
      <c r="BF1049" t="e">
        <f>solver_rel496=1</f>
        <v>#NAME?</v>
      </c>
    </row>
    <row r="1050" spans="58:58" x14ac:dyDescent="0.3">
      <c r="BF1050" t="e">
        <f>solver_rel497=3</f>
        <v>#NAME?</v>
      </c>
    </row>
    <row r="1051" spans="58:58" x14ac:dyDescent="0.3">
      <c r="BF1051" t="e">
        <f>solver_rel498=2</f>
        <v>#NAME?</v>
      </c>
    </row>
    <row r="1052" spans="58:58" x14ac:dyDescent="0.3">
      <c r="BF1052" t="e">
        <f>solver_rel499=1</f>
        <v>#NAME?</v>
      </c>
    </row>
    <row r="1053" spans="58:58" x14ac:dyDescent="0.3">
      <c r="BF1053" t="e">
        <f>solver_rel5=3</f>
        <v>#NAME?</v>
      </c>
    </row>
    <row r="1054" spans="58:58" x14ac:dyDescent="0.3">
      <c r="BF1054" t="e">
        <f>solver_rel50=3</f>
        <v>#NAME?</v>
      </c>
    </row>
    <row r="1055" spans="58:58" x14ac:dyDescent="0.3">
      <c r="BF1055" t="e">
        <f>solver_rel500=3</f>
        <v>#NAME?</v>
      </c>
    </row>
    <row r="1056" spans="58:58" x14ac:dyDescent="0.3">
      <c r="BF1056" t="e">
        <f>solver_rel501=2</f>
        <v>#NAME?</v>
      </c>
    </row>
    <row r="1057" spans="58:58" x14ac:dyDescent="0.3">
      <c r="BF1057" t="e">
        <f>solver_rel502=1</f>
        <v>#NAME?</v>
      </c>
    </row>
    <row r="1058" spans="58:58" x14ac:dyDescent="0.3">
      <c r="BF1058" t="e">
        <f>solver_rel503=3</f>
        <v>#NAME?</v>
      </c>
    </row>
    <row r="1059" spans="58:58" x14ac:dyDescent="0.3">
      <c r="BF1059" t="e">
        <f>solver_rel504=2</f>
        <v>#NAME?</v>
      </c>
    </row>
    <row r="1060" spans="58:58" x14ac:dyDescent="0.3">
      <c r="BF1060" t="e">
        <f>solver_rel505=1</f>
        <v>#NAME?</v>
      </c>
    </row>
    <row r="1061" spans="58:58" x14ac:dyDescent="0.3">
      <c r="BF1061" t="e">
        <f>solver_rel506=3</f>
        <v>#NAME?</v>
      </c>
    </row>
    <row r="1062" spans="58:58" x14ac:dyDescent="0.3">
      <c r="BF1062" t="e">
        <f>solver_rel507=2</f>
        <v>#NAME?</v>
      </c>
    </row>
    <row r="1063" spans="58:58" x14ac:dyDescent="0.3">
      <c r="BF1063" t="e">
        <f>solver_rel508=1</f>
        <v>#NAME?</v>
      </c>
    </row>
    <row r="1064" spans="58:58" x14ac:dyDescent="0.3">
      <c r="BF1064" t="e">
        <f>solver_rel509=3</f>
        <v>#NAME?</v>
      </c>
    </row>
    <row r="1065" spans="58:58" x14ac:dyDescent="0.3">
      <c r="BF1065" t="e">
        <f>solver_rel51=2</f>
        <v>#NAME?</v>
      </c>
    </row>
    <row r="1066" spans="58:58" x14ac:dyDescent="0.3">
      <c r="BF1066" t="e">
        <f>solver_rel510=2</f>
        <v>#NAME?</v>
      </c>
    </row>
    <row r="1067" spans="58:58" x14ac:dyDescent="0.3">
      <c r="BF1067" t="e">
        <f>solver_rel511=1</f>
        <v>#NAME?</v>
      </c>
    </row>
    <row r="1068" spans="58:58" x14ac:dyDescent="0.3">
      <c r="BF1068" t="e">
        <f>solver_rel512=3</f>
        <v>#NAME?</v>
      </c>
    </row>
    <row r="1069" spans="58:58" x14ac:dyDescent="0.3">
      <c r="BF1069" t="e">
        <f>solver_rel513=2</f>
        <v>#NAME?</v>
      </c>
    </row>
    <row r="1070" spans="58:58" x14ac:dyDescent="0.3">
      <c r="BF1070" t="e">
        <f>solver_rel514=1</f>
        <v>#NAME?</v>
      </c>
    </row>
    <row r="1071" spans="58:58" x14ac:dyDescent="0.3">
      <c r="BF1071" t="e">
        <f>solver_rel515=3</f>
        <v>#NAME?</v>
      </c>
    </row>
    <row r="1072" spans="58:58" x14ac:dyDescent="0.3">
      <c r="BF1072" t="e">
        <f>solver_rel516=2</f>
        <v>#NAME?</v>
      </c>
    </row>
    <row r="1073" spans="58:58" x14ac:dyDescent="0.3">
      <c r="BF1073" t="e">
        <f>solver_rel517=1</f>
        <v>#NAME?</v>
      </c>
    </row>
    <row r="1074" spans="58:58" x14ac:dyDescent="0.3">
      <c r="BF1074" t="e">
        <f>solver_rel518=3</f>
        <v>#NAME?</v>
      </c>
    </row>
    <row r="1075" spans="58:58" x14ac:dyDescent="0.3">
      <c r="BF1075" t="e">
        <f>solver_rel519=2</f>
        <v>#NAME?</v>
      </c>
    </row>
    <row r="1076" spans="58:58" x14ac:dyDescent="0.3">
      <c r="BF1076" t="e">
        <f>solver_rel52=1</f>
        <v>#NAME?</v>
      </c>
    </row>
    <row r="1077" spans="58:58" x14ac:dyDescent="0.3">
      <c r="BF1077" t="e">
        <f>solver_rel520=1</f>
        <v>#NAME?</v>
      </c>
    </row>
    <row r="1078" spans="58:58" x14ac:dyDescent="0.3">
      <c r="BF1078" t="e">
        <f>solver_rel521=3</f>
        <v>#NAME?</v>
      </c>
    </row>
    <row r="1079" spans="58:58" x14ac:dyDescent="0.3">
      <c r="BF1079" t="e">
        <f>solver_rel522=2</f>
        <v>#NAME?</v>
      </c>
    </row>
    <row r="1080" spans="58:58" x14ac:dyDescent="0.3">
      <c r="BF1080" t="e">
        <f>solver_rel523=1</f>
        <v>#NAME?</v>
      </c>
    </row>
    <row r="1081" spans="58:58" x14ac:dyDescent="0.3">
      <c r="BF1081" t="e">
        <f>solver_rel524=3</f>
        <v>#NAME?</v>
      </c>
    </row>
    <row r="1082" spans="58:58" x14ac:dyDescent="0.3">
      <c r="BF1082" t="e">
        <f>solver_rel525=2</f>
        <v>#NAME?</v>
      </c>
    </row>
    <row r="1083" spans="58:58" x14ac:dyDescent="0.3">
      <c r="BF1083" t="e">
        <f>solver_rel526=1</f>
        <v>#NAME?</v>
      </c>
    </row>
    <row r="1084" spans="58:58" x14ac:dyDescent="0.3">
      <c r="BF1084" t="e">
        <f>solver_rel527=3</f>
        <v>#NAME?</v>
      </c>
    </row>
    <row r="1085" spans="58:58" x14ac:dyDescent="0.3">
      <c r="BF1085" t="e">
        <f>solver_rel528=2</f>
        <v>#NAME?</v>
      </c>
    </row>
    <row r="1086" spans="58:58" x14ac:dyDescent="0.3">
      <c r="BF1086" t="e">
        <f>solver_rel529=1</f>
        <v>#NAME?</v>
      </c>
    </row>
    <row r="1087" spans="58:58" x14ac:dyDescent="0.3">
      <c r="BF1087" t="e">
        <f>solver_rel53=3</f>
        <v>#NAME?</v>
      </c>
    </row>
    <row r="1088" spans="58:58" x14ac:dyDescent="0.3">
      <c r="BF1088" t="e">
        <f>solver_rel530=3</f>
        <v>#NAME?</v>
      </c>
    </row>
    <row r="1089" spans="58:58" x14ac:dyDescent="0.3">
      <c r="BF1089" t="e">
        <f>solver_rel531=2</f>
        <v>#NAME?</v>
      </c>
    </row>
    <row r="1090" spans="58:58" x14ac:dyDescent="0.3">
      <c r="BF1090" t="e">
        <f>solver_rel532=1</f>
        <v>#NAME?</v>
      </c>
    </row>
    <row r="1091" spans="58:58" x14ac:dyDescent="0.3">
      <c r="BF1091" t="e">
        <f>solver_rel533=3</f>
        <v>#NAME?</v>
      </c>
    </row>
    <row r="1092" spans="58:58" x14ac:dyDescent="0.3">
      <c r="BF1092" t="e">
        <f>solver_rel534=2</f>
        <v>#NAME?</v>
      </c>
    </row>
    <row r="1093" spans="58:58" x14ac:dyDescent="0.3">
      <c r="BF1093" t="e">
        <f>solver_rel535=1</f>
        <v>#NAME?</v>
      </c>
    </row>
    <row r="1094" spans="58:58" x14ac:dyDescent="0.3">
      <c r="BF1094" t="e">
        <f>solver_rel536=3</f>
        <v>#NAME?</v>
      </c>
    </row>
    <row r="1095" spans="58:58" x14ac:dyDescent="0.3">
      <c r="BF1095" t="e">
        <f>solver_rel537=2</f>
        <v>#NAME?</v>
      </c>
    </row>
    <row r="1096" spans="58:58" x14ac:dyDescent="0.3">
      <c r="BF1096" t="e">
        <f>solver_rel538=1</f>
        <v>#NAME?</v>
      </c>
    </row>
    <row r="1097" spans="58:58" x14ac:dyDescent="0.3">
      <c r="BF1097" t="e">
        <f>solver_rel539=3</f>
        <v>#NAME?</v>
      </c>
    </row>
    <row r="1098" spans="58:58" x14ac:dyDescent="0.3">
      <c r="BF1098" t="e">
        <f>solver_rel54=2</f>
        <v>#NAME?</v>
      </c>
    </row>
    <row r="1099" spans="58:58" x14ac:dyDescent="0.3">
      <c r="BF1099" t="e">
        <f>solver_rel540=2</f>
        <v>#NAME?</v>
      </c>
    </row>
    <row r="1100" spans="58:58" x14ac:dyDescent="0.3">
      <c r="BF1100" t="e">
        <f>solver_rel541=1</f>
        <v>#NAME?</v>
      </c>
    </row>
    <row r="1101" spans="58:58" x14ac:dyDescent="0.3">
      <c r="BF1101" t="e">
        <f>solver_rel542=3</f>
        <v>#NAME?</v>
      </c>
    </row>
    <row r="1102" spans="58:58" x14ac:dyDescent="0.3">
      <c r="BF1102" t="e">
        <f>solver_rel543=2</f>
        <v>#NAME?</v>
      </c>
    </row>
    <row r="1103" spans="58:58" x14ac:dyDescent="0.3">
      <c r="BF1103" t="e">
        <f>solver_rel544=1</f>
        <v>#NAME?</v>
      </c>
    </row>
    <row r="1104" spans="58:58" x14ac:dyDescent="0.3">
      <c r="BF1104" t="e">
        <f>solver_rel545=3</f>
        <v>#NAME?</v>
      </c>
    </row>
    <row r="1105" spans="58:58" x14ac:dyDescent="0.3">
      <c r="BF1105" t="e">
        <f>solver_rel546=2</f>
        <v>#NAME?</v>
      </c>
    </row>
    <row r="1106" spans="58:58" x14ac:dyDescent="0.3">
      <c r="BF1106" t="e">
        <f>solver_rel547=1</f>
        <v>#NAME?</v>
      </c>
    </row>
    <row r="1107" spans="58:58" x14ac:dyDescent="0.3">
      <c r="BF1107" t="e">
        <f>solver_rel548=3</f>
        <v>#NAME?</v>
      </c>
    </row>
    <row r="1108" spans="58:58" x14ac:dyDescent="0.3">
      <c r="BF1108" t="e">
        <f>solver_rel549=2</f>
        <v>#NAME?</v>
      </c>
    </row>
    <row r="1109" spans="58:58" x14ac:dyDescent="0.3">
      <c r="BF1109" t="e">
        <f>solver_rel55=1</f>
        <v>#NAME?</v>
      </c>
    </row>
    <row r="1110" spans="58:58" x14ac:dyDescent="0.3">
      <c r="BF1110" t="e">
        <f>solver_rel550=1</f>
        <v>#NAME?</v>
      </c>
    </row>
    <row r="1111" spans="58:58" x14ac:dyDescent="0.3">
      <c r="BF1111" t="e">
        <f>solver_rel551=3</f>
        <v>#NAME?</v>
      </c>
    </row>
    <row r="1112" spans="58:58" x14ac:dyDescent="0.3">
      <c r="BF1112" t="e">
        <f>solver_rel552=2</f>
        <v>#NAME?</v>
      </c>
    </row>
    <row r="1113" spans="58:58" x14ac:dyDescent="0.3">
      <c r="BF1113" t="e">
        <f>solver_rel553=1</f>
        <v>#NAME?</v>
      </c>
    </row>
    <row r="1114" spans="58:58" x14ac:dyDescent="0.3">
      <c r="BF1114" t="e">
        <f>solver_rel554=3</f>
        <v>#NAME?</v>
      </c>
    </row>
    <row r="1115" spans="58:58" x14ac:dyDescent="0.3">
      <c r="BF1115" t="e">
        <f>solver_rel555=2</f>
        <v>#NAME?</v>
      </c>
    </row>
    <row r="1116" spans="58:58" x14ac:dyDescent="0.3">
      <c r="BF1116" t="e">
        <f>solver_rel556=1</f>
        <v>#NAME?</v>
      </c>
    </row>
    <row r="1117" spans="58:58" x14ac:dyDescent="0.3">
      <c r="BF1117" t="e">
        <f>solver_rel557=3</f>
        <v>#NAME?</v>
      </c>
    </row>
    <row r="1118" spans="58:58" x14ac:dyDescent="0.3">
      <c r="BF1118" t="e">
        <f>solver_rel558=2</f>
        <v>#NAME?</v>
      </c>
    </row>
    <row r="1119" spans="58:58" x14ac:dyDescent="0.3">
      <c r="BF1119" t="e">
        <f>solver_rel559=1</f>
        <v>#NAME?</v>
      </c>
    </row>
    <row r="1120" spans="58:58" x14ac:dyDescent="0.3">
      <c r="BF1120" t="e">
        <f>solver_rel56=3</f>
        <v>#NAME?</v>
      </c>
    </row>
    <row r="1121" spans="58:58" x14ac:dyDescent="0.3">
      <c r="BF1121" t="e">
        <f>solver_rel560=3</f>
        <v>#NAME?</v>
      </c>
    </row>
    <row r="1122" spans="58:58" x14ac:dyDescent="0.3">
      <c r="BF1122" t="e">
        <f>solver_rel561=2</f>
        <v>#NAME?</v>
      </c>
    </row>
    <row r="1123" spans="58:58" x14ac:dyDescent="0.3">
      <c r="BF1123" t="e">
        <f>solver_rel562=1</f>
        <v>#NAME?</v>
      </c>
    </row>
    <row r="1124" spans="58:58" x14ac:dyDescent="0.3">
      <c r="BF1124" t="e">
        <f>solver_rel563=3</f>
        <v>#NAME?</v>
      </c>
    </row>
    <row r="1125" spans="58:58" x14ac:dyDescent="0.3">
      <c r="BF1125" t="e">
        <f>solver_rel564=2</f>
        <v>#NAME?</v>
      </c>
    </row>
    <row r="1126" spans="58:58" x14ac:dyDescent="0.3">
      <c r="BF1126" t="e">
        <f>solver_rel565=1</f>
        <v>#NAME?</v>
      </c>
    </row>
    <row r="1127" spans="58:58" x14ac:dyDescent="0.3">
      <c r="BF1127" t="e">
        <f>solver_rel566=3</f>
        <v>#NAME?</v>
      </c>
    </row>
    <row r="1128" spans="58:58" x14ac:dyDescent="0.3">
      <c r="BF1128" t="e">
        <f>solver_rel567=2</f>
        <v>#NAME?</v>
      </c>
    </row>
    <row r="1129" spans="58:58" x14ac:dyDescent="0.3">
      <c r="BF1129" t="e">
        <f>solver_rel568=1</f>
        <v>#NAME?</v>
      </c>
    </row>
    <row r="1130" spans="58:58" x14ac:dyDescent="0.3">
      <c r="BF1130" t="e">
        <f>solver_rel569=3</f>
        <v>#NAME?</v>
      </c>
    </row>
    <row r="1131" spans="58:58" x14ac:dyDescent="0.3">
      <c r="BF1131" t="e">
        <f>solver_rel57=2</f>
        <v>#NAME?</v>
      </c>
    </row>
    <row r="1132" spans="58:58" x14ac:dyDescent="0.3">
      <c r="BF1132" t="e">
        <f>solver_rel570=2</f>
        <v>#NAME?</v>
      </c>
    </row>
    <row r="1133" spans="58:58" x14ac:dyDescent="0.3">
      <c r="BF1133" t="e">
        <f>solver_rel571=1</f>
        <v>#NAME?</v>
      </c>
    </row>
    <row r="1134" spans="58:58" x14ac:dyDescent="0.3">
      <c r="BF1134" t="e">
        <f>solver_rel572=3</f>
        <v>#NAME?</v>
      </c>
    </row>
    <row r="1135" spans="58:58" x14ac:dyDescent="0.3">
      <c r="BF1135" t="e">
        <f>solver_rel573=2</f>
        <v>#NAME?</v>
      </c>
    </row>
    <row r="1136" spans="58:58" x14ac:dyDescent="0.3">
      <c r="BF1136" t="e">
        <f>solver_rel574=1</f>
        <v>#NAME?</v>
      </c>
    </row>
    <row r="1137" spans="58:58" x14ac:dyDescent="0.3">
      <c r="BF1137" t="e">
        <f>solver_rel575=3</f>
        <v>#NAME?</v>
      </c>
    </row>
    <row r="1138" spans="58:58" x14ac:dyDescent="0.3">
      <c r="BF1138" t="e">
        <f>solver_rel576=2</f>
        <v>#NAME?</v>
      </c>
    </row>
    <row r="1139" spans="58:58" x14ac:dyDescent="0.3">
      <c r="BF1139" t="e">
        <f>solver_rel577=1</f>
        <v>#NAME?</v>
      </c>
    </row>
    <row r="1140" spans="58:58" x14ac:dyDescent="0.3">
      <c r="BF1140" t="e">
        <f>solver_rel578=3</f>
        <v>#NAME?</v>
      </c>
    </row>
    <row r="1141" spans="58:58" x14ac:dyDescent="0.3">
      <c r="BF1141" t="e">
        <f>solver_rel579=2</f>
        <v>#NAME?</v>
      </c>
    </row>
    <row r="1142" spans="58:58" x14ac:dyDescent="0.3">
      <c r="BF1142" t="e">
        <f>solver_rel58=1</f>
        <v>#NAME?</v>
      </c>
    </row>
    <row r="1143" spans="58:58" x14ac:dyDescent="0.3">
      <c r="BF1143" t="e">
        <f>solver_rel580=1</f>
        <v>#NAME?</v>
      </c>
    </row>
    <row r="1144" spans="58:58" x14ac:dyDescent="0.3">
      <c r="BF1144" t="e">
        <f>solver_rel581=3</f>
        <v>#NAME?</v>
      </c>
    </row>
    <row r="1145" spans="58:58" x14ac:dyDescent="0.3">
      <c r="BF1145" t="e">
        <f>solver_rel582=2</f>
        <v>#NAME?</v>
      </c>
    </row>
    <row r="1146" spans="58:58" x14ac:dyDescent="0.3">
      <c r="BF1146" t="e">
        <f>solver_rel583=1</f>
        <v>#NAME?</v>
      </c>
    </row>
    <row r="1147" spans="58:58" x14ac:dyDescent="0.3">
      <c r="BF1147" t="e">
        <f>solver_rel584=3</f>
        <v>#NAME?</v>
      </c>
    </row>
    <row r="1148" spans="58:58" x14ac:dyDescent="0.3">
      <c r="BF1148" t="e">
        <f>solver_rel585=2</f>
        <v>#NAME?</v>
      </c>
    </row>
    <row r="1149" spans="58:58" x14ac:dyDescent="0.3">
      <c r="BF1149" t="e">
        <f>solver_rel586=1</f>
        <v>#NAME?</v>
      </c>
    </row>
    <row r="1150" spans="58:58" x14ac:dyDescent="0.3">
      <c r="BF1150" t="e">
        <f>solver_rel587=3</f>
        <v>#NAME?</v>
      </c>
    </row>
    <row r="1151" spans="58:58" x14ac:dyDescent="0.3">
      <c r="BF1151" t="e">
        <f>solver_rel588=2</f>
        <v>#NAME?</v>
      </c>
    </row>
    <row r="1152" spans="58:58" x14ac:dyDescent="0.3">
      <c r="BF1152" t="e">
        <f>solver_rel589=1</f>
        <v>#NAME?</v>
      </c>
    </row>
    <row r="1153" spans="58:58" x14ac:dyDescent="0.3">
      <c r="BF1153" t="e">
        <f>solver_rel59=3</f>
        <v>#NAME?</v>
      </c>
    </row>
    <row r="1154" spans="58:58" x14ac:dyDescent="0.3">
      <c r="BF1154" t="e">
        <f>solver_rel590=3</f>
        <v>#NAME?</v>
      </c>
    </row>
    <row r="1155" spans="58:58" x14ac:dyDescent="0.3">
      <c r="BF1155" t="e">
        <f>solver_rel591=2</f>
        <v>#NAME?</v>
      </c>
    </row>
    <row r="1156" spans="58:58" x14ac:dyDescent="0.3">
      <c r="BF1156" t="e">
        <f>solver_rel592=1</f>
        <v>#NAME?</v>
      </c>
    </row>
    <row r="1157" spans="58:58" x14ac:dyDescent="0.3">
      <c r="BF1157" t="e">
        <f>solver_rel593=3</f>
        <v>#NAME?</v>
      </c>
    </row>
    <row r="1158" spans="58:58" x14ac:dyDescent="0.3">
      <c r="BF1158" t="e">
        <f>solver_rel594=2</f>
        <v>#NAME?</v>
      </c>
    </row>
    <row r="1159" spans="58:58" x14ac:dyDescent="0.3">
      <c r="BF1159" t="e">
        <f>solver_rel595=1</f>
        <v>#NAME?</v>
      </c>
    </row>
    <row r="1160" spans="58:58" x14ac:dyDescent="0.3">
      <c r="BF1160" t="e">
        <f>solver_rel596=3</f>
        <v>#NAME?</v>
      </c>
    </row>
    <row r="1161" spans="58:58" x14ac:dyDescent="0.3">
      <c r="BF1161" t="e">
        <f>solver_rel597=2</f>
        <v>#NAME?</v>
      </c>
    </row>
    <row r="1162" spans="58:58" x14ac:dyDescent="0.3">
      <c r="BF1162" t="e">
        <f>solver_rel598=1</f>
        <v>#NAME?</v>
      </c>
    </row>
    <row r="1163" spans="58:58" x14ac:dyDescent="0.3">
      <c r="BF1163" t="e">
        <f>solver_rel599=3</f>
        <v>#NAME?</v>
      </c>
    </row>
    <row r="1164" spans="58:58" x14ac:dyDescent="0.3">
      <c r="BF1164" t="e">
        <f>solver_rel6=2</f>
        <v>#NAME?</v>
      </c>
    </row>
    <row r="1165" spans="58:58" x14ac:dyDescent="0.3">
      <c r="BF1165" t="e">
        <f>solver_rel60=2</f>
        <v>#NAME?</v>
      </c>
    </row>
    <row r="1166" spans="58:58" x14ac:dyDescent="0.3">
      <c r="BF1166" t="e">
        <f>solver_rel600=2</f>
        <v>#NAME?</v>
      </c>
    </row>
    <row r="1167" spans="58:58" x14ac:dyDescent="0.3">
      <c r="BF1167" t="e">
        <f>solver_rel61=1</f>
        <v>#NAME?</v>
      </c>
    </row>
    <row r="1168" spans="58:58" x14ac:dyDescent="0.3">
      <c r="BF1168" t="e">
        <f>solver_rel62=3</f>
        <v>#NAME?</v>
      </c>
    </row>
    <row r="1169" spans="58:58" x14ac:dyDescent="0.3">
      <c r="BF1169" t="e">
        <f>solver_rel63=2</f>
        <v>#NAME?</v>
      </c>
    </row>
    <row r="1170" spans="58:58" x14ac:dyDescent="0.3">
      <c r="BF1170" t="e">
        <f>solver_rel64=1</f>
        <v>#NAME?</v>
      </c>
    </row>
    <row r="1171" spans="58:58" x14ac:dyDescent="0.3">
      <c r="BF1171" t="e">
        <f>solver_rel65=3</f>
        <v>#NAME?</v>
      </c>
    </row>
    <row r="1172" spans="58:58" x14ac:dyDescent="0.3">
      <c r="BF1172" t="e">
        <f>solver_rel66=2</f>
        <v>#NAME?</v>
      </c>
    </row>
    <row r="1173" spans="58:58" x14ac:dyDescent="0.3">
      <c r="BF1173" t="e">
        <f>solver_rel67=1</f>
        <v>#NAME?</v>
      </c>
    </row>
    <row r="1174" spans="58:58" x14ac:dyDescent="0.3">
      <c r="BF1174" t="e">
        <f>solver_rel68=3</f>
        <v>#NAME?</v>
      </c>
    </row>
    <row r="1175" spans="58:58" x14ac:dyDescent="0.3">
      <c r="BF1175" t="e">
        <f>solver_rel69=2</f>
        <v>#NAME?</v>
      </c>
    </row>
    <row r="1176" spans="58:58" x14ac:dyDescent="0.3">
      <c r="BF1176" t="e">
        <f>solver_rel7=1</f>
        <v>#NAME?</v>
      </c>
    </row>
    <row r="1177" spans="58:58" x14ac:dyDescent="0.3">
      <c r="BF1177" t="e">
        <f>solver_rel70=1</f>
        <v>#NAME?</v>
      </c>
    </row>
    <row r="1178" spans="58:58" x14ac:dyDescent="0.3">
      <c r="BF1178" t="e">
        <f>solver_rel71=3</f>
        <v>#NAME?</v>
      </c>
    </row>
    <row r="1179" spans="58:58" x14ac:dyDescent="0.3">
      <c r="BF1179" t="e">
        <f>solver_rel72=2</f>
        <v>#NAME?</v>
      </c>
    </row>
    <row r="1180" spans="58:58" x14ac:dyDescent="0.3">
      <c r="BF1180" t="e">
        <f>solver_rel73=1</f>
        <v>#NAME?</v>
      </c>
    </row>
    <row r="1181" spans="58:58" x14ac:dyDescent="0.3">
      <c r="BF1181" t="e">
        <f>solver_rel74=3</f>
        <v>#NAME?</v>
      </c>
    </row>
    <row r="1182" spans="58:58" x14ac:dyDescent="0.3">
      <c r="BF1182" t="e">
        <f>solver_rel75=2</f>
        <v>#NAME?</v>
      </c>
    </row>
    <row r="1183" spans="58:58" x14ac:dyDescent="0.3">
      <c r="BF1183" t="e">
        <f>solver_rel76=1</f>
        <v>#NAME?</v>
      </c>
    </row>
    <row r="1184" spans="58:58" x14ac:dyDescent="0.3">
      <c r="BF1184" t="e">
        <f>solver_rel77=3</f>
        <v>#NAME?</v>
      </c>
    </row>
    <row r="1185" spans="58:58" x14ac:dyDescent="0.3">
      <c r="BF1185" t="e">
        <f>solver_rel78=2</f>
        <v>#NAME?</v>
      </c>
    </row>
    <row r="1186" spans="58:58" x14ac:dyDescent="0.3">
      <c r="BF1186" t="e">
        <f>solver_rel79=1</f>
        <v>#NAME?</v>
      </c>
    </row>
    <row r="1187" spans="58:58" x14ac:dyDescent="0.3">
      <c r="BF1187" t="e">
        <f>solver_rel8=3</f>
        <v>#NAME?</v>
      </c>
    </row>
    <row r="1188" spans="58:58" x14ac:dyDescent="0.3">
      <c r="BF1188" t="e">
        <f>solver_rel80=3</f>
        <v>#NAME?</v>
      </c>
    </row>
    <row r="1189" spans="58:58" x14ac:dyDescent="0.3">
      <c r="BF1189" t="e">
        <f>solver_rel81=2</f>
        <v>#NAME?</v>
      </c>
    </row>
    <row r="1190" spans="58:58" x14ac:dyDescent="0.3">
      <c r="BF1190" t="e">
        <f>solver_rel82=1</f>
        <v>#NAME?</v>
      </c>
    </row>
    <row r="1191" spans="58:58" x14ac:dyDescent="0.3">
      <c r="BF1191" t="e">
        <f>solver_rel83=3</f>
        <v>#NAME?</v>
      </c>
    </row>
    <row r="1192" spans="58:58" x14ac:dyDescent="0.3">
      <c r="BF1192" t="e">
        <f>solver_rel84=2</f>
        <v>#NAME?</v>
      </c>
    </row>
    <row r="1193" spans="58:58" x14ac:dyDescent="0.3">
      <c r="BF1193" t="e">
        <f>solver_rel85=1</f>
        <v>#NAME?</v>
      </c>
    </row>
    <row r="1194" spans="58:58" x14ac:dyDescent="0.3">
      <c r="BF1194" t="e">
        <f>solver_rel86=3</f>
        <v>#NAME?</v>
      </c>
    </row>
    <row r="1195" spans="58:58" x14ac:dyDescent="0.3">
      <c r="BF1195" t="e">
        <f>solver_rel87=2</f>
        <v>#NAME?</v>
      </c>
    </row>
    <row r="1196" spans="58:58" x14ac:dyDescent="0.3">
      <c r="BF1196" t="e">
        <f>solver_rel88=1</f>
        <v>#NAME?</v>
      </c>
    </row>
    <row r="1197" spans="58:58" x14ac:dyDescent="0.3">
      <c r="BF1197" t="e">
        <f>solver_rel89=3</f>
        <v>#NAME?</v>
      </c>
    </row>
    <row r="1198" spans="58:58" x14ac:dyDescent="0.3">
      <c r="BF1198" t="e">
        <f>solver_rel9=2</f>
        <v>#NAME?</v>
      </c>
    </row>
    <row r="1199" spans="58:58" x14ac:dyDescent="0.3">
      <c r="BF1199" t="e">
        <f>solver_rel90=2</f>
        <v>#NAME?</v>
      </c>
    </row>
    <row r="1200" spans="58:58" x14ac:dyDescent="0.3">
      <c r="BF1200" t="e">
        <f>solver_rel91=1</f>
        <v>#NAME?</v>
      </c>
    </row>
    <row r="1201" spans="58:58" x14ac:dyDescent="0.3">
      <c r="BF1201" t="e">
        <f>solver_rel92=3</f>
        <v>#NAME?</v>
      </c>
    </row>
    <row r="1202" spans="58:58" x14ac:dyDescent="0.3">
      <c r="BF1202" t="e">
        <f>solver_rel93=2</f>
        <v>#NAME?</v>
      </c>
    </row>
    <row r="1203" spans="58:58" x14ac:dyDescent="0.3">
      <c r="BF1203" t="e">
        <f>solver_rel94=1</f>
        <v>#NAME?</v>
      </c>
    </row>
    <row r="1204" spans="58:58" x14ac:dyDescent="0.3">
      <c r="BF1204" t="e">
        <f>solver_rel95=3</f>
        <v>#NAME?</v>
      </c>
    </row>
    <row r="1205" spans="58:58" x14ac:dyDescent="0.3">
      <c r="BF1205" t="e">
        <f>solver_rel96=2</f>
        <v>#NAME?</v>
      </c>
    </row>
    <row r="1206" spans="58:58" x14ac:dyDescent="0.3">
      <c r="BF1206" t="e">
        <f>solver_rel97=1</f>
        <v>#NAME?</v>
      </c>
    </row>
    <row r="1207" spans="58:58" x14ac:dyDescent="0.3">
      <c r="BF1207" t="e">
        <f>solver_rel98=3</f>
        <v>#NAME?</v>
      </c>
    </row>
    <row r="1208" spans="58:58" x14ac:dyDescent="0.3">
      <c r="BF1208" t="e">
        <f>solver_rel99=2</f>
        <v>#NAME?</v>
      </c>
    </row>
    <row r="1209" spans="58:58" x14ac:dyDescent="0.3">
      <c r="BF1209" t="e">
        <f>solver_rhs1=NonLinLarge!$J$7:$J$8</f>
        <v>#NAME?</v>
      </c>
    </row>
    <row r="1210" spans="58:58" x14ac:dyDescent="0.3">
      <c r="BF1210" t="e">
        <f>solver_rhs10=NonLinLarge!$J$74</f>
        <v>#NAME?</v>
      </c>
    </row>
    <row r="1211" spans="58:58" x14ac:dyDescent="0.3">
      <c r="BF1211" t="e">
        <f>solver_rhs100=NonLinLarge!$J$74</f>
        <v>#NAME?</v>
      </c>
    </row>
    <row r="1212" spans="58:58" x14ac:dyDescent="0.3">
      <c r="BF1212" t="e">
        <f>solver_rhs101=NonLinLarge!$J$75:$J$138</f>
        <v>#NAME?</v>
      </c>
    </row>
    <row r="1213" spans="58:58" x14ac:dyDescent="0.3">
      <c r="BF1213" t="e">
        <f>solver_rhs102=NonLinLarge!$J$139</f>
        <v>#NAME?</v>
      </c>
    </row>
    <row r="1214" spans="58:58" x14ac:dyDescent="0.3">
      <c r="BF1214" t="e">
        <f>solver_rhs103=NonLinLarge!$J$7:$J$8</f>
        <v>#NAME?</v>
      </c>
    </row>
    <row r="1215" spans="58:58" x14ac:dyDescent="0.3">
      <c r="BF1215" t="e">
        <f>solver_rhs104=NonLinLarge!$J$9:$J$72</f>
        <v>#NAME?</v>
      </c>
    </row>
    <row r="1216" spans="58:58" x14ac:dyDescent="0.3">
      <c r="BF1216" t="e">
        <f>solver_rhs105=NonLinLarge!$J$73</f>
        <v>#NAME?</v>
      </c>
    </row>
    <row r="1217" spans="58:58" x14ac:dyDescent="0.3">
      <c r="BF1217" t="e">
        <f>solver_rhs106=NonLinLarge!$J$74</f>
        <v>#NAME?</v>
      </c>
    </row>
    <row r="1218" spans="58:58" x14ac:dyDescent="0.3">
      <c r="BF1218" t="e">
        <f>solver_rhs107=NonLinLarge!$J$75:$J$138</f>
        <v>#NAME?</v>
      </c>
    </row>
    <row r="1219" spans="58:58" x14ac:dyDescent="0.3">
      <c r="BF1219" t="e">
        <f>solver_rhs108=NonLinLarge!$J$139</f>
        <v>#NAME?</v>
      </c>
    </row>
    <row r="1220" spans="58:58" x14ac:dyDescent="0.3">
      <c r="BF1220" t="e">
        <f>solver_rhs109=NonLinLarge!$J$7:$J$8</f>
        <v>#NAME?</v>
      </c>
    </row>
    <row r="1221" spans="58:58" x14ac:dyDescent="0.3">
      <c r="BF1221" t="e">
        <f>solver_rhs11=NonLinLarge!$J$75:$J$138</f>
        <v>#NAME?</v>
      </c>
    </row>
    <row r="1222" spans="58:58" x14ac:dyDescent="0.3">
      <c r="BF1222" t="e">
        <f>solver_rhs110=NonLinLarge!$J$9:$J$72</f>
        <v>#NAME?</v>
      </c>
    </row>
    <row r="1223" spans="58:58" x14ac:dyDescent="0.3">
      <c r="BF1223" t="e">
        <f>solver_rhs111=NonLinLarge!$J$73</f>
        <v>#NAME?</v>
      </c>
    </row>
    <row r="1224" spans="58:58" x14ac:dyDescent="0.3">
      <c r="BF1224" t="e">
        <f>solver_rhs112=NonLinLarge!$J$74</f>
        <v>#NAME?</v>
      </c>
    </row>
    <row r="1225" spans="58:58" x14ac:dyDescent="0.3">
      <c r="BF1225" t="e">
        <f>solver_rhs113=NonLinLarge!$J$75:$J$138</f>
        <v>#NAME?</v>
      </c>
    </row>
    <row r="1226" spans="58:58" x14ac:dyDescent="0.3">
      <c r="BF1226" t="e">
        <f>solver_rhs114=NonLinLarge!$J$139</f>
        <v>#NAME?</v>
      </c>
    </row>
    <row r="1227" spans="58:58" x14ac:dyDescent="0.3">
      <c r="BF1227" t="e">
        <f>solver_rhs115=NonLinLarge!$J$7:$J$8</f>
        <v>#NAME?</v>
      </c>
    </row>
    <row r="1228" spans="58:58" x14ac:dyDescent="0.3">
      <c r="BF1228" t="e">
        <f>solver_rhs116=NonLinLarge!$J$9:$J$72</f>
        <v>#NAME?</v>
      </c>
    </row>
    <row r="1229" spans="58:58" x14ac:dyDescent="0.3">
      <c r="BF1229" t="e">
        <f>solver_rhs117=NonLinLarge!$J$73</f>
        <v>#NAME?</v>
      </c>
    </row>
    <row r="1230" spans="58:58" x14ac:dyDescent="0.3">
      <c r="BF1230" t="e">
        <f>solver_rhs118=NonLinLarge!$J$74</f>
        <v>#NAME?</v>
      </c>
    </row>
    <row r="1231" spans="58:58" x14ac:dyDescent="0.3">
      <c r="BF1231" t="e">
        <f>solver_rhs119=NonLinLarge!$J$75:$J$138</f>
        <v>#NAME?</v>
      </c>
    </row>
    <row r="1232" spans="58:58" x14ac:dyDescent="0.3">
      <c r="BF1232" t="e">
        <f>solver_rhs12=NonLinLarge!$J$139</f>
        <v>#NAME?</v>
      </c>
    </row>
    <row r="1233" spans="58:58" x14ac:dyDescent="0.3">
      <c r="BF1233" t="e">
        <f>solver_rhs120=NonLinLarge!$J$139</f>
        <v>#NAME?</v>
      </c>
    </row>
    <row r="1234" spans="58:58" x14ac:dyDescent="0.3">
      <c r="BF1234" t="e">
        <f>solver_rhs121=NonLinLarge!$J$7:$J$8</f>
        <v>#NAME?</v>
      </c>
    </row>
    <row r="1235" spans="58:58" x14ac:dyDescent="0.3">
      <c r="BF1235" t="e">
        <f>solver_rhs122=NonLinLarge!$J$9:$J$72</f>
        <v>#NAME?</v>
      </c>
    </row>
    <row r="1236" spans="58:58" x14ac:dyDescent="0.3">
      <c r="BF1236" t="e">
        <f>solver_rhs123=NonLinLarge!$J$73</f>
        <v>#NAME?</v>
      </c>
    </row>
    <row r="1237" spans="58:58" x14ac:dyDescent="0.3">
      <c r="BF1237" t="e">
        <f>solver_rhs124=NonLinLarge!$J$74</f>
        <v>#NAME?</v>
      </c>
    </row>
    <row r="1238" spans="58:58" x14ac:dyDescent="0.3">
      <c r="BF1238" t="e">
        <f>solver_rhs125=NonLinLarge!$J$75:$J$138</f>
        <v>#NAME?</v>
      </c>
    </row>
    <row r="1239" spans="58:58" x14ac:dyDescent="0.3">
      <c r="BF1239" t="e">
        <f>solver_rhs126=NonLinLarge!$J$139</f>
        <v>#NAME?</v>
      </c>
    </row>
    <row r="1240" spans="58:58" x14ac:dyDescent="0.3">
      <c r="BF1240" t="e">
        <f>solver_rhs127=NonLinLarge!$J$7:$J$8</f>
        <v>#NAME?</v>
      </c>
    </row>
    <row r="1241" spans="58:58" x14ac:dyDescent="0.3">
      <c r="BF1241" t="e">
        <f>solver_rhs128=NonLinLarge!$J$9:$J$72</f>
        <v>#NAME?</v>
      </c>
    </row>
    <row r="1242" spans="58:58" x14ac:dyDescent="0.3">
      <c r="BF1242" t="e">
        <f>solver_rhs129=NonLinLarge!$J$73</f>
        <v>#NAME?</v>
      </c>
    </row>
    <row r="1243" spans="58:58" x14ac:dyDescent="0.3">
      <c r="BF1243" t="e">
        <f>solver_rhs13=NonLinLarge!$J$7:$J$8</f>
        <v>#NAME?</v>
      </c>
    </row>
    <row r="1244" spans="58:58" x14ac:dyDescent="0.3">
      <c r="BF1244" t="e">
        <f>solver_rhs130=NonLinLarge!$J$74</f>
        <v>#NAME?</v>
      </c>
    </row>
    <row r="1245" spans="58:58" x14ac:dyDescent="0.3">
      <c r="BF1245" t="e">
        <f>solver_rhs131=NonLinLarge!$J$75:$J$138</f>
        <v>#NAME?</v>
      </c>
    </row>
    <row r="1246" spans="58:58" x14ac:dyDescent="0.3">
      <c r="BF1246" t="e">
        <f>solver_rhs132=NonLinLarge!$J$139</f>
        <v>#NAME?</v>
      </c>
    </row>
    <row r="1247" spans="58:58" x14ac:dyDescent="0.3">
      <c r="BF1247" t="e">
        <f>solver_rhs133=NonLinLarge!$J$7:$J$8</f>
        <v>#NAME?</v>
      </c>
    </row>
    <row r="1248" spans="58:58" x14ac:dyDescent="0.3">
      <c r="BF1248" t="e">
        <f>solver_rhs134=NonLinLarge!$J$9:$J$72</f>
        <v>#NAME?</v>
      </c>
    </row>
    <row r="1249" spans="58:58" x14ac:dyDescent="0.3">
      <c r="BF1249" t="e">
        <f>solver_rhs135=NonLinLarge!$J$73</f>
        <v>#NAME?</v>
      </c>
    </row>
    <row r="1250" spans="58:58" x14ac:dyDescent="0.3">
      <c r="BF1250" t="e">
        <f>solver_rhs136=NonLinLarge!$J$74</f>
        <v>#NAME?</v>
      </c>
    </row>
    <row r="1251" spans="58:58" x14ac:dyDescent="0.3">
      <c r="BF1251" t="e">
        <f>solver_rhs137=NonLinLarge!$J$75:$J$138</f>
        <v>#NAME?</v>
      </c>
    </row>
    <row r="1252" spans="58:58" x14ac:dyDescent="0.3">
      <c r="BF1252" t="e">
        <f>solver_rhs138=NonLinLarge!$J$139</f>
        <v>#NAME?</v>
      </c>
    </row>
    <row r="1253" spans="58:58" x14ac:dyDescent="0.3">
      <c r="BF1253" t="e">
        <f>solver_rhs139=NonLinLarge!$J$7:$J$8</f>
        <v>#NAME?</v>
      </c>
    </row>
    <row r="1254" spans="58:58" x14ac:dyDescent="0.3">
      <c r="BF1254" t="e">
        <f>solver_rhs14=NonLinLarge!$J$9:$J$72</f>
        <v>#NAME?</v>
      </c>
    </row>
    <row r="1255" spans="58:58" x14ac:dyDescent="0.3">
      <c r="BF1255" t="e">
        <f>solver_rhs140=NonLinLarge!$J$9:$J$72</f>
        <v>#NAME?</v>
      </c>
    </row>
    <row r="1256" spans="58:58" x14ac:dyDescent="0.3">
      <c r="BF1256" t="e">
        <f>solver_rhs141=NonLinLarge!$J$73</f>
        <v>#NAME?</v>
      </c>
    </row>
    <row r="1257" spans="58:58" x14ac:dyDescent="0.3">
      <c r="BF1257" t="e">
        <f>solver_rhs142=NonLinLarge!$J$74</f>
        <v>#NAME?</v>
      </c>
    </row>
    <row r="1258" spans="58:58" x14ac:dyDescent="0.3">
      <c r="BF1258" t="e">
        <f>solver_rhs143=NonLinLarge!$J$75:$J$138</f>
        <v>#NAME?</v>
      </c>
    </row>
    <row r="1259" spans="58:58" x14ac:dyDescent="0.3">
      <c r="BF1259" t="e">
        <f>solver_rhs144=NonLinLarge!$J$139</f>
        <v>#NAME?</v>
      </c>
    </row>
    <row r="1260" spans="58:58" x14ac:dyDescent="0.3">
      <c r="BF1260" t="e">
        <f>solver_rhs145=NonLinLarge!$J$7:$J$8</f>
        <v>#NAME?</v>
      </c>
    </row>
    <row r="1261" spans="58:58" x14ac:dyDescent="0.3">
      <c r="BF1261" t="e">
        <f>solver_rhs146=NonLinLarge!$J$9:$J$72</f>
        <v>#NAME?</v>
      </c>
    </row>
    <row r="1262" spans="58:58" x14ac:dyDescent="0.3">
      <c r="BF1262" t="e">
        <f>solver_rhs147=NonLinLarge!$J$73</f>
        <v>#NAME?</v>
      </c>
    </row>
    <row r="1263" spans="58:58" x14ac:dyDescent="0.3">
      <c r="BF1263" t="e">
        <f>solver_rhs148=NonLinLarge!$J$74</f>
        <v>#NAME?</v>
      </c>
    </row>
    <row r="1264" spans="58:58" x14ac:dyDescent="0.3">
      <c r="BF1264" t="e">
        <f>solver_rhs149=NonLinLarge!$J$75:$J$138</f>
        <v>#NAME?</v>
      </c>
    </row>
    <row r="1265" spans="58:58" x14ac:dyDescent="0.3">
      <c r="BF1265" t="e">
        <f>solver_rhs15=NonLinLarge!$J$73</f>
        <v>#NAME?</v>
      </c>
    </row>
    <row r="1266" spans="58:58" x14ac:dyDescent="0.3">
      <c r="BF1266" t="e">
        <f>solver_rhs150=NonLinLarge!$J$139</f>
        <v>#NAME?</v>
      </c>
    </row>
    <row r="1267" spans="58:58" x14ac:dyDescent="0.3">
      <c r="BF1267" t="e">
        <f>solver_rhs151=NonLinLarge!$J$7:$J$8</f>
        <v>#NAME?</v>
      </c>
    </row>
    <row r="1268" spans="58:58" x14ac:dyDescent="0.3">
      <c r="BF1268" t="e">
        <f>solver_rhs152=NonLinLarge!$J$9:$J$72</f>
        <v>#NAME?</v>
      </c>
    </row>
    <row r="1269" spans="58:58" x14ac:dyDescent="0.3">
      <c r="BF1269" t="e">
        <f>solver_rhs153=NonLinLarge!$J$73</f>
        <v>#NAME?</v>
      </c>
    </row>
    <row r="1270" spans="58:58" x14ac:dyDescent="0.3">
      <c r="BF1270" t="e">
        <f>solver_rhs154=NonLinLarge!$J$74</f>
        <v>#NAME?</v>
      </c>
    </row>
    <row r="1271" spans="58:58" x14ac:dyDescent="0.3">
      <c r="BF1271" t="e">
        <f>solver_rhs155=NonLinLarge!$J$75:$J$138</f>
        <v>#NAME?</v>
      </c>
    </row>
    <row r="1272" spans="58:58" x14ac:dyDescent="0.3">
      <c r="BF1272" t="e">
        <f>solver_rhs156=NonLinLarge!$J$139</f>
        <v>#NAME?</v>
      </c>
    </row>
    <row r="1273" spans="58:58" x14ac:dyDescent="0.3">
      <c r="BF1273" t="e">
        <f>solver_rhs157=NonLinLarge!$J$7:$J$8</f>
        <v>#NAME?</v>
      </c>
    </row>
    <row r="1274" spans="58:58" x14ac:dyDescent="0.3">
      <c r="BF1274" t="e">
        <f>solver_rhs158=NonLinLarge!$J$9:$J$72</f>
        <v>#NAME?</v>
      </c>
    </row>
    <row r="1275" spans="58:58" x14ac:dyDescent="0.3">
      <c r="BF1275" t="e">
        <f>solver_rhs159=NonLinLarge!$J$73</f>
        <v>#NAME?</v>
      </c>
    </row>
    <row r="1276" spans="58:58" x14ac:dyDescent="0.3">
      <c r="BF1276" t="e">
        <f>solver_rhs16=NonLinLarge!$J$74</f>
        <v>#NAME?</v>
      </c>
    </row>
    <row r="1277" spans="58:58" x14ac:dyDescent="0.3">
      <c r="BF1277" t="e">
        <f>solver_rhs160=NonLinLarge!$J$74</f>
        <v>#NAME?</v>
      </c>
    </row>
    <row r="1278" spans="58:58" x14ac:dyDescent="0.3">
      <c r="BF1278" t="e">
        <f>solver_rhs161=NonLinLarge!$J$75:$J$138</f>
        <v>#NAME?</v>
      </c>
    </row>
    <row r="1279" spans="58:58" x14ac:dyDescent="0.3">
      <c r="BF1279" t="e">
        <f>solver_rhs162=NonLinLarge!$J$139</f>
        <v>#NAME?</v>
      </c>
    </row>
    <row r="1280" spans="58:58" x14ac:dyDescent="0.3">
      <c r="BF1280" t="e">
        <f>solver_rhs163=NonLinLarge!$J$7:$J$8</f>
        <v>#NAME?</v>
      </c>
    </row>
    <row r="1281" spans="58:58" x14ac:dyDescent="0.3">
      <c r="BF1281" t="e">
        <f>solver_rhs164=NonLinLarge!$J$9:$J$72</f>
        <v>#NAME?</v>
      </c>
    </row>
    <row r="1282" spans="58:58" x14ac:dyDescent="0.3">
      <c r="BF1282" t="e">
        <f>solver_rhs165=NonLinLarge!$J$73</f>
        <v>#NAME?</v>
      </c>
    </row>
    <row r="1283" spans="58:58" x14ac:dyDescent="0.3">
      <c r="BF1283" t="e">
        <f>solver_rhs166=NonLinLarge!$J$74</f>
        <v>#NAME?</v>
      </c>
    </row>
    <row r="1284" spans="58:58" x14ac:dyDescent="0.3">
      <c r="BF1284" t="e">
        <f>solver_rhs167=NonLinLarge!$J$75:$J$138</f>
        <v>#NAME?</v>
      </c>
    </row>
    <row r="1285" spans="58:58" x14ac:dyDescent="0.3">
      <c r="BF1285" t="e">
        <f>solver_rhs168=NonLinLarge!$J$139</f>
        <v>#NAME?</v>
      </c>
    </row>
    <row r="1286" spans="58:58" x14ac:dyDescent="0.3">
      <c r="BF1286" t="e">
        <f>solver_rhs169=NonLinLarge!$J$7:$J$8</f>
        <v>#NAME?</v>
      </c>
    </row>
    <row r="1287" spans="58:58" x14ac:dyDescent="0.3">
      <c r="BF1287" t="e">
        <f>solver_rhs17=NonLinLarge!$J$75:$J$138</f>
        <v>#NAME?</v>
      </c>
    </row>
    <row r="1288" spans="58:58" x14ac:dyDescent="0.3">
      <c r="BF1288" t="e">
        <f>solver_rhs170=NonLinLarge!$J$9:$J$72</f>
        <v>#NAME?</v>
      </c>
    </row>
    <row r="1289" spans="58:58" x14ac:dyDescent="0.3">
      <c r="BF1289" t="e">
        <f>solver_rhs171=NonLinLarge!$J$73</f>
        <v>#NAME?</v>
      </c>
    </row>
    <row r="1290" spans="58:58" x14ac:dyDescent="0.3">
      <c r="BF1290" t="e">
        <f>solver_rhs172=NonLinLarge!$J$74</f>
        <v>#NAME?</v>
      </c>
    </row>
    <row r="1291" spans="58:58" x14ac:dyDescent="0.3">
      <c r="BF1291" t="e">
        <f>solver_rhs173=NonLinLarge!$J$75:$J$138</f>
        <v>#NAME?</v>
      </c>
    </row>
    <row r="1292" spans="58:58" x14ac:dyDescent="0.3">
      <c r="BF1292" t="e">
        <f>solver_rhs174=NonLinLarge!$J$139</f>
        <v>#NAME?</v>
      </c>
    </row>
    <row r="1293" spans="58:58" x14ac:dyDescent="0.3">
      <c r="BF1293" t="e">
        <f>solver_rhs175=NonLinLarge!$J$7:$J$8</f>
        <v>#NAME?</v>
      </c>
    </row>
    <row r="1294" spans="58:58" x14ac:dyDescent="0.3">
      <c r="BF1294" t="e">
        <f>solver_rhs176=NonLinLarge!$J$9:$J$72</f>
        <v>#NAME?</v>
      </c>
    </row>
    <row r="1295" spans="58:58" x14ac:dyDescent="0.3">
      <c r="BF1295" t="e">
        <f>solver_rhs177=NonLinLarge!$J$73</f>
        <v>#NAME?</v>
      </c>
    </row>
    <row r="1296" spans="58:58" x14ac:dyDescent="0.3">
      <c r="BF1296" t="e">
        <f>solver_rhs178=NonLinLarge!$J$74</f>
        <v>#NAME?</v>
      </c>
    </row>
    <row r="1297" spans="58:58" x14ac:dyDescent="0.3">
      <c r="BF1297" t="e">
        <f>solver_rhs179=NonLinLarge!$J$75:$J$138</f>
        <v>#NAME?</v>
      </c>
    </row>
    <row r="1298" spans="58:58" x14ac:dyDescent="0.3">
      <c r="BF1298" t="e">
        <f>solver_rhs18=NonLinLarge!$J$139</f>
        <v>#NAME?</v>
      </c>
    </row>
    <row r="1299" spans="58:58" x14ac:dyDescent="0.3">
      <c r="BF1299" t="e">
        <f>solver_rhs180=NonLinLarge!$J$139</f>
        <v>#NAME?</v>
      </c>
    </row>
    <row r="1300" spans="58:58" x14ac:dyDescent="0.3">
      <c r="BF1300" t="e">
        <f>solver_rhs181=NonLinLarge!$J$7:$J$8</f>
        <v>#NAME?</v>
      </c>
    </row>
    <row r="1301" spans="58:58" x14ac:dyDescent="0.3">
      <c r="BF1301" t="e">
        <f>solver_rhs182=NonLinLarge!$J$9:$J$72</f>
        <v>#NAME?</v>
      </c>
    </row>
    <row r="1302" spans="58:58" x14ac:dyDescent="0.3">
      <c r="BF1302" t="e">
        <f>solver_rhs183=NonLinLarge!$J$73</f>
        <v>#NAME?</v>
      </c>
    </row>
    <row r="1303" spans="58:58" x14ac:dyDescent="0.3">
      <c r="BF1303" t="e">
        <f>solver_rhs184=NonLinLarge!$J$74</f>
        <v>#NAME?</v>
      </c>
    </row>
    <row r="1304" spans="58:58" x14ac:dyDescent="0.3">
      <c r="BF1304" t="e">
        <f>solver_rhs185=NonLinLarge!$J$75:$J$138</f>
        <v>#NAME?</v>
      </c>
    </row>
    <row r="1305" spans="58:58" x14ac:dyDescent="0.3">
      <c r="BF1305" t="e">
        <f>solver_rhs186=NonLinLarge!$J$139</f>
        <v>#NAME?</v>
      </c>
    </row>
    <row r="1306" spans="58:58" x14ac:dyDescent="0.3">
      <c r="BF1306" t="e">
        <f>solver_rhs187=NonLinLarge!$J$7:$J$8</f>
        <v>#NAME?</v>
      </c>
    </row>
    <row r="1307" spans="58:58" x14ac:dyDescent="0.3">
      <c r="BF1307" t="e">
        <f>solver_rhs188=NonLinLarge!$J$9:$J$72</f>
        <v>#NAME?</v>
      </c>
    </row>
    <row r="1308" spans="58:58" x14ac:dyDescent="0.3">
      <c r="BF1308" t="e">
        <f>solver_rhs189=NonLinLarge!$J$73</f>
        <v>#NAME?</v>
      </c>
    </row>
    <row r="1309" spans="58:58" x14ac:dyDescent="0.3">
      <c r="BF1309" t="e">
        <f>solver_rhs19=NonLinLarge!$J$7:$J$8</f>
        <v>#NAME?</v>
      </c>
    </row>
    <row r="1310" spans="58:58" x14ac:dyDescent="0.3">
      <c r="BF1310" t="e">
        <f>solver_rhs190=NonLinLarge!$J$74</f>
        <v>#NAME?</v>
      </c>
    </row>
    <row r="1311" spans="58:58" x14ac:dyDescent="0.3">
      <c r="BF1311" t="e">
        <f>solver_rhs191=NonLinLarge!$J$75:$J$138</f>
        <v>#NAME?</v>
      </c>
    </row>
    <row r="1312" spans="58:58" x14ac:dyDescent="0.3">
      <c r="BF1312" t="e">
        <f>solver_rhs192=NonLinLarge!$J$139</f>
        <v>#NAME?</v>
      </c>
    </row>
    <row r="1313" spans="58:58" x14ac:dyDescent="0.3">
      <c r="BF1313" t="e">
        <f>solver_rhs193=NonLinLarge!$J$7:$J$8</f>
        <v>#NAME?</v>
      </c>
    </row>
    <row r="1314" spans="58:58" x14ac:dyDescent="0.3">
      <c r="BF1314" t="e">
        <f>solver_rhs194=NonLinLarge!$J$9:$J$72</f>
        <v>#NAME?</v>
      </c>
    </row>
    <row r="1315" spans="58:58" x14ac:dyDescent="0.3">
      <c r="BF1315" t="e">
        <f>solver_rhs195=NonLinLarge!$J$73</f>
        <v>#NAME?</v>
      </c>
    </row>
    <row r="1316" spans="58:58" x14ac:dyDescent="0.3">
      <c r="BF1316" t="e">
        <f>solver_rhs196=NonLinLarge!$J$74</f>
        <v>#NAME?</v>
      </c>
    </row>
    <row r="1317" spans="58:58" x14ac:dyDescent="0.3">
      <c r="BF1317" t="e">
        <f>solver_rhs197=NonLinLarge!$J$75:$J$138</f>
        <v>#NAME?</v>
      </c>
    </row>
    <row r="1318" spans="58:58" x14ac:dyDescent="0.3">
      <c r="BF1318" t="e">
        <f>solver_rhs198=NonLinLarge!$J$139</f>
        <v>#NAME?</v>
      </c>
    </row>
    <row r="1319" spans="58:58" x14ac:dyDescent="0.3">
      <c r="BF1319" t="e">
        <f>solver_rhs199=NonLinLarge!$J$7:$J$8</f>
        <v>#NAME?</v>
      </c>
    </row>
    <row r="1320" spans="58:58" x14ac:dyDescent="0.3">
      <c r="BF1320" t="e">
        <f>solver_rhs2=NonLinLarge!$J$9:$J$72</f>
        <v>#NAME?</v>
      </c>
    </row>
    <row r="1321" spans="58:58" x14ac:dyDescent="0.3">
      <c r="BF1321" t="e">
        <f>solver_rhs20=NonLinLarge!$J$9:$J$72</f>
        <v>#NAME?</v>
      </c>
    </row>
    <row r="1322" spans="58:58" x14ac:dyDescent="0.3">
      <c r="BF1322" t="e">
        <f>solver_rhs200=NonLinLarge!$J$9:$J$72</f>
        <v>#NAME?</v>
      </c>
    </row>
    <row r="1323" spans="58:58" x14ac:dyDescent="0.3">
      <c r="BF1323" t="e">
        <f>solver_rhs201=NonLinLarge!$J$73</f>
        <v>#NAME?</v>
      </c>
    </row>
    <row r="1324" spans="58:58" x14ac:dyDescent="0.3">
      <c r="BF1324" t="e">
        <f>solver_rhs202=NonLinLarge!$J$74</f>
        <v>#NAME?</v>
      </c>
    </row>
    <row r="1325" spans="58:58" x14ac:dyDescent="0.3">
      <c r="BF1325" t="e">
        <f>solver_rhs203=NonLinLarge!$J$75:$J$138</f>
        <v>#NAME?</v>
      </c>
    </row>
    <row r="1326" spans="58:58" x14ac:dyDescent="0.3">
      <c r="BF1326" t="e">
        <f>solver_rhs204=NonLinLarge!$J$139</f>
        <v>#NAME?</v>
      </c>
    </row>
    <row r="1327" spans="58:58" x14ac:dyDescent="0.3">
      <c r="BF1327" t="e">
        <f>solver_rhs205=NonLinLarge!$J$7:$J$8</f>
        <v>#NAME?</v>
      </c>
    </row>
    <row r="1328" spans="58:58" x14ac:dyDescent="0.3">
      <c r="BF1328" t="e">
        <f>solver_rhs206=NonLinLarge!$J$9:$J$72</f>
        <v>#NAME?</v>
      </c>
    </row>
    <row r="1329" spans="58:58" x14ac:dyDescent="0.3">
      <c r="BF1329" t="e">
        <f>solver_rhs207=NonLinLarge!$J$73</f>
        <v>#NAME?</v>
      </c>
    </row>
    <row r="1330" spans="58:58" x14ac:dyDescent="0.3">
      <c r="BF1330" t="e">
        <f>solver_rhs208=NonLinLarge!$J$74</f>
        <v>#NAME?</v>
      </c>
    </row>
    <row r="1331" spans="58:58" x14ac:dyDescent="0.3">
      <c r="BF1331" t="e">
        <f>solver_rhs209=NonLinLarge!$J$75:$J$138</f>
        <v>#NAME?</v>
      </c>
    </row>
    <row r="1332" spans="58:58" x14ac:dyDescent="0.3">
      <c r="BF1332" t="e">
        <f>solver_rhs21=NonLinLarge!$J$73</f>
        <v>#NAME?</v>
      </c>
    </row>
    <row r="1333" spans="58:58" x14ac:dyDescent="0.3">
      <c r="BF1333" t="e">
        <f>solver_rhs210=NonLinLarge!$J$139</f>
        <v>#NAME?</v>
      </c>
    </row>
    <row r="1334" spans="58:58" x14ac:dyDescent="0.3">
      <c r="BF1334" t="e">
        <f>solver_rhs211=NonLinLarge!$J$7:$J$8</f>
        <v>#NAME?</v>
      </c>
    </row>
    <row r="1335" spans="58:58" x14ac:dyDescent="0.3">
      <c r="BF1335" t="e">
        <f>solver_rhs212=NonLinLarge!$J$9:$J$72</f>
        <v>#NAME?</v>
      </c>
    </row>
    <row r="1336" spans="58:58" x14ac:dyDescent="0.3">
      <c r="BF1336" t="e">
        <f>solver_rhs213=NonLinLarge!$J$73</f>
        <v>#NAME?</v>
      </c>
    </row>
    <row r="1337" spans="58:58" x14ac:dyDescent="0.3">
      <c r="BF1337" t="e">
        <f>solver_rhs214=NonLinLarge!$J$74</f>
        <v>#NAME?</v>
      </c>
    </row>
    <row r="1338" spans="58:58" x14ac:dyDescent="0.3">
      <c r="BF1338" t="e">
        <f>solver_rhs215=NonLinLarge!$J$75:$J$138</f>
        <v>#NAME?</v>
      </c>
    </row>
    <row r="1339" spans="58:58" x14ac:dyDescent="0.3">
      <c r="BF1339" t="e">
        <f>solver_rhs216=NonLinLarge!$J$139</f>
        <v>#NAME?</v>
      </c>
    </row>
    <row r="1340" spans="58:58" x14ac:dyDescent="0.3">
      <c r="BF1340" t="e">
        <f>solver_rhs217=NonLinLarge!$J$7:$J$8</f>
        <v>#NAME?</v>
      </c>
    </row>
    <row r="1341" spans="58:58" x14ac:dyDescent="0.3">
      <c r="BF1341" t="e">
        <f>solver_rhs218=NonLinLarge!$J$9:$J$72</f>
        <v>#NAME?</v>
      </c>
    </row>
    <row r="1342" spans="58:58" x14ac:dyDescent="0.3">
      <c r="BF1342" t="e">
        <f>solver_rhs219=NonLinLarge!$J$73</f>
        <v>#NAME?</v>
      </c>
    </row>
    <row r="1343" spans="58:58" x14ac:dyDescent="0.3">
      <c r="BF1343" t="e">
        <f>solver_rhs22=NonLinLarge!$J$74</f>
        <v>#NAME?</v>
      </c>
    </row>
    <row r="1344" spans="58:58" x14ac:dyDescent="0.3">
      <c r="BF1344" t="e">
        <f>solver_rhs220=NonLinLarge!$J$74</f>
        <v>#NAME?</v>
      </c>
    </row>
    <row r="1345" spans="58:58" x14ac:dyDescent="0.3">
      <c r="BF1345" t="e">
        <f>solver_rhs221=NonLinLarge!$J$75:$J$138</f>
        <v>#NAME?</v>
      </c>
    </row>
    <row r="1346" spans="58:58" x14ac:dyDescent="0.3">
      <c r="BF1346" t="e">
        <f>solver_rhs222=NonLinLarge!$J$139</f>
        <v>#NAME?</v>
      </c>
    </row>
    <row r="1347" spans="58:58" x14ac:dyDescent="0.3">
      <c r="BF1347" t="e">
        <f>solver_rhs223=NonLinLarge!$J$7:$J$8</f>
        <v>#NAME?</v>
      </c>
    </row>
    <row r="1348" spans="58:58" x14ac:dyDescent="0.3">
      <c r="BF1348" t="e">
        <f>solver_rhs224=NonLinLarge!$J$9:$J$72</f>
        <v>#NAME?</v>
      </c>
    </row>
    <row r="1349" spans="58:58" x14ac:dyDescent="0.3">
      <c r="BF1349" t="e">
        <f>solver_rhs225=NonLinLarge!$J$73</f>
        <v>#NAME?</v>
      </c>
    </row>
    <row r="1350" spans="58:58" x14ac:dyDescent="0.3">
      <c r="BF1350" t="e">
        <f>solver_rhs226=NonLinLarge!$J$74</f>
        <v>#NAME?</v>
      </c>
    </row>
    <row r="1351" spans="58:58" x14ac:dyDescent="0.3">
      <c r="BF1351" t="e">
        <f>solver_rhs227=NonLinLarge!$J$75:$J$138</f>
        <v>#NAME?</v>
      </c>
    </row>
    <row r="1352" spans="58:58" x14ac:dyDescent="0.3">
      <c r="BF1352" t="e">
        <f>solver_rhs228=NonLinLarge!$J$139</f>
        <v>#NAME?</v>
      </c>
    </row>
    <row r="1353" spans="58:58" x14ac:dyDescent="0.3">
      <c r="BF1353" t="e">
        <f>solver_rhs229=NonLinLarge!$J$7:$J$8</f>
        <v>#NAME?</v>
      </c>
    </row>
    <row r="1354" spans="58:58" x14ac:dyDescent="0.3">
      <c r="BF1354" t="e">
        <f>solver_rhs23=NonLinLarge!$J$75:$J$138</f>
        <v>#NAME?</v>
      </c>
    </row>
    <row r="1355" spans="58:58" x14ac:dyDescent="0.3">
      <c r="BF1355" t="e">
        <f>solver_rhs230=NonLinLarge!$J$9:$J$72</f>
        <v>#NAME?</v>
      </c>
    </row>
    <row r="1356" spans="58:58" x14ac:dyDescent="0.3">
      <c r="BF1356" t="e">
        <f>solver_rhs231=NonLinLarge!$J$73</f>
        <v>#NAME?</v>
      </c>
    </row>
    <row r="1357" spans="58:58" x14ac:dyDescent="0.3">
      <c r="BF1357" t="e">
        <f>solver_rhs232=NonLinLarge!$J$74</f>
        <v>#NAME?</v>
      </c>
    </row>
    <row r="1358" spans="58:58" x14ac:dyDescent="0.3">
      <c r="BF1358" t="e">
        <f>solver_rhs233=NonLinLarge!$J$75:$J$138</f>
        <v>#NAME?</v>
      </c>
    </row>
    <row r="1359" spans="58:58" x14ac:dyDescent="0.3">
      <c r="BF1359" t="e">
        <f>solver_rhs234=NonLinLarge!$J$139</f>
        <v>#NAME?</v>
      </c>
    </row>
    <row r="1360" spans="58:58" x14ac:dyDescent="0.3">
      <c r="BF1360" t="e">
        <f>solver_rhs235=NonLinLarge!$J$7:$J$8</f>
        <v>#NAME?</v>
      </c>
    </row>
    <row r="1361" spans="58:58" x14ac:dyDescent="0.3">
      <c r="BF1361" t="e">
        <f>solver_rhs236=NonLinLarge!$J$9:$J$72</f>
        <v>#NAME?</v>
      </c>
    </row>
    <row r="1362" spans="58:58" x14ac:dyDescent="0.3">
      <c r="BF1362" t="e">
        <f>solver_rhs237=NonLinLarge!$J$73</f>
        <v>#NAME?</v>
      </c>
    </row>
    <row r="1363" spans="58:58" x14ac:dyDescent="0.3">
      <c r="BF1363" t="e">
        <f>solver_rhs238=NonLinLarge!$J$74</f>
        <v>#NAME?</v>
      </c>
    </row>
    <row r="1364" spans="58:58" x14ac:dyDescent="0.3">
      <c r="BF1364" t="e">
        <f>solver_rhs239=NonLinLarge!$J$75:$J$138</f>
        <v>#NAME?</v>
      </c>
    </row>
    <row r="1365" spans="58:58" x14ac:dyDescent="0.3">
      <c r="BF1365" t="e">
        <f>solver_rhs24=NonLinLarge!$J$139</f>
        <v>#NAME?</v>
      </c>
    </row>
    <row r="1366" spans="58:58" x14ac:dyDescent="0.3">
      <c r="BF1366" t="e">
        <f>solver_rhs240=NonLinLarge!$J$139</f>
        <v>#NAME?</v>
      </c>
    </row>
    <row r="1367" spans="58:58" x14ac:dyDescent="0.3">
      <c r="BF1367" t="e">
        <f>solver_rhs241=NonLinLarge!$J$7:$J$8</f>
        <v>#NAME?</v>
      </c>
    </row>
    <row r="1368" spans="58:58" x14ac:dyDescent="0.3">
      <c r="BF1368" t="e">
        <f>solver_rhs242=NonLinLarge!$J$9:$J$72</f>
        <v>#NAME?</v>
      </c>
    </row>
    <row r="1369" spans="58:58" x14ac:dyDescent="0.3">
      <c r="BF1369" t="e">
        <f>solver_rhs243=NonLinLarge!$J$73</f>
        <v>#NAME?</v>
      </c>
    </row>
    <row r="1370" spans="58:58" x14ac:dyDescent="0.3">
      <c r="BF1370" t="e">
        <f>solver_rhs244=NonLinLarge!$J$74</f>
        <v>#NAME?</v>
      </c>
    </row>
    <row r="1371" spans="58:58" x14ac:dyDescent="0.3">
      <c r="BF1371" t="e">
        <f>solver_rhs245=NonLinLarge!$J$75:$J$138</f>
        <v>#NAME?</v>
      </c>
    </row>
    <row r="1372" spans="58:58" x14ac:dyDescent="0.3">
      <c r="BF1372" t="e">
        <f>solver_rhs246=NonLinLarge!$J$139</f>
        <v>#NAME?</v>
      </c>
    </row>
    <row r="1373" spans="58:58" x14ac:dyDescent="0.3">
      <c r="BF1373" t="e">
        <f>solver_rhs247=NonLinLarge!$J$7:$J$8</f>
        <v>#NAME?</v>
      </c>
    </row>
    <row r="1374" spans="58:58" x14ac:dyDescent="0.3">
      <c r="BF1374" t="e">
        <f>solver_rhs248=NonLinLarge!$J$9:$J$72</f>
        <v>#NAME?</v>
      </c>
    </row>
    <row r="1375" spans="58:58" x14ac:dyDescent="0.3">
      <c r="BF1375" t="e">
        <f>solver_rhs249=NonLinLarge!$J$73</f>
        <v>#NAME?</v>
      </c>
    </row>
    <row r="1376" spans="58:58" x14ac:dyDescent="0.3">
      <c r="BF1376" t="e">
        <f>solver_rhs25=NonLinLarge!$J$7:$J$8</f>
        <v>#NAME?</v>
      </c>
    </row>
    <row r="1377" spans="58:58" x14ac:dyDescent="0.3">
      <c r="BF1377" t="e">
        <f>solver_rhs250=NonLinLarge!$J$74</f>
        <v>#NAME?</v>
      </c>
    </row>
    <row r="1378" spans="58:58" x14ac:dyDescent="0.3">
      <c r="BF1378" t="e">
        <f>solver_rhs251=NonLinLarge!$J$75:$J$138</f>
        <v>#NAME?</v>
      </c>
    </row>
    <row r="1379" spans="58:58" x14ac:dyDescent="0.3">
      <c r="BF1379" t="e">
        <f>solver_rhs252=NonLinLarge!$J$139</f>
        <v>#NAME?</v>
      </c>
    </row>
    <row r="1380" spans="58:58" x14ac:dyDescent="0.3">
      <c r="BF1380" t="e">
        <f>solver_rhs253=NonLinLarge!$J$7:$J$8</f>
        <v>#NAME?</v>
      </c>
    </row>
    <row r="1381" spans="58:58" x14ac:dyDescent="0.3">
      <c r="BF1381" t="e">
        <f>solver_rhs254=NonLinLarge!$J$9:$J$72</f>
        <v>#NAME?</v>
      </c>
    </row>
    <row r="1382" spans="58:58" x14ac:dyDescent="0.3">
      <c r="BF1382" t="e">
        <f>solver_rhs255=NonLinLarge!$J$73</f>
        <v>#NAME?</v>
      </c>
    </row>
    <row r="1383" spans="58:58" x14ac:dyDescent="0.3">
      <c r="BF1383" t="e">
        <f>solver_rhs256=NonLinLarge!$J$74</f>
        <v>#NAME?</v>
      </c>
    </row>
    <row r="1384" spans="58:58" x14ac:dyDescent="0.3">
      <c r="BF1384" t="e">
        <f>solver_rhs257=NonLinLarge!$J$75:$J$138</f>
        <v>#NAME?</v>
      </c>
    </row>
    <row r="1385" spans="58:58" x14ac:dyDescent="0.3">
      <c r="BF1385" t="e">
        <f>solver_rhs258=NonLinLarge!$J$139</f>
        <v>#NAME?</v>
      </c>
    </row>
    <row r="1386" spans="58:58" x14ac:dyDescent="0.3">
      <c r="BF1386" t="e">
        <f>solver_rhs259=NonLinLarge!$J$7:$J$8</f>
        <v>#NAME?</v>
      </c>
    </row>
    <row r="1387" spans="58:58" x14ac:dyDescent="0.3">
      <c r="BF1387" t="e">
        <f>solver_rhs26=NonLinLarge!$J$9:$J$72</f>
        <v>#NAME?</v>
      </c>
    </row>
    <row r="1388" spans="58:58" x14ac:dyDescent="0.3">
      <c r="BF1388" t="e">
        <f>solver_rhs260=NonLinLarge!$J$9:$J$72</f>
        <v>#NAME?</v>
      </c>
    </row>
    <row r="1389" spans="58:58" x14ac:dyDescent="0.3">
      <c r="BF1389" t="e">
        <f>solver_rhs261=NonLinLarge!$J$73</f>
        <v>#NAME?</v>
      </c>
    </row>
    <row r="1390" spans="58:58" x14ac:dyDescent="0.3">
      <c r="BF1390" t="e">
        <f>solver_rhs262=NonLinLarge!$J$74</f>
        <v>#NAME?</v>
      </c>
    </row>
    <row r="1391" spans="58:58" x14ac:dyDescent="0.3">
      <c r="BF1391" t="e">
        <f>solver_rhs263=NonLinLarge!$J$75:$J$138</f>
        <v>#NAME?</v>
      </c>
    </row>
    <row r="1392" spans="58:58" x14ac:dyDescent="0.3">
      <c r="BF1392" t="e">
        <f>solver_rhs264=NonLinLarge!$J$139</f>
        <v>#NAME?</v>
      </c>
    </row>
    <row r="1393" spans="58:58" x14ac:dyDescent="0.3">
      <c r="BF1393" t="e">
        <f>solver_rhs265=NonLinLarge!$J$7:$J$8</f>
        <v>#NAME?</v>
      </c>
    </row>
    <row r="1394" spans="58:58" x14ac:dyDescent="0.3">
      <c r="BF1394" t="e">
        <f>solver_rhs266=NonLinLarge!$J$9:$J$72</f>
        <v>#NAME?</v>
      </c>
    </row>
    <row r="1395" spans="58:58" x14ac:dyDescent="0.3">
      <c r="BF1395" t="e">
        <f>solver_rhs267=NonLinLarge!$J$73</f>
        <v>#NAME?</v>
      </c>
    </row>
    <row r="1396" spans="58:58" x14ac:dyDescent="0.3">
      <c r="BF1396" t="e">
        <f>solver_rhs268=NonLinLarge!$J$74</f>
        <v>#NAME?</v>
      </c>
    </row>
    <row r="1397" spans="58:58" x14ac:dyDescent="0.3">
      <c r="BF1397" t="e">
        <f>solver_rhs269=NonLinLarge!$J$75:$J$138</f>
        <v>#NAME?</v>
      </c>
    </row>
    <row r="1398" spans="58:58" x14ac:dyDescent="0.3">
      <c r="BF1398" t="e">
        <f>solver_rhs27=NonLinLarge!$J$73</f>
        <v>#NAME?</v>
      </c>
    </row>
    <row r="1399" spans="58:58" x14ac:dyDescent="0.3">
      <c r="BF1399" t="e">
        <f>solver_rhs270=NonLinLarge!$J$139</f>
        <v>#NAME?</v>
      </c>
    </row>
    <row r="1400" spans="58:58" x14ac:dyDescent="0.3">
      <c r="BF1400" t="e">
        <f>solver_rhs271=NonLinLarge!$J$7:$J$8</f>
        <v>#NAME?</v>
      </c>
    </row>
    <row r="1401" spans="58:58" x14ac:dyDescent="0.3">
      <c r="BF1401" t="e">
        <f>solver_rhs272=NonLinLarge!$J$9:$J$72</f>
        <v>#NAME?</v>
      </c>
    </row>
    <row r="1402" spans="58:58" x14ac:dyDescent="0.3">
      <c r="BF1402" t="e">
        <f>solver_rhs273=NonLinLarge!$J$73</f>
        <v>#NAME?</v>
      </c>
    </row>
    <row r="1403" spans="58:58" x14ac:dyDescent="0.3">
      <c r="BF1403" t="e">
        <f>solver_rhs274=NonLinLarge!$J$74</f>
        <v>#NAME?</v>
      </c>
    </row>
    <row r="1404" spans="58:58" x14ac:dyDescent="0.3">
      <c r="BF1404" t="e">
        <f>solver_rhs275=NonLinLarge!$J$75:$J$138</f>
        <v>#NAME?</v>
      </c>
    </row>
    <row r="1405" spans="58:58" x14ac:dyDescent="0.3">
      <c r="BF1405" t="e">
        <f>solver_rhs276=NonLinLarge!$J$139</f>
        <v>#NAME?</v>
      </c>
    </row>
    <row r="1406" spans="58:58" x14ac:dyDescent="0.3">
      <c r="BF1406" t="e">
        <f>solver_rhs277=NonLinLarge!$J$7:$J$8</f>
        <v>#NAME?</v>
      </c>
    </row>
    <row r="1407" spans="58:58" x14ac:dyDescent="0.3">
      <c r="BF1407" t="e">
        <f>solver_rhs278=NonLinLarge!$J$9:$J$72</f>
        <v>#NAME?</v>
      </c>
    </row>
    <row r="1408" spans="58:58" x14ac:dyDescent="0.3">
      <c r="BF1408" t="e">
        <f>solver_rhs279=NonLinLarge!$J$73</f>
        <v>#NAME?</v>
      </c>
    </row>
    <row r="1409" spans="58:58" x14ac:dyDescent="0.3">
      <c r="BF1409" t="e">
        <f>solver_rhs28=NonLinLarge!$J$74</f>
        <v>#NAME?</v>
      </c>
    </row>
    <row r="1410" spans="58:58" x14ac:dyDescent="0.3">
      <c r="BF1410" t="e">
        <f>solver_rhs280=NonLinLarge!$J$74</f>
        <v>#NAME?</v>
      </c>
    </row>
    <row r="1411" spans="58:58" x14ac:dyDescent="0.3">
      <c r="BF1411" t="e">
        <f>solver_rhs281=NonLinLarge!$J$75:$J$138</f>
        <v>#NAME?</v>
      </c>
    </row>
    <row r="1412" spans="58:58" x14ac:dyDescent="0.3">
      <c r="BF1412" t="e">
        <f>solver_rhs282=NonLinLarge!$J$139</f>
        <v>#NAME?</v>
      </c>
    </row>
    <row r="1413" spans="58:58" x14ac:dyDescent="0.3">
      <c r="BF1413" t="e">
        <f>solver_rhs283=NonLinLarge!$J$7:$J$8</f>
        <v>#NAME?</v>
      </c>
    </row>
    <row r="1414" spans="58:58" x14ac:dyDescent="0.3">
      <c r="BF1414" t="e">
        <f>solver_rhs284=NonLinLarge!$J$9:$J$72</f>
        <v>#NAME?</v>
      </c>
    </row>
    <row r="1415" spans="58:58" x14ac:dyDescent="0.3">
      <c r="BF1415" t="e">
        <f>solver_rhs285=NonLinLarge!$J$73</f>
        <v>#NAME?</v>
      </c>
    </row>
    <row r="1416" spans="58:58" x14ac:dyDescent="0.3">
      <c r="BF1416" t="e">
        <f>solver_rhs286=NonLinLarge!$J$74</f>
        <v>#NAME?</v>
      </c>
    </row>
    <row r="1417" spans="58:58" x14ac:dyDescent="0.3">
      <c r="BF1417" t="e">
        <f>solver_rhs287=NonLinLarge!$J$75:$J$138</f>
        <v>#NAME?</v>
      </c>
    </row>
    <row r="1418" spans="58:58" x14ac:dyDescent="0.3">
      <c r="BF1418" t="e">
        <f>solver_rhs288=NonLinLarge!$J$139</f>
        <v>#NAME?</v>
      </c>
    </row>
    <row r="1419" spans="58:58" x14ac:dyDescent="0.3">
      <c r="BF1419" t="e">
        <f>solver_rhs289=NonLinLarge!$J$7:$J$8</f>
        <v>#NAME?</v>
      </c>
    </row>
    <row r="1420" spans="58:58" x14ac:dyDescent="0.3">
      <c r="BF1420" t="e">
        <f>solver_rhs29=NonLinLarge!$J$75:$J$138</f>
        <v>#NAME?</v>
      </c>
    </row>
    <row r="1421" spans="58:58" x14ac:dyDescent="0.3">
      <c r="BF1421" t="e">
        <f>solver_rhs290=NonLinLarge!$J$9:$J$72</f>
        <v>#NAME?</v>
      </c>
    </row>
    <row r="1422" spans="58:58" x14ac:dyDescent="0.3">
      <c r="BF1422" t="e">
        <f>solver_rhs291=NonLinLarge!$J$73</f>
        <v>#NAME?</v>
      </c>
    </row>
    <row r="1423" spans="58:58" x14ac:dyDescent="0.3">
      <c r="BF1423" t="e">
        <f>solver_rhs292=NonLinLarge!$J$74</f>
        <v>#NAME?</v>
      </c>
    </row>
    <row r="1424" spans="58:58" x14ac:dyDescent="0.3">
      <c r="BF1424" t="e">
        <f>solver_rhs293=NonLinLarge!$J$75:$J$138</f>
        <v>#NAME?</v>
      </c>
    </row>
    <row r="1425" spans="58:58" x14ac:dyDescent="0.3">
      <c r="BF1425" t="e">
        <f>solver_rhs294=NonLinLarge!$J$139</f>
        <v>#NAME?</v>
      </c>
    </row>
    <row r="1426" spans="58:58" x14ac:dyDescent="0.3">
      <c r="BF1426" t="e">
        <f>solver_rhs295=NonLinLarge!$J$7:$J$8</f>
        <v>#NAME?</v>
      </c>
    </row>
    <row r="1427" spans="58:58" x14ac:dyDescent="0.3">
      <c r="BF1427" t="e">
        <f>solver_rhs296=NonLinLarge!$J$9:$J$72</f>
        <v>#NAME?</v>
      </c>
    </row>
    <row r="1428" spans="58:58" x14ac:dyDescent="0.3">
      <c r="BF1428" t="e">
        <f>solver_rhs297=NonLinLarge!$J$73</f>
        <v>#NAME?</v>
      </c>
    </row>
    <row r="1429" spans="58:58" x14ac:dyDescent="0.3">
      <c r="BF1429" t="e">
        <f>solver_rhs298=NonLinLarge!$J$74</f>
        <v>#NAME?</v>
      </c>
    </row>
    <row r="1430" spans="58:58" x14ac:dyDescent="0.3">
      <c r="BF1430" t="e">
        <f>solver_rhs299=NonLinLarge!$J$75:$J$138</f>
        <v>#NAME?</v>
      </c>
    </row>
    <row r="1431" spans="58:58" x14ac:dyDescent="0.3">
      <c r="BF1431" t="e">
        <f>solver_rhs3=NonLinLarge!$J$73</f>
        <v>#NAME?</v>
      </c>
    </row>
    <row r="1432" spans="58:58" x14ac:dyDescent="0.3">
      <c r="BF1432" t="e">
        <f>solver_rhs30=NonLinLarge!$J$139</f>
        <v>#NAME?</v>
      </c>
    </row>
    <row r="1433" spans="58:58" x14ac:dyDescent="0.3">
      <c r="BF1433" t="e">
        <f>solver_rhs300=NonLinLarge!$J$139</f>
        <v>#NAME?</v>
      </c>
    </row>
    <row r="1434" spans="58:58" x14ac:dyDescent="0.3">
      <c r="BF1434" t="e">
        <f>solver_rhs301=NonLinLarge!$J$7:$J$8</f>
        <v>#NAME?</v>
      </c>
    </row>
    <row r="1435" spans="58:58" x14ac:dyDescent="0.3">
      <c r="BF1435" t="e">
        <f>solver_rhs302=NonLinLarge!$J$9:$J$72</f>
        <v>#NAME?</v>
      </c>
    </row>
    <row r="1436" spans="58:58" x14ac:dyDescent="0.3">
      <c r="BF1436" t="e">
        <f>solver_rhs303=NonLinLarge!$J$73</f>
        <v>#NAME?</v>
      </c>
    </row>
    <row r="1437" spans="58:58" x14ac:dyDescent="0.3">
      <c r="BF1437" t="e">
        <f>solver_rhs304=NonLinLarge!$J$74</f>
        <v>#NAME?</v>
      </c>
    </row>
    <row r="1438" spans="58:58" x14ac:dyDescent="0.3">
      <c r="BF1438" t="e">
        <f>solver_rhs305=NonLinLarge!$J$75:$J$138</f>
        <v>#NAME?</v>
      </c>
    </row>
    <row r="1439" spans="58:58" x14ac:dyDescent="0.3">
      <c r="BF1439" t="e">
        <f>solver_rhs306=NonLinLarge!$J$139</f>
        <v>#NAME?</v>
      </c>
    </row>
    <row r="1440" spans="58:58" x14ac:dyDescent="0.3">
      <c r="BF1440" t="e">
        <f>solver_rhs307=NonLinLarge!$J$7:$J$8</f>
        <v>#NAME?</v>
      </c>
    </row>
    <row r="1441" spans="58:58" x14ac:dyDescent="0.3">
      <c r="BF1441" t="e">
        <f>solver_rhs308=NonLinLarge!$J$9:$J$72</f>
        <v>#NAME?</v>
      </c>
    </row>
    <row r="1442" spans="58:58" x14ac:dyDescent="0.3">
      <c r="BF1442" t="e">
        <f>solver_rhs309=NonLinLarge!$J$73</f>
        <v>#NAME?</v>
      </c>
    </row>
    <row r="1443" spans="58:58" x14ac:dyDescent="0.3">
      <c r="BF1443" t="e">
        <f>solver_rhs31=NonLinLarge!$J$7:$J$8</f>
        <v>#NAME?</v>
      </c>
    </row>
    <row r="1444" spans="58:58" x14ac:dyDescent="0.3">
      <c r="BF1444" t="e">
        <f>solver_rhs310=NonLinLarge!$J$74</f>
        <v>#NAME?</v>
      </c>
    </row>
    <row r="1445" spans="58:58" x14ac:dyDescent="0.3">
      <c r="BF1445" t="e">
        <f>solver_rhs311=NonLinLarge!$J$75:$J$138</f>
        <v>#NAME?</v>
      </c>
    </row>
    <row r="1446" spans="58:58" x14ac:dyDescent="0.3">
      <c r="BF1446" t="e">
        <f>solver_rhs312=NonLinLarge!$J$139</f>
        <v>#NAME?</v>
      </c>
    </row>
    <row r="1447" spans="58:58" x14ac:dyDescent="0.3">
      <c r="BF1447" t="e">
        <f>solver_rhs313=NonLinLarge!$J$7:$J$8</f>
        <v>#NAME?</v>
      </c>
    </row>
    <row r="1448" spans="58:58" x14ac:dyDescent="0.3">
      <c r="BF1448" t="e">
        <f>solver_rhs314=NonLinLarge!$J$9:$J$72</f>
        <v>#NAME?</v>
      </c>
    </row>
    <row r="1449" spans="58:58" x14ac:dyDescent="0.3">
      <c r="BF1449" t="e">
        <f>solver_rhs315=NonLinLarge!$J$73</f>
        <v>#NAME?</v>
      </c>
    </row>
    <row r="1450" spans="58:58" x14ac:dyDescent="0.3">
      <c r="BF1450" t="e">
        <f>solver_rhs316=NonLinLarge!$J$74</f>
        <v>#NAME?</v>
      </c>
    </row>
    <row r="1451" spans="58:58" x14ac:dyDescent="0.3">
      <c r="BF1451" t="e">
        <f>solver_rhs317=NonLinLarge!$J$75:$J$138</f>
        <v>#NAME?</v>
      </c>
    </row>
    <row r="1452" spans="58:58" x14ac:dyDescent="0.3">
      <c r="BF1452" t="e">
        <f>solver_rhs318=NonLinLarge!$J$139</f>
        <v>#NAME?</v>
      </c>
    </row>
    <row r="1453" spans="58:58" x14ac:dyDescent="0.3">
      <c r="BF1453" t="e">
        <f>solver_rhs319=NonLinLarge!$J$7:$J$8</f>
        <v>#NAME?</v>
      </c>
    </row>
    <row r="1454" spans="58:58" x14ac:dyDescent="0.3">
      <c r="BF1454" t="e">
        <f>solver_rhs32=NonLinLarge!$J$9:$J$72</f>
        <v>#NAME?</v>
      </c>
    </row>
    <row r="1455" spans="58:58" x14ac:dyDescent="0.3">
      <c r="BF1455" t="e">
        <f>solver_rhs320=NonLinLarge!$J$9:$J$72</f>
        <v>#NAME?</v>
      </c>
    </row>
    <row r="1456" spans="58:58" x14ac:dyDescent="0.3">
      <c r="BF1456" t="e">
        <f>solver_rhs321=NonLinLarge!$J$73</f>
        <v>#NAME?</v>
      </c>
    </row>
    <row r="1457" spans="58:58" x14ac:dyDescent="0.3">
      <c r="BF1457" t="e">
        <f>solver_rhs322=NonLinLarge!$J$74</f>
        <v>#NAME?</v>
      </c>
    </row>
    <row r="1458" spans="58:58" x14ac:dyDescent="0.3">
      <c r="BF1458" t="e">
        <f>solver_rhs323=NonLinLarge!$J$75:$J$138</f>
        <v>#NAME?</v>
      </c>
    </row>
    <row r="1459" spans="58:58" x14ac:dyDescent="0.3">
      <c r="BF1459" t="e">
        <f>solver_rhs324=NonLinLarge!$J$139</f>
        <v>#NAME?</v>
      </c>
    </row>
    <row r="1460" spans="58:58" x14ac:dyDescent="0.3">
      <c r="BF1460" t="e">
        <f>solver_rhs325=NonLinLarge!$J$7:$J$8</f>
        <v>#NAME?</v>
      </c>
    </row>
    <row r="1461" spans="58:58" x14ac:dyDescent="0.3">
      <c r="BF1461" t="e">
        <f>solver_rhs326=NonLinLarge!$J$9:$J$72</f>
        <v>#NAME?</v>
      </c>
    </row>
    <row r="1462" spans="58:58" x14ac:dyDescent="0.3">
      <c r="BF1462" t="e">
        <f>solver_rhs327=NonLinLarge!$J$73</f>
        <v>#NAME?</v>
      </c>
    </row>
    <row r="1463" spans="58:58" x14ac:dyDescent="0.3">
      <c r="BF1463" t="e">
        <f>solver_rhs328=NonLinLarge!$J$74</f>
        <v>#NAME?</v>
      </c>
    </row>
    <row r="1464" spans="58:58" x14ac:dyDescent="0.3">
      <c r="BF1464" t="e">
        <f>solver_rhs329=NonLinLarge!$J$75:$J$138</f>
        <v>#NAME?</v>
      </c>
    </row>
    <row r="1465" spans="58:58" x14ac:dyDescent="0.3">
      <c r="BF1465" t="e">
        <f>solver_rhs33=NonLinLarge!$J$73</f>
        <v>#NAME?</v>
      </c>
    </row>
    <row r="1466" spans="58:58" x14ac:dyDescent="0.3">
      <c r="BF1466" t="e">
        <f>solver_rhs330=NonLinLarge!$J$139</f>
        <v>#NAME?</v>
      </c>
    </row>
    <row r="1467" spans="58:58" x14ac:dyDescent="0.3">
      <c r="BF1467" t="e">
        <f>solver_rhs331=NonLinLarge!$J$7:$J$8</f>
        <v>#NAME?</v>
      </c>
    </row>
    <row r="1468" spans="58:58" x14ac:dyDescent="0.3">
      <c r="BF1468" t="e">
        <f>solver_rhs332=NonLinLarge!$J$9:$J$72</f>
        <v>#NAME?</v>
      </c>
    </row>
    <row r="1469" spans="58:58" x14ac:dyDescent="0.3">
      <c r="BF1469" t="e">
        <f>solver_rhs333=NonLinLarge!$J$73</f>
        <v>#NAME?</v>
      </c>
    </row>
    <row r="1470" spans="58:58" x14ac:dyDescent="0.3">
      <c r="BF1470" t="e">
        <f>solver_rhs334=NonLinLarge!$J$74</f>
        <v>#NAME?</v>
      </c>
    </row>
    <row r="1471" spans="58:58" x14ac:dyDescent="0.3">
      <c r="BF1471" t="e">
        <f>solver_rhs335=NonLinLarge!$J$75:$J$138</f>
        <v>#NAME?</v>
      </c>
    </row>
    <row r="1472" spans="58:58" x14ac:dyDescent="0.3">
      <c r="BF1472" t="e">
        <f>solver_rhs336=NonLinLarge!$J$139</f>
        <v>#NAME?</v>
      </c>
    </row>
    <row r="1473" spans="58:58" x14ac:dyDescent="0.3">
      <c r="BF1473" t="e">
        <f>solver_rhs337=NonLinLarge!$J$7:$J$8</f>
        <v>#NAME?</v>
      </c>
    </row>
    <row r="1474" spans="58:58" x14ac:dyDescent="0.3">
      <c r="BF1474" t="e">
        <f>solver_rhs338=NonLinLarge!$J$9:$J$72</f>
        <v>#NAME?</v>
      </c>
    </row>
    <row r="1475" spans="58:58" x14ac:dyDescent="0.3">
      <c r="BF1475" t="e">
        <f>solver_rhs339=NonLinLarge!$J$73</f>
        <v>#NAME?</v>
      </c>
    </row>
    <row r="1476" spans="58:58" x14ac:dyDescent="0.3">
      <c r="BF1476" t="e">
        <f>solver_rhs34=NonLinLarge!$J$74</f>
        <v>#NAME?</v>
      </c>
    </row>
    <row r="1477" spans="58:58" x14ac:dyDescent="0.3">
      <c r="BF1477" t="e">
        <f>solver_rhs340=NonLinLarge!$J$74</f>
        <v>#NAME?</v>
      </c>
    </row>
    <row r="1478" spans="58:58" x14ac:dyDescent="0.3">
      <c r="BF1478" t="e">
        <f>solver_rhs341=NonLinLarge!$J$75:$J$138</f>
        <v>#NAME?</v>
      </c>
    </row>
    <row r="1479" spans="58:58" x14ac:dyDescent="0.3">
      <c r="BF1479" t="e">
        <f>solver_rhs342=NonLinLarge!$J$139</f>
        <v>#NAME?</v>
      </c>
    </row>
    <row r="1480" spans="58:58" x14ac:dyDescent="0.3">
      <c r="BF1480" t="e">
        <f>solver_rhs343=NonLinLarge!$J$7:$J$8</f>
        <v>#NAME?</v>
      </c>
    </row>
    <row r="1481" spans="58:58" x14ac:dyDescent="0.3">
      <c r="BF1481" t="e">
        <f>solver_rhs344=NonLinLarge!$J$9:$J$72</f>
        <v>#NAME?</v>
      </c>
    </row>
    <row r="1482" spans="58:58" x14ac:dyDescent="0.3">
      <c r="BF1482" t="e">
        <f>solver_rhs345=NonLinLarge!$J$73</f>
        <v>#NAME?</v>
      </c>
    </row>
    <row r="1483" spans="58:58" x14ac:dyDescent="0.3">
      <c r="BF1483" t="e">
        <f>solver_rhs346=NonLinLarge!$J$74</f>
        <v>#NAME?</v>
      </c>
    </row>
    <row r="1484" spans="58:58" x14ac:dyDescent="0.3">
      <c r="BF1484" t="e">
        <f>solver_rhs347=NonLinLarge!$J$75:$J$138</f>
        <v>#NAME?</v>
      </c>
    </row>
    <row r="1485" spans="58:58" x14ac:dyDescent="0.3">
      <c r="BF1485" t="e">
        <f>solver_rhs348=NonLinLarge!$J$139</f>
        <v>#NAME?</v>
      </c>
    </row>
    <row r="1486" spans="58:58" x14ac:dyDescent="0.3">
      <c r="BF1486" t="e">
        <f>solver_rhs349=NonLinLarge!$J$7:$J$8</f>
        <v>#NAME?</v>
      </c>
    </row>
    <row r="1487" spans="58:58" x14ac:dyDescent="0.3">
      <c r="BF1487" t="e">
        <f>solver_rhs35=NonLinLarge!$J$75:$J$138</f>
        <v>#NAME?</v>
      </c>
    </row>
    <row r="1488" spans="58:58" x14ac:dyDescent="0.3">
      <c r="BF1488" t="e">
        <f>solver_rhs350=NonLinLarge!$J$9:$J$72</f>
        <v>#NAME?</v>
      </c>
    </row>
    <row r="1489" spans="58:58" x14ac:dyDescent="0.3">
      <c r="BF1489" t="e">
        <f>solver_rhs351=NonLinLarge!$J$73</f>
        <v>#NAME?</v>
      </c>
    </row>
    <row r="1490" spans="58:58" x14ac:dyDescent="0.3">
      <c r="BF1490" t="e">
        <f>solver_rhs352=NonLinLarge!$J$74</f>
        <v>#NAME?</v>
      </c>
    </row>
    <row r="1491" spans="58:58" x14ac:dyDescent="0.3">
      <c r="BF1491" t="e">
        <f>solver_rhs353=NonLinLarge!$J$75:$J$138</f>
        <v>#NAME?</v>
      </c>
    </row>
    <row r="1492" spans="58:58" x14ac:dyDescent="0.3">
      <c r="BF1492" t="e">
        <f>solver_rhs354=NonLinLarge!$J$139</f>
        <v>#NAME?</v>
      </c>
    </row>
    <row r="1493" spans="58:58" x14ac:dyDescent="0.3">
      <c r="BF1493" t="e">
        <f>solver_rhs355=NonLinLarge!$J$7:$J$8</f>
        <v>#NAME?</v>
      </c>
    </row>
    <row r="1494" spans="58:58" x14ac:dyDescent="0.3">
      <c r="BF1494" t="e">
        <f>solver_rhs356=NonLinLarge!$J$9:$J$72</f>
        <v>#NAME?</v>
      </c>
    </row>
    <row r="1495" spans="58:58" x14ac:dyDescent="0.3">
      <c r="BF1495" t="e">
        <f>solver_rhs357=NonLinLarge!$J$73</f>
        <v>#NAME?</v>
      </c>
    </row>
    <row r="1496" spans="58:58" x14ac:dyDescent="0.3">
      <c r="BF1496" t="e">
        <f>solver_rhs358=NonLinLarge!$J$74</f>
        <v>#NAME?</v>
      </c>
    </row>
    <row r="1497" spans="58:58" x14ac:dyDescent="0.3">
      <c r="BF1497" t="e">
        <f>solver_rhs359=NonLinLarge!$J$75:$J$138</f>
        <v>#NAME?</v>
      </c>
    </row>
    <row r="1498" spans="58:58" x14ac:dyDescent="0.3">
      <c r="BF1498" t="e">
        <f>solver_rhs36=NonLinLarge!$J$139</f>
        <v>#NAME?</v>
      </c>
    </row>
    <row r="1499" spans="58:58" x14ac:dyDescent="0.3">
      <c r="BF1499" t="e">
        <f>solver_rhs360=NonLinLarge!$J$139</f>
        <v>#NAME?</v>
      </c>
    </row>
    <row r="1500" spans="58:58" x14ac:dyDescent="0.3">
      <c r="BF1500" t="e">
        <f>solver_rhs361=NonLinLarge!$J$7:$J$8</f>
        <v>#NAME?</v>
      </c>
    </row>
    <row r="1501" spans="58:58" x14ac:dyDescent="0.3">
      <c r="BF1501" t="e">
        <f>solver_rhs362=NonLinLarge!$J$9:$J$72</f>
        <v>#NAME?</v>
      </c>
    </row>
    <row r="1502" spans="58:58" x14ac:dyDescent="0.3">
      <c r="BF1502" t="e">
        <f>solver_rhs363=NonLinLarge!$J$73</f>
        <v>#NAME?</v>
      </c>
    </row>
    <row r="1503" spans="58:58" x14ac:dyDescent="0.3">
      <c r="BF1503" t="e">
        <f>solver_rhs364=NonLinLarge!$J$74</f>
        <v>#NAME?</v>
      </c>
    </row>
    <row r="1504" spans="58:58" x14ac:dyDescent="0.3">
      <c r="BF1504" t="e">
        <f>solver_rhs365=NonLinLarge!$J$75:$J$138</f>
        <v>#NAME?</v>
      </c>
    </row>
    <row r="1505" spans="58:58" x14ac:dyDescent="0.3">
      <c r="BF1505" t="e">
        <f>solver_rhs366=NonLinLarge!$J$139</f>
        <v>#NAME?</v>
      </c>
    </row>
    <row r="1506" spans="58:58" x14ac:dyDescent="0.3">
      <c r="BF1506" t="e">
        <f>solver_rhs367=NonLinLarge!$J$7:$J$8</f>
        <v>#NAME?</v>
      </c>
    </row>
    <row r="1507" spans="58:58" x14ac:dyDescent="0.3">
      <c r="BF1507" t="e">
        <f>solver_rhs368=NonLinLarge!$J$9:$J$72</f>
        <v>#NAME?</v>
      </c>
    </row>
    <row r="1508" spans="58:58" x14ac:dyDescent="0.3">
      <c r="BF1508" t="e">
        <f>solver_rhs369=NonLinLarge!$J$73</f>
        <v>#NAME?</v>
      </c>
    </row>
    <row r="1509" spans="58:58" x14ac:dyDescent="0.3">
      <c r="BF1509" t="e">
        <f>solver_rhs37=NonLinLarge!$J$7:$J$8</f>
        <v>#NAME?</v>
      </c>
    </row>
    <row r="1510" spans="58:58" x14ac:dyDescent="0.3">
      <c r="BF1510" t="e">
        <f>solver_rhs370=NonLinLarge!$J$74</f>
        <v>#NAME?</v>
      </c>
    </row>
    <row r="1511" spans="58:58" x14ac:dyDescent="0.3">
      <c r="BF1511" t="e">
        <f>solver_rhs371=NonLinLarge!$J$75:$J$138</f>
        <v>#NAME?</v>
      </c>
    </row>
    <row r="1512" spans="58:58" x14ac:dyDescent="0.3">
      <c r="BF1512" t="e">
        <f>solver_rhs372=NonLinLarge!$J$139</f>
        <v>#NAME?</v>
      </c>
    </row>
    <row r="1513" spans="58:58" x14ac:dyDescent="0.3">
      <c r="BF1513" t="e">
        <f>solver_rhs373=NonLinLarge!$J$7:$J$8</f>
        <v>#NAME?</v>
      </c>
    </row>
    <row r="1514" spans="58:58" x14ac:dyDescent="0.3">
      <c r="BF1514" t="e">
        <f>solver_rhs374=NonLinLarge!$J$9:$J$72</f>
        <v>#NAME?</v>
      </c>
    </row>
    <row r="1515" spans="58:58" x14ac:dyDescent="0.3">
      <c r="BF1515" t="e">
        <f>solver_rhs375=NonLinLarge!$J$73</f>
        <v>#NAME?</v>
      </c>
    </row>
    <row r="1516" spans="58:58" x14ac:dyDescent="0.3">
      <c r="BF1516" t="e">
        <f>solver_rhs376=NonLinLarge!$J$74</f>
        <v>#NAME?</v>
      </c>
    </row>
    <row r="1517" spans="58:58" x14ac:dyDescent="0.3">
      <c r="BF1517" t="e">
        <f>solver_rhs377=NonLinLarge!$J$75:$J$138</f>
        <v>#NAME?</v>
      </c>
    </row>
    <row r="1518" spans="58:58" x14ac:dyDescent="0.3">
      <c r="BF1518" t="e">
        <f>solver_rhs378=NonLinLarge!$J$139</f>
        <v>#NAME?</v>
      </c>
    </row>
    <row r="1519" spans="58:58" x14ac:dyDescent="0.3">
      <c r="BF1519" t="e">
        <f>solver_rhs379=NonLinLarge!$J$7:$J$8</f>
        <v>#NAME?</v>
      </c>
    </row>
    <row r="1520" spans="58:58" x14ac:dyDescent="0.3">
      <c r="BF1520" t="e">
        <f>solver_rhs38=NonLinLarge!$J$9:$J$72</f>
        <v>#NAME?</v>
      </c>
    </row>
    <row r="1521" spans="58:58" x14ac:dyDescent="0.3">
      <c r="BF1521" t="e">
        <f>solver_rhs380=NonLinLarge!$J$9:$J$72</f>
        <v>#NAME?</v>
      </c>
    </row>
    <row r="1522" spans="58:58" x14ac:dyDescent="0.3">
      <c r="BF1522" t="e">
        <f>solver_rhs381=NonLinLarge!$J$73</f>
        <v>#NAME?</v>
      </c>
    </row>
    <row r="1523" spans="58:58" x14ac:dyDescent="0.3">
      <c r="BF1523" t="e">
        <f>solver_rhs382=NonLinLarge!$J$74</f>
        <v>#NAME?</v>
      </c>
    </row>
    <row r="1524" spans="58:58" x14ac:dyDescent="0.3">
      <c r="BF1524" t="e">
        <f>solver_rhs383=NonLinLarge!$J$75:$J$138</f>
        <v>#NAME?</v>
      </c>
    </row>
    <row r="1525" spans="58:58" x14ac:dyDescent="0.3">
      <c r="BF1525" t="e">
        <f>solver_rhs384=NonLinLarge!$J$139</f>
        <v>#NAME?</v>
      </c>
    </row>
    <row r="1526" spans="58:58" x14ac:dyDescent="0.3">
      <c r="BF1526" t="e">
        <f>solver_rhs385=NonLinLarge!$J$7:$J$8</f>
        <v>#NAME?</v>
      </c>
    </row>
    <row r="1527" spans="58:58" x14ac:dyDescent="0.3">
      <c r="BF1527" t="e">
        <f>solver_rhs386=NonLinLarge!$J$9:$J$72</f>
        <v>#NAME?</v>
      </c>
    </row>
    <row r="1528" spans="58:58" x14ac:dyDescent="0.3">
      <c r="BF1528" t="e">
        <f>solver_rhs387=NonLinLarge!$J$73</f>
        <v>#NAME?</v>
      </c>
    </row>
    <row r="1529" spans="58:58" x14ac:dyDescent="0.3">
      <c r="BF1529" t="e">
        <f>solver_rhs388=NonLinLarge!$J$74</f>
        <v>#NAME?</v>
      </c>
    </row>
    <row r="1530" spans="58:58" x14ac:dyDescent="0.3">
      <c r="BF1530" t="e">
        <f>solver_rhs389=NonLinLarge!$J$75:$J$138</f>
        <v>#NAME?</v>
      </c>
    </row>
    <row r="1531" spans="58:58" x14ac:dyDescent="0.3">
      <c r="BF1531" t="e">
        <f>solver_rhs39=NonLinLarge!$J$73</f>
        <v>#NAME?</v>
      </c>
    </row>
    <row r="1532" spans="58:58" x14ac:dyDescent="0.3">
      <c r="BF1532" t="e">
        <f>solver_rhs390=NonLinLarge!$J$139</f>
        <v>#NAME?</v>
      </c>
    </row>
    <row r="1533" spans="58:58" x14ac:dyDescent="0.3">
      <c r="BF1533" t="e">
        <f>solver_rhs391=NonLinLarge!$J$7:$J$8</f>
        <v>#NAME?</v>
      </c>
    </row>
    <row r="1534" spans="58:58" x14ac:dyDescent="0.3">
      <c r="BF1534" t="e">
        <f>solver_rhs392=NonLinLarge!$J$9:$J$72</f>
        <v>#NAME?</v>
      </c>
    </row>
    <row r="1535" spans="58:58" x14ac:dyDescent="0.3">
      <c r="BF1535" t="e">
        <f>solver_rhs393=NonLinLarge!$J$73</f>
        <v>#NAME?</v>
      </c>
    </row>
    <row r="1536" spans="58:58" x14ac:dyDescent="0.3">
      <c r="BF1536" t="e">
        <f>solver_rhs394=NonLinLarge!$J$74</f>
        <v>#NAME?</v>
      </c>
    </row>
    <row r="1537" spans="58:58" x14ac:dyDescent="0.3">
      <c r="BF1537" t="e">
        <f>solver_rhs395=NonLinLarge!$J$75:$J$138</f>
        <v>#NAME?</v>
      </c>
    </row>
    <row r="1538" spans="58:58" x14ac:dyDescent="0.3">
      <c r="BF1538" t="e">
        <f>solver_rhs396=NonLinLarge!$J$139</f>
        <v>#NAME?</v>
      </c>
    </row>
    <row r="1539" spans="58:58" x14ac:dyDescent="0.3">
      <c r="BF1539" t="e">
        <f>solver_rhs397=NonLinLarge!$J$7:$J$8</f>
        <v>#NAME?</v>
      </c>
    </row>
    <row r="1540" spans="58:58" x14ac:dyDescent="0.3">
      <c r="BF1540" t="e">
        <f>solver_rhs398=NonLinLarge!$J$9:$J$72</f>
        <v>#NAME?</v>
      </c>
    </row>
    <row r="1541" spans="58:58" x14ac:dyDescent="0.3">
      <c r="BF1541" t="e">
        <f>solver_rhs399=NonLinLarge!$J$73</f>
        <v>#NAME?</v>
      </c>
    </row>
    <row r="1542" spans="58:58" x14ac:dyDescent="0.3">
      <c r="BF1542" t="e">
        <f>solver_rhs4=NonLinLarge!$J$74</f>
        <v>#NAME?</v>
      </c>
    </row>
    <row r="1543" spans="58:58" x14ac:dyDescent="0.3">
      <c r="BF1543" t="e">
        <f>solver_rhs40=NonLinLarge!$J$74</f>
        <v>#NAME?</v>
      </c>
    </row>
    <row r="1544" spans="58:58" x14ac:dyDescent="0.3">
      <c r="BF1544" t="e">
        <f>solver_rhs400=NonLinLarge!$J$74</f>
        <v>#NAME?</v>
      </c>
    </row>
    <row r="1545" spans="58:58" x14ac:dyDescent="0.3">
      <c r="BF1545" t="e">
        <f>solver_rhs401=NonLinLarge!$J$75:$J$138</f>
        <v>#NAME?</v>
      </c>
    </row>
    <row r="1546" spans="58:58" x14ac:dyDescent="0.3">
      <c r="BF1546" t="e">
        <f>solver_rhs402=NonLinLarge!$J$139</f>
        <v>#NAME?</v>
      </c>
    </row>
    <row r="1547" spans="58:58" x14ac:dyDescent="0.3">
      <c r="BF1547" t="e">
        <f>solver_rhs403=NonLinLarge!$J$7:$J$8</f>
        <v>#NAME?</v>
      </c>
    </row>
    <row r="1548" spans="58:58" x14ac:dyDescent="0.3">
      <c r="BF1548" t="e">
        <f>solver_rhs404=NonLinLarge!$J$9:$J$72</f>
        <v>#NAME?</v>
      </c>
    </row>
    <row r="1549" spans="58:58" x14ac:dyDescent="0.3">
      <c r="BF1549" t="e">
        <f>solver_rhs405=NonLinLarge!$J$73</f>
        <v>#NAME?</v>
      </c>
    </row>
    <row r="1550" spans="58:58" x14ac:dyDescent="0.3">
      <c r="BF1550" t="e">
        <f>solver_rhs406=NonLinLarge!$J$74</f>
        <v>#NAME?</v>
      </c>
    </row>
    <row r="1551" spans="58:58" x14ac:dyDescent="0.3">
      <c r="BF1551" t="e">
        <f>solver_rhs407=NonLinLarge!$J$75:$J$138</f>
        <v>#NAME?</v>
      </c>
    </row>
    <row r="1552" spans="58:58" x14ac:dyDescent="0.3">
      <c r="BF1552" t="e">
        <f>solver_rhs408=NonLinLarge!$J$139</f>
        <v>#NAME?</v>
      </c>
    </row>
    <row r="1553" spans="58:58" x14ac:dyDescent="0.3">
      <c r="BF1553" t="e">
        <f>solver_rhs409=NonLinLarge!$J$7:$J$8</f>
        <v>#NAME?</v>
      </c>
    </row>
    <row r="1554" spans="58:58" x14ac:dyDescent="0.3">
      <c r="BF1554" t="e">
        <f>solver_rhs41=NonLinLarge!$J$75:$J$138</f>
        <v>#NAME?</v>
      </c>
    </row>
    <row r="1555" spans="58:58" x14ac:dyDescent="0.3">
      <c r="BF1555" t="e">
        <f>solver_rhs410=NonLinLarge!$J$9:$J$72</f>
        <v>#NAME?</v>
      </c>
    </row>
    <row r="1556" spans="58:58" x14ac:dyDescent="0.3">
      <c r="BF1556" t="e">
        <f>solver_rhs411=NonLinLarge!$J$73</f>
        <v>#NAME?</v>
      </c>
    </row>
    <row r="1557" spans="58:58" x14ac:dyDescent="0.3">
      <c r="BF1557" t="e">
        <f>solver_rhs412=NonLinLarge!$J$74</f>
        <v>#NAME?</v>
      </c>
    </row>
    <row r="1558" spans="58:58" x14ac:dyDescent="0.3">
      <c r="BF1558" t="e">
        <f>solver_rhs413=NonLinLarge!$J$75:$J$138</f>
        <v>#NAME?</v>
      </c>
    </row>
    <row r="1559" spans="58:58" x14ac:dyDescent="0.3">
      <c r="BF1559" t="e">
        <f>solver_rhs414=NonLinLarge!$J$139</f>
        <v>#NAME?</v>
      </c>
    </row>
    <row r="1560" spans="58:58" x14ac:dyDescent="0.3">
      <c r="BF1560" t="e">
        <f>solver_rhs415=NonLinLarge!$J$7:$J$8</f>
        <v>#NAME?</v>
      </c>
    </row>
    <row r="1561" spans="58:58" x14ac:dyDescent="0.3">
      <c r="BF1561" t="e">
        <f>solver_rhs416=NonLinLarge!$J$9:$J$72</f>
        <v>#NAME?</v>
      </c>
    </row>
    <row r="1562" spans="58:58" x14ac:dyDescent="0.3">
      <c r="BF1562" t="e">
        <f>solver_rhs417=NonLinLarge!$J$73</f>
        <v>#NAME?</v>
      </c>
    </row>
    <row r="1563" spans="58:58" x14ac:dyDescent="0.3">
      <c r="BF1563" t="e">
        <f>solver_rhs418=NonLinLarge!$J$74</f>
        <v>#NAME?</v>
      </c>
    </row>
    <row r="1564" spans="58:58" x14ac:dyDescent="0.3">
      <c r="BF1564" t="e">
        <f>solver_rhs419=NonLinLarge!$J$75:$J$138</f>
        <v>#NAME?</v>
      </c>
    </row>
    <row r="1565" spans="58:58" x14ac:dyDescent="0.3">
      <c r="BF1565" t="e">
        <f>solver_rhs42=NonLinLarge!$J$139</f>
        <v>#NAME?</v>
      </c>
    </row>
    <row r="1566" spans="58:58" x14ac:dyDescent="0.3">
      <c r="BF1566" t="e">
        <f>solver_rhs420=NonLinLarge!$J$139</f>
        <v>#NAME?</v>
      </c>
    </row>
    <row r="1567" spans="58:58" x14ac:dyDescent="0.3">
      <c r="BF1567" t="e">
        <f>solver_rhs421=NonLinLarge!$J$7:$J$8</f>
        <v>#NAME?</v>
      </c>
    </row>
    <row r="1568" spans="58:58" x14ac:dyDescent="0.3">
      <c r="BF1568" t="e">
        <f>solver_rhs422=NonLinLarge!$J$9:$J$72</f>
        <v>#NAME?</v>
      </c>
    </row>
    <row r="1569" spans="58:58" x14ac:dyDescent="0.3">
      <c r="BF1569" t="e">
        <f>solver_rhs423=NonLinLarge!$J$73</f>
        <v>#NAME?</v>
      </c>
    </row>
    <row r="1570" spans="58:58" x14ac:dyDescent="0.3">
      <c r="BF1570" t="e">
        <f>solver_rhs424=NonLinLarge!$J$74</f>
        <v>#NAME?</v>
      </c>
    </row>
    <row r="1571" spans="58:58" x14ac:dyDescent="0.3">
      <c r="BF1571" t="e">
        <f>solver_rhs425=NonLinLarge!$J$75:$J$138</f>
        <v>#NAME?</v>
      </c>
    </row>
    <row r="1572" spans="58:58" x14ac:dyDescent="0.3">
      <c r="BF1572" t="e">
        <f>solver_rhs426=NonLinLarge!$J$139</f>
        <v>#NAME?</v>
      </c>
    </row>
    <row r="1573" spans="58:58" x14ac:dyDescent="0.3">
      <c r="BF1573" t="e">
        <f>solver_rhs427=NonLinLarge!$J$7:$J$8</f>
        <v>#NAME?</v>
      </c>
    </row>
    <row r="1574" spans="58:58" x14ac:dyDescent="0.3">
      <c r="BF1574" t="e">
        <f>solver_rhs428=NonLinLarge!$J$9:$J$72</f>
        <v>#NAME?</v>
      </c>
    </row>
    <row r="1575" spans="58:58" x14ac:dyDescent="0.3">
      <c r="BF1575" t="e">
        <f>solver_rhs429=NonLinLarge!$J$73</f>
        <v>#NAME?</v>
      </c>
    </row>
    <row r="1576" spans="58:58" x14ac:dyDescent="0.3">
      <c r="BF1576" t="e">
        <f>solver_rhs43=NonLinLarge!$J$7:$J$8</f>
        <v>#NAME?</v>
      </c>
    </row>
    <row r="1577" spans="58:58" x14ac:dyDescent="0.3">
      <c r="BF1577" t="e">
        <f>solver_rhs430=NonLinLarge!$J$74</f>
        <v>#NAME?</v>
      </c>
    </row>
    <row r="1578" spans="58:58" x14ac:dyDescent="0.3">
      <c r="BF1578" t="e">
        <f>solver_rhs431=NonLinLarge!$J$75:$J$138</f>
        <v>#NAME?</v>
      </c>
    </row>
    <row r="1579" spans="58:58" x14ac:dyDescent="0.3">
      <c r="BF1579" t="e">
        <f>solver_rhs432=NonLinLarge!$J$139</f>
        <v>#NAME?</v>
      </c>
    </row>
    <row r="1580" spans="58:58" x14ac:dyDescent="0.3">
      <c r="BF1580" t="e">
        <f>solver_rhs433=NonLinLarge!$J$7:$J$8</f>
        <v>#NAME?</v>
      </c>
    </row>
    <row r="1581" spans="58:58" x14ac:dyDescent="0.3">
      <c r="BF1581" t="e">
        <f>solver_rhs434=NonLinLarge!$J$9:$J$72</f>
        <v>#NAME?</v>
      </c>
    </row>
    <row r="1582" spans="58:58" x14ac:dyDescent="0.3">
      <c r="BF1582" t="e">
        <f>solver_rhs435=NonLinLarge!$J$73</f>
        <v>#NAME?</v>
      </c>
    </row>
    <row r="1583" spans="58:58" x14ac:dyDescent="0.3">
      <c r="BF1583" t="e">
        <f>solver_rhs436=NonLinLarge!$J$74</f>
        <v>#NAME?</v>
      </c>
    </row>
    <row r="1584" spans="58:58" x14ac:dyDescent="0.3">
      <c r="BF1584" t="e">
        <f>solver_rhs437=NonLinLarge!$J$75:$J$138</f>
        <v>#NAME?</v>
      </c>
    </row>
    <row r="1585" spans="58:58" x14ac:dyDescent="0.3">
      <c r="BF1585" t="e">
        <f>solver_rhs438=NonLinLarge!$J$139</f>
        <v>#NAME?</v>
      </c>
    </row>
    <row r="1586" spans="58:58" x14ac:dyDescent="0.3">
      <c r="BF1586" t="e">
        <f>solver_rhs439=NonLinLarge!$J$7:$J$8</f>
        <v>#NAME?</v>
      </c>
    </row>
    <row r="1587" spans="58:58" x14ac:dyDescent="0.3">
      <c r="BF1587" t="e">
        <f>solver_rhs44=NonLinLarge!$J$9:$J$72</f>
        <v>#NAME?</v>
      </c>
    </row>
    <row r="1588" spans="58:58" x14ac:dyDescent="0.3">
      <c r="BF1588" t="e">
        <f>solver_rhs440=NonLinLarge!$J$9:$J$72</f>
        <v>#NAME?</v>
      </c>
    </row>
    <row r="1589" spans="58:58" x14ac:dyDescent="0.3">
      <c r="BF1589" t="e">
        <f>solver_rhs441=NonLinLarge!$J$73</f>
        <v>#NAME?</v>
      </c>
    </row>
    <row r="1590" spans="58:58" x14ac:dyDescent="0.3">
      <c r="BF1590" t="e">
        <f>solver_rhs442=NonLinLarge!$J$74</f>
        <v>#NAME?</v>
      </c>
    </row>
    <row r="1591" spans="58:58" x14ac:dyDescent="0.3">
      <c r="BF1591" t="e">
        <f>solver_rhs443=NonLinLarge!$J$75:$J$138</f>
        <v>#NAME?</v>
      </c>
    </row>
    <row r="1592" spans="58:58" x14ac:dyDescent="0.3">
      <c r="BF1592" t="e">
        <f>solver_rhs444=NonLinLarge!$J$139</f>
        <v>#NAME?</v>
      </c>
    </row>
    <row r="1593" spans="58:58" x14ac:dyDescent="0.3">
      <c r="BF1593" t="e">
        <f>solver_rhs445=NonLinLarge!$J$7:$J$8</f>
        <v>#NAME?</v>
      </c>
    </row>
    <row r="1594" spans="58:58" x14ac:dyDescent="0.3">
      <c r="BF1594" t="e">
        <f>solver_rhs446=NonLinLarge!$J$9:$J$72</f>
        <v>#NAME?</v>
      </c>
    </row>
    <row r="1595" spans="58:58" x14ac:dyDescent="0.3">
      <c r="BF1595" t="e">
        <f>solver_rhs447=NonLinLarge!$J$73</f>
        <v>#NAME?</v>
      </c>
    </row>
    <row r="1596" spans="58:58" x14ac:dyDescent="0.3">
      <c r="BF1596" t="e">
        <f>solver_rhs448=NonLinLarge!$J$74</f>
        <v>#NAME?</v>
      </c>
    </row>
    <row r="1597" spans="58:58" x14ac:dyDescent="0.3">
      <c r="BF1597" t="e">
        <f>solver_rhs449=NonLinLarge!$J$75:$J$138</f>
        <v>#NAME?</v>
      </c>
    </row>
    <row r="1598" spans="58:58" x14ac:dyDescent="0.3">
      <c r="BF1598" t="e">
        <f>solver_rhs45=NonLinLarge!$J$73</f>
        <v>#NAME?</v>
      </c>
    </row>
    <row r="1599" spans="58:58" x14ac:dyDescent="0.3">
      <c r="BF1599" t="e">
        <f>solver_rhs450=NonLinLarge!$J$139</f>
        <v>#NAME?</v>
      </c>
    </row>
    <row r="1600" spans="58:58" x14ac:dyDescent="0.3">
      <c r="BF1600" t="e">
        <f>solver_rhs451=NonLinLarge!$J$7:$J$8</f>
        <v>#NAME?</v>
      </c>
    </row>
    <row r="1601" spans="58:58" x14ac:dyDescent="0.3">
      <c r="BF1601" t="e">
        <f>solver_rhs452=NonLinLarge!$J$9:$J$72</f>
        <v>#NAME?</v>
      </c>
    </row>
    <row r="1602" spans="58:58" x14ac:dyDescent="0.3">
      <c r="BF1602" t="e">
        <f>solver_rhs453=NonLinLarge!$J$73</f>
        <v>#NAME?</v>
      </c>
    </row>
    <row r="1603" spans="58:58" x14ac:dyDescent="0.3">
      <c r="BF1603" t="e">
        <f>solver_rhs454=NonLinLarge!$J$74</f>
        <v>#NAME?</v>
      </c>
    </row>
    <row r="1604" spans="58:58" x14ac:dyDescent="0.3">
      <c r="BF1604" t="e">
        <f>solver_rhs455=NonLinLarge!$J$75:$J$138</f>
        <v>#NAME?</v>
      </c>
    </row>
    <row r="1605" spans="58:58" x14ac:dyDescent="0.3">
      <c r="BF1605" t="e">
        <f>solver_rhs456=NonLinLarge!$J$139</f>
        <v>#NAME?</v>
      </c>
    </row>
    <row r="1606" spans="58:58" x14ac:dyDescent="0.3">
      <c r="BF1606" t="e">
        <f>solver_rhs457=NonLinLarge!$J$7:$J$8</f>
        <v>#NAME?</v>
      </c>
    </row>
    <row r="1607" spans="58:58" x14ac:dyDescent="0.3">
      <c r="BF1607" t="e">
        <f>solver_rhs458=NonLinLarge!$J$9:$J$72</f>
        <v>#NAME?</v>
      </c>
    </row>
    <row r="1608" spans="58:58" x14ac:dyDescent="0.3">
      <c r="BF1608" t="e">
        <f>solver_rhs459=NonLinLarge!$J$73</f>
        <v>#NAME?</v>
      </c>
    </row>
    <row r="1609" spans="58:58" x14ac:dyDescent="0.3">
      <c r="BF1609" t="e">
        <f>solver_rhs46=NonLinLarge!$J$74</f>
        <v>#NAME?</v>
      </c>
    </row>
    <row r="1610" spans="58:58" x14ac:dyDescent="0.3">
      <c r="BF1610" t="e">
        <f>solver_rhs460=NonLinLarge!$J$74</f>
        <v>#NAME?</v>
      </c>
    </row>
    <row r="1611" spans="58:58" x14ac:dyDescent="0.3">
      <c r="BF1611" t="e">
        <f>solver_rhs461=NonLinLarge!$J$75:$J$138</f>
        <v>#NAME?</v>
      </c>
    </row>
    <row r="1612" spans="58:58" x14ac:dyDescent="0.3">
      <c r="BF1612" t="e">
        <f>solver_rhs462=NonLinLarge!$J$139</f>
        <v>#NAME?</v>
      </c>
    </row>
    <row r="1613" spans="58:58" x14ac:dyDescent="0.3">
      <c r="BF1613" t="e">
        <f>solver_rhs463=NonLinLarge!$J$7:$J$8</f>
        <v>#NAME?</v>
      </c>
    </row>
    <row r="1614" spans="58:58" x14ac:dyDescent="0.3">
      <c r="BF1614" t="e">
        <f>solver_rhs464=NonLinLarge!$J$9:$J$72</f>
        <v>#NAME?</v>
      </c>
    </row>
    <row r="1615" spans="58:58" x14ac:dyDescent="0.3">
      <c r="BF1615" t="e">
        <f>solver_rhs465=NonLinLarge!$J$73</f>
        <v>#NAME?</v>
      </c>
    </row>
    <row r="1616" spans="58:58" x14ac:dyDescent="0.3">
      <c r="BF1616" t="e">
        <f>solver_rhs466=NonLinLarge!$J$74</f>
        <v>#NAME?</v>
      </c>
    </row>
    <row r="1617" spans="58:58" x14ac:dyDescent="0.3">
      <c r="BF1617" t="e">
        <f>solver_rhs467=NonLinLarge!$J$75:$J$138</f>
        <v>#NAME?</v>
      </c>
    </row>
    <row r="1618" spans="58:58" x14ac:dyDescent="0.3">
      <c r="BF1618" t="e">
        <f>solver_rhs468=NonLinLarge!$J$139</f>
        <v>#NAME?</v>
      </c>
    </row>
    <row r="1619" spans="58:58" x14ac:dyDescent="0.3">
      <c r="BF1619" t="e">
        <f>solver_rhs469=NonLinLarge!$J$7:$J$8</f>
        <v>#NAME?</v>
      </c>
    </row>
    <row r="1620" spans="58:58" x14ac:dyDescent="0.3">
      <c r="BF1620" t="e">
        <f>solver_rhs47=NonLinLarge!$J$75:$J$138</f>
        <v>#NAME?</v>
      </c>
    </row>
    <row r="1621" spans="58:58" x14ac:dyDescent="0.3">
      <c r="BF1621" t="e">
        <f>solver_rhs470=NonLinLarge!$J$9:$J$72</f>
        <v>#NAME?</v>
      </c>
    </row>
    <row r="1622" spans="58:58" x14ac:dyDescent="0.3">
      <c r="BF1622" t="e">
        <f>solver_rhs471=NonLinLarge!$J$73</f>
        <v>#NAME?</v>
      </c>
    </row>
    <row r="1623" spans="58:58" x14ac:dyDescent="0.3">
      <c r="BF1623" t="e">
        <f>solver_rhs472=NonLinLarge!$J$74</f>
        <v>#NAME?</v>
      </c>
    </row>
    <row r="1624" spans="58:58" x14ac:dyDescent="0.3">
      <c r="BF1624" t="e">
        <f>solver_rhs473=NonLinLarge!$J$75:$J$138</f>
        <v>#NAME?</v>
      </c>
    </row>
    <row r="1625" spans="58:58" x14ac:dyDescent="0.3">
      <c r="BF1625" t="e">
        <f>solver_rhs474=NonLinLarge!$J$139</f>
        <v>#NAME?</v>
      </c>
    </row>
    <row r="1626" spans="58:58" x14ac:dyDescent="0.3">
      <c r="BF1626" t="e">
        <f>solver_rhs475=NonLinLarge!$J$7:$J$8</f>
        <v>#NAME?</v>
      </c>
    </row>
    <row r="1627" spans="58:58" x14ac:dyDescent="0.3">
      <c r="BF1627" t="e">
        <f>solver_rhs476=NonLinLarge!$J$9:$J$72</f>
        <v>#NAME?</v>
      </c>
    </row>
    <row r="1628" spans="58:58" x14ac:dyDescent="0.3">
      <c r="BF1628" t="e">
        <f>solver_rhs477=NonLinLarge!$J$73</f>
        <v>#NAME?</v>
      </c>
    </row>
    <row r="1629" spans="58:58" x14ac:dyDescent="0.3">
      <c r="BF1629" t="e">
        <f>solver_rhs478=NonLinLarge!$J$74</f>
        <v>#NAME?</v>
      </c>
    </row>
    <row r="1630" spans="58:58" x14ac:dyDescent="0.3">
      <c r="BF1630" t="e">
        <f>solver_rhs479=NonLinLarge!$J$75:$J$138</f>
        <v>#NAME?</v>
      </c>
    </row>
    <row r="1631" spans="58:58" x14ac:dyDescent="0.3">
      <c r="BF1631" t="e">
        <f>solver_rhs48=NonLinLarge!$J$139</f>
        <v>#NAME?</v>
      </c>
    </row>
    <row r="1632" spans="58:58" x14ac:dyDescent="0.3">
      <c r="BF1632" t="e">
        <f>solver_rhs480=NonLinLarge!$J$139</f>
        <v>#NAME?</v>
      </c>
    </row>
    <row r="1633" spans="58:58" x14ac:dyDescent="0.3">
      <c r="BF1633" t="e">
        <f>solver_rhs481=NonLinLarge!$J$7:$J$8</f>
        <v>#NAME?</v>
      </c>
    </row>
    <row r="1634" spans="58:58" x14ac:dyDescent="0.3">
      <c r="BF1634" t="e">
        <f>solver_rhs482=NonLinLarge!$J$9:$J$72</f>
        <v>#NAME?</v>
      </c>
    </row>
    <row r="1635" spans="58:58" x14ac:dyDescent="0.3">
      <c r="BF1635" t="e">
        <f>solver_rhs483=NonLinLarge!$J$73</f>
        <v>#NAME?</v>
      </c>
    </row>
    <row r="1636" spans="58:58" x14ac:dyDescent="0.3">
      <c r="BF1636" t="e">
        <f>solver_rhs484=NonLinLarge!$J$74</f>
        <v>#NAME?</v>
      </c>
    </row>
    <row r="1637" spans="58:58" x14ac:dyDescent="0.3">
      <c r="BF1637" t="e">
        <f>solver_rhs485=NonLinLarge!$J$75:$J$138</f>
        <v>#NAME?</v>
      </c>
    </row>
    <row r="1638" spans="58:58" x14ac:dyDescent="0.3">
      <c r="BF1638" t="e">
        <f>solver_rhs486=NonLinLarge!$J$139</f>
        <v>#NAME?</v>
      </c>
    </row>
    <row r="1639" spans="58:58" x14ac:dyDescent="0.3">
      <c r="BF1639" t="e">
        <f>solver_rhs487=NonLinLarge!$J$7:$J$8</f>
        <v>#NAME?</v>
      </c>
    </row>
    <row r="1640" spans="58:58" x14ac:dyDescent="0.3">
      <c r="BF1640" t="e">
        <f>solver_rhs488=NonLinLarge!$J$9:$J$72</f>
        <v>#NAME?</v>
      </c>
    </row>
    <row r="1641" spans="58:58" x14ac:dyDescent="0.3">
      <c r="BF1641" t="e">
        <f>solver_rhs489=NonLinLarge!$J$73</f>
        <v>#NAME?</v>
      </c>
    </row>
    <row r="1642" spans="58:58" x14ac:dyDescent="0.3">
      <c r="BF1642" t="e">
        <f>solver_rhs49=NonLinLarge!$J$7:$J$8</f>
        <v>#NAME?</v>
      </c>
    </row>
    <row r="1643" spans="58:58" x14ac:dyDescent="0.3">
      <c r="BF1643" t="e">
        <f>solver_rhs490=NonLinLarge!$J$74</f>
        <v>#NAME?</v>
      </c>
    </row>
    <row r="1644" spans="58:58" x14ac:dyDescent="0.3">
      <c r="BF1644" t="e">
        <f>solver_rhs491=NonLinLarge!$J$75:$J$138</f>
        <v>#NAME?</v>
      </c>
    </row>
    <row r="1645" spans="58:58" x14ac:dyDescent="0.3">
      <c r="BF1645" t="e">
        <f>solver_rhs492=NonLinLarge!$J$139</f>
        <v>#NAME?</v>
      </c>
    </row>
    <row r="1646" spans="58:58" x14ac:dyDescent="0.3">
      <c r="BF1646" t="e">
        <f>solver_rhs493=NonLinLarge!$J$7:$J$8</f>
        <v>#NAME?</v>
      </c>
    </row>
    <row r="1647" spans="58:58" x14ac:dyDescent="0.3">
      <c r="BF1647" t="e">
        <f>solver_rhs494=NonLinLarge!$J$9:$J$72</f>
        <v>#NAME?</v>
      </c>
    </row>
    <row r="1648" spans="58:58" x14ac:dyDescent="0.3">
      <c r="BF1648" t="e">
        <f>solver_rhs495=NonLinLarge!$J$73</f>
        <v>#NAME?</v>
      </c>
    </row>
    <row r="1649" spans="58:58" x14ac:dyDescent="0.3">
      <c r="BF1649" t="e">
        <f>solver_rhs496=NonLinLarge!$J$74</f>
        <v>#NAME?</v>
      </c>
    </row>
    <row r="1650" spans="58:58" x14ac:dyDescent="0.3">
      <c r="BF1650" t="e">
        <f>solver_rhs497=NonLinLarge!$J$75:$J$138</f>
        <v>#NAME?</v>
      </c>
    </row>
    <row r="1651" spans="58:58" x14ac:dyDescent="0.3">
      <c r="BF1651" t="e">
        <f>solver_rhs498=NonLinLarge!$J$139</f>
        <v>#NAME?</v>
      </c>
    </row>
    <row r="1652" spans="58:58" x14ac:dyDescent="0.3">
      <c r="BF1652" t="e">
        <f>solver_rhs499=NonLinLarge!$J$7:$J$8</f>
        <v>#NAME?</v>
      </c>
    </row>
    <row r="1653" spans="58:58" x14ac:dyDescent="0.3">
      <c r="BF1653" t="e">
        <f>solver_rhs5=NonLinLarge!$J$75:$J$138</f>
        <v>#NAME?</v>
      </c>
    </row>
    <row r="1654" spans="58:58" x14ac:dyDescent="0.3">
      <c r="BF1654" t="e">
        <f>solver_rhs50=NonLinLarge!$J$9:$J$72</f>
        <v>#NAME?</v>
      </c>
    </row>
    <row r="1655" spans="58:58" x14ac:dyDescent="0.3">
      <c r="BF1655" t="e">
        <f>solver_rhs500=NonLinLarge!$J$9:$J$72</f>
        <v>#NAME?</v>
      </c>
    </row>
    <row r="1656" spans="58:58" x14ac:dyDescent="0.3">
      <c r="BF1656" t="e">
        <f>solver_rhs501=NonLinLarge!$J$73</f>
        <v>#NAME?</v>
      </c>
    </row>
    <row r="1657" spans="58:58" x14ac:dyDescent="0.3">
      <c r="BF1657" t="e">
        <f>solver_rhs502=NonLinLarge!$J$74</f>
        <v>#NAME?</v>
      </c>
    </row>
    <row r="1658" spans="58:58" x14ac:dyDescent="0.3">
      <c r="BF1658" t="e">
        <f>solver_rhs503=NonLinLarge!$J$75:$J$138</f>
        <v>#NAME?</v>
      </c>
    </row>
    <row r="1659" spans="58:58" x14ac:dyDescent="0.3">
      <c r="BF1659" t="e">
        <f>solver_rhs504=NonLinLarge!$J$139</f>
        <v>#NAME?</v>
      </c>
    </row>
    <row r="1660" spans="58:58" x14ac:dyDescent="0.3">
      <c r="BF1660" t="e">
        <f>solver_rhs505=NonLinLarge!$J$7:$J$8</f>
        <v>#NAME?</v>
      </c>
    </row>
    <row r="1661" spans="58:58" x14ac:dyDescent="0.3">
      <c r="BF1661" t="e">
        <f>solver_rhs506=NonLinLarge!$J$9:$J$72</f>
        <v>#NAME?</v>
      </c>
    </row>
    <row r="1662" spans="58:58" x14ac:dyDescent="0.3">
      <c r="BF1662" t="e">
        <f>solver_rhs507=NonLinLarge!$J$73</f>
        <v>#NAME?</v>
      </c>
    </row>
    <row r="1663" spans="58:58" x14ac:dyDescent="0.3">
      <c r="BF1663" t="e">
        <f>solver_rhs508=NonLinLarge!$J$74</f>
        <v>#NAME?</v>
      </c>
    </row>
    <row r="1664" spans="58:58" x14ac:dyDescent="0.3">
      <c r="BF1664" t="e">
        <f>solver_rhs509=NonLinLarge!$J$75:$J$138</f>
        <v>#NAME?</v>
      </c>
    </row>
    <row r="1665" spans="58:58" x14ac:dyDescent="0.3">
      <c r="BF1665" t="e">
        <f>solver_rhs51=NonLinLarge!$J$73</f>
        <v>#NAME?</v>
      </c>
    </row>
    <row r="1666" spans="58:58" x14ac:dyDescent="0.3">
      <c r="BF1666" t="e">
        <f>solver_rhs510=NonLinLarge!$J$139</f>
        <v>#NAME?</v>
      </c>
    </row>
    <row r="1667" spans="58:58" x14ac:dyDescent="0.3">
      <c r="BF1667" t="e">
        <f>solver_rhs511=NonLinLarge!$J$7:$J$8</f>
        <v>#NAME?</v>
      </c>
    </row>
    <row r="1668" spans="58:58" x14ac:dyDescent="0.3">
      <c r="BF1668" t="e">
        <f>solver_rhs512=NonLinLarge!$J$9:$J$72</f>
        <v>#NAME?</v>
      </c>
    </row>
    <row r="1669" spans="58:58" x14ac:dyDescent="0.3">
      <c r="BF1669" t="e">
        <f>solver_rhs513=NonLinLarge!$J$73</f>
        <v>#NAME?</v>
      </c>
    </row>
    <row r="1670" spans="58:58" x14ac:dyDescent="0.3">
      <c r="BF1670" t="e">
        <f>solver_rhs514=NonLinLarge!$J$74</f>
        <v>#NAME?</v>
      </c>
    </row>
    <row r="1671" spans="58:58" x14ac:dyDescent="0.3">
      <c r="BF1671" t="e">
        <f>solver_rhs515=NonLinLarge!$J$75:$J$138</f>
        <v>#NAME?</v>
      </c>
    </row>
    <row r="1672" spans="58:58" x14ac:dyDescent="0.3">
      <c r="BF1672" t="e">
        <f>solver_rhs516=NonLinLarge!$J$139</f>
        <v>#NAME?</v>
      </c>
    </row>
    <row r="1673" spans="58:58" x14ac:dyDescent="0.3">
      <c r="BF1673" t="e">
        <f>solver_rhs517=NonLinLarge!$J$7:$J$8</f>
        <v>#NAME?</v>
      </c>
    </row>
    <row r="1674" spans="58:58" x14ac:dyDescent="0.3">
      <c r="BF1674" t="e">
        <f>solver_rhs518=NonLinLarge!$J$9:$J$72</f>
        <v>#NAME?</v>
      </c>
    </row>
    <row r="1675" spans="58:58" x14ac:dyDescent="0.3">
      <c r="BF1675" t="e">
        <f>solver_rhs519=NonLinLarge!$J$73</f>
        <v>#NAME?</v>
      </c>
    </row>
    <row r="1676" spans="58:58" x14ac:dyDescent="0.3">
      <c r="BF1676" t="e">
        <f>solver_rhs52=NonLinLarge!$J$74</f>
        <v>#NAME?</v>
      </c>
    </row>
    <row r="1677" spans="58:58" x14ac:dyDescent="0.3">
      <c r="BF1677" t="e">
        <f>solver_rhs520=NonLinLarge!$J$74</f>
        <v>#NAME?</v>
      </c>
    </row>
    <row r="1678" spans="58:58" x14ac:dyDescent="0.3">
      <c r="BF1678" t="e">
        <f>solver_rhs521=NonLinLarge!$J$75:$J$138</f>
        <v>#NAME?</v>
      </c>
    </row>
    <row r="1679" spans="58:58" x14ac:dyDescent="0.3">
      <c r="BF1679" t="e">
        <f>solver_rhs522=NonLinLarge!$J$139</f>
        <v>#NAME?</v>
      </c>
    </row>
    <row r="1680" spans="58:58" x14ac:dyDescent="0.3">
      <c r="BF1680" t="e">
        <f>solver_rhs523=NonLinLarge!$J$7:$J$8</f>
        <v>#NAME?</v>
      </c>
    </row>
    <row r="1681" spans="58:58" x14ac:dyDescent="0.3">
      <c r="BF1681" t="e">
        <f>solver_rhs524=NonLinLarge!$J$9:$J$72</f>
        <v>#NAME?</v>
      </c>
    </row>
    <row r="1682" spans="58:58" x14ac:dyDescent="0.3">
      <c r="BF1682" t="e">
        <f>solver_rhs525=NonLinLarge!$J$73</f>
        <v>#NAME?</v>
      </c>
    </row>
    <row r="1683" spans="58:58" x14ac:dyDescent="0.3">
      <c r="BF1683" t="e">
        <f>solver_rhs526=NonLinLarge!$J$74</f>
        <v>#NAME?</v>
      </c>
    </row>
    <row r="1684" spans="58:58" x14ac:dyDescent="0.3">
      <c r="BF1684" t="e">
        <f>solver_rhs527=NonLinLarge!$J$75:$J$138</f>
        <v>#NAME?</v>
      </c>
    </row>
    <row r="1685" spans="58:58" x14ac:dyDescent="0.3">
      <c r="BF1685" t="e">
        <f>solver_rhs528=NonLinLarge!$J$139</f>
        <v>#NAME?</v>
      </c>
    </row>
    <row r="1686" spans="58:58" x14ac:dyDescent="0.3">
      <c r="BF1686" t="e">
        <f>solver_rhs529=NonLinLarge!$J$7:$J$8</f>
        <v>#NAME?</v>
      </c>
    </row>
    <row r="1687" spans="58:58" x14ac:dyDescent="0.3">
      <c r="BF1687" t="e">
        <f>solver_rhs53=NonLinLarge!$J$75:$J$138</f>
        <v>#NAME?</v>
      </c>
    </row>
    <row r="1688" spans="58:58" x14ac:dyDescent="0.3">
      <c r="BF1688" t="e">
        <f>solver_rhs530=NonLinLarge!$J$9:$J$72</f>
        <v>#NAME?</v>
      </c>
    </row>
    <row r="1689" spans="58:58" x14ac:dyDescent="0.3">
      <c r="BF1689" t="e">
        <f>solver_rhs531=NonLinLarge!$J$73</f>
        <v>#NAME?</v>
      </c>
    </row>
    <row r="1690" spans="58:58" x14ac:dyDescent="0.3">
      <c r="BF1690" t="e">
        <f>solver_rhs532=NonLinLarge!$J$74</f>
        <v>#NAME?</v>
      </c>
    </row>
    <row r="1691" spans="58:58" x14ac:dyDescent="0.3">
      <c r="BF1691" t="e">
        <f>solver_rhs533=NonLinLarge!$J$75:$J$138</f>
        <v>#NAME?</v>
      </c>
    </row>
    <row r="1692" spans="58:58" x14ac:dyDescent="0.3">
      <c r="BF1692" t="e">
        <f>solver_rhs534=NonLinLarge!$J$139</f>
        <v>#NAME?</v>
      </c>
    </row>
    <row r="1693" spans="58:58" x14ac:dyDescent="0.3">
      <c r="BF1693" t="e">
        <f>solver_rhs535=NonLinLarge!$J$7:$J$8</f>
        <v>#NAME?</v>
      </c>
    </row>
    <row r="1694" spans="58:58" x14ac:dyDescent="0.3">
      <c r="BF1694" t="e">
        <f>solver_rhs536=NonLinLarge!$J$9:$J$72</f>
        <v>#NAME?</v>
      </c>
    </row>
    <row r="1695" spans="58:58" x14ac:dyDescent="0.3">
      <c r="BF1695" t="e">
        <f>solver_rhs537=NonLinLarge!$J$73</f>
        <v>#NAME?</v>
      </c>
    </row>
    <row r="1696" spans="58:58" x14ac:dyDescent="0.3">
      <c r="BF1696" t="e">
        <f>solver_rhs538=NonLinLarge!$J$74</f>
        <v>#NAME?</v>
      </c>
    </row>
    <row r="1697" spans="58:58" x14ac:dyDescent="0.3">
      <c r="BF1697" t="e">
        <f>solver_rhs539=NonLinLarge!$J$75:$J$138</f>
        <v>#NAME?</v>
      </c>
    </row>
    <row r="1698" spans="58:58" x14ac:dyDescent="0.3">
      <c r="BF1698" t="e">
        <f>solver_rhs54=NonLinLarge!$J$139</f>
        <v>#NAME?</v>
      </c>
    </row>
    <row r="1699" spans="58:58" x14ac:dyDescent="0.3">
      <c r="BF1699" t="e">
        <f>solver_rhs540=NonLinLarge!$J$139</f>
        <v>#NAME?</v>
      </c>
    </row>
    <row r="1700" spans="58:58" x14ac:dyDescent="0.3">
      <c r="BF1700" t="e">
        <f>solver_rhs541=NonLinLarge!$J$7:$J$8</f>
        <v>#NAME?</v>
      </c>
    </row>
    <row r="1701" spans="58:58" x14ac:dyDescent="0.3">
      <c r="BF1701" t="e">
        <f>solver_rhs542=NonLinLarge!$J$9:$J$72</f>
        <v>#NAME?</v>
      </c>
    </row>
    <row r="1702" spans="58:58" x14ac:dyDescent="0.3">
      <c r="BF1702" t="e">
        <f>solver_rhs543=NonLinLarge!$J$73</f>
        <v>#NAME?</v>
      </c>
    </row>
    <row r="1703" spans="58:58" x14ac:dyDescent="0.3">
      <c r="BF1703" t="e">
        <f>solver_rhs544=NonLinLarge!$J$74</f>
        <v>#NAME?</v>
      </c>
    </row>
    <row r="1704" spans="58:58" x14ac:dyDescent="0.3">
      <c r="BF1704" t="e">
        <f>solver_rhs545=NonLinLarge!$J$75:$J$138</f>
        <v>#NAME?</v>
      </c>
    </row>
    <row r="1705" spans="58:58" x14ac:dyDescent="0.3">
      <c r="BF1705" t="e">
        <f>solver_rhs546=NonLinLarge!$J$139</f>
        <v>#NAME?</v>
      </c>
    </row>
    <row r="1706" spans="58:58" x14ac:dyDescent="0.3">
      <c r="BF1706" t="e">
        <f>solver_rhs547=NonLinLarge!$J$7:$J$8</f>
        <v>#NAME?</v>
      </c>
    </row>
    <row r="1707" spans="58:58" x14ac:dyDescent="0.3">
      <c r="BF1707" t="e">
        <f>solver_rhs548=NonLinLarge!$J$9:$J$72</f>
        <v>#NAME?</v>
      </c>
    </row>
    <row r="1708" spans="58:58" x14ac:dyDescent="0.3">
      <c r="BF1708" t="e">
        <f>solver_rhs549=NonLinLarge!$J$73</f>
        <v>#NAME?</v>
      </c>
    </row>
    <row r="1709" spans="58:58" x14ac:dyDescent="0.3">
      <c r="BF1709" t="e">
        <f>solver_rhs55=NonLinLarge!$J$7:$J$8</f>
        <v>#NAME?</v>
      </c>
    </row>
    <row r="1710" spans="58:58" x14ac:dyDescent="0.3">
      <c r="BF1710" t="e">
        <f>solver_rhs550=NonLinLarge!$J$74</f>
        <v>#NAME?</v>
      </c>
    </row>
    <row r="1711" spans="58:58" x14ac:dyDescent="0.3">
      <c r="BF1711" t="e">
        <f>solver_rhs551=NonLinLarge!$J$75:$J$138</f>
        <v>#NAME?</v>
      </c>
    </row>
    <row r="1712" spans="58:58" x14ac:dyDescent="0.3">
      <c r="BF1712" t="e">
        <f>solver_rhs552=NonLinLarge!$J$139</f>
        <v>#NAME?</v>
      </c>
    </row>
    <row r="1713" spans="58:58" x14ac:dyDescent="0.3">
      <c r="BF1713" t="e">
        <f>solver_rhs553=NonLinLarge!$J$7:$J$8</f>
        <v>#NAME?</v>
      </c>
    </row>
    <row r="1714" spans="58:58" x14ac:dyDescent="0.3">
      <c r="BF1714" t="e">
        <f>solver_rhs554=NonLinLarge!$J$9:$J$72</f>
        <v>#NAME?</v>
      </c>
    </row>
    <row r="1715" spans="58:58" x14ac:dyDescent="0.3">
      <c r="BF1715" t="e">
        <f>solver_rhs555=NonLinLarge!$J$73</f>
        <v>#NAME?</v>
      </c>
    </row>
    <row r="1716" spans="58:58" x14ac:dyDescent="0.3">
      <c r="BF1716" t="e">
        <f>solver_rhs556=NonLinLarge!$J$74</f>
        <v>#NAME?</v>
      </c>
    </row>
    <row r="1717" spans="58:58" x14ac:dyDescent="0.3">
      <c r="BF1717" t="e">
        <f>solver_rhs557=NonLinLarge!$J$75:$J$138</f>
        <v>#NAME?</v>
      </c>
    </row>
    <row r="1718" spans="58:58" x14ac:dyDescent="0.3">
      <c r="BF1718" t="e">
        <f>solver_rhs558=NonLinLarge!$J$139</f>
        <v>#NAME?</v>
      </c>
    </row>
    <row r="1719" spans="58:58" x14ac:dyDescent="0.3">
      <c r="BF1719" t="e">
        <f>solver_rhs559=NonLinLarge!$J$7:$J$8</f>
        <v>#NAME?</v>
      </c>
    </row>
    <row r="1720" spans="58:58" x14ac:dyDescent="0.3">
      <c r="BF1720" t="e">
        <f>solver_rhs56=NonLinLarge!$J$9:$J$72</f>
        <v>#NAME?</v>
      </c>
    </row>
    <row r="1721" spans="58:58" x14ac:dyDescent="0.3">
      <c r="BF1721" t="e">
        <f>solver_rhs560=NonLinLarge!$J$9:$J$72</f>
        <v>#NAME?</v>
      </c>
    </row>
    <row r="1722" spans="58:58" x14ac:dyDescent="0.3">
      <c r="BF1722" t="e">
        <f>solver_rhs561=NonLinLarge!$J$73</f>
        <v>#NAME?</v>
      </c>
    </row>
    <row r="1723" spans="58:58" x14ac:dyDescent="0.3">
      <c r="BF1723" t="e">
        <f>solver_rhs562=NonLinLarge!$J$74</f>
        <v>#NAME?</v>
      </c>
    </row>
    <row r="1724" spans="58:58" x14ac:dyDescent="0.3">
      <c r="BF1724" t="e">
        <f>solver_rhs563=NonLinLarge!$J$75:$J$138</f>
        <v>#NAME?</v>
      </c>
    </row>
    <row r="1725" spans="58:58" x14ac:dyDescent="0.3">
      <c r="BF1725" t="e">
        <f>solver_rhs564=NonLinLarge!$J$139</f>
        <v>#NAME?</v>
      </c>
    </row>
    <row r="1726" spans="58:58" x14ac:dyDescent="0.3">
      <c r="BF1726" t="e">
        <f>solver_rhs565=NonLinLarge!$J$7:$J$8</f>
        <v>#NAME?</v>
      </c>
    </row>
    <row r="1727" spans="58:58" x14ac:dyDescent="0.3">
      <c r="BF1727" t="e">
        <f>solver_rhs566=NonLinLarge!$J$9:$J$72</f>
        <v>#NAME?</v>
      </c>
    </row>
    <row r="1728" spans="58:58" x14ac:dyDescent="0.3">
      <c r="BF1728" t="e">
        <f>solver_rhs567=NonLinLarge!$J$73</f>
        <v>#NAME?</v>
      </c>
    </row>
    <row r="1729" spans="58:58" x14ac:dyDescent="0.3">
      <c r="BF1729" t="e">
        <f>solver_rhs568=NonLinLarge!$J$74</f>
        <v>#NAME?</v>
      </c>
    </row>
    <row r="1730" spans="58:58" x14ac:dyDescent="0.3">
      <c r="BF1730" t="e">
        <f>solver_rhs569=NonLinLarge!$J$75:$J$138</f>
        <v>#NAME?</v>
      </c>
    </row>
    <row r="1731" spans="58:58" x14ac:dyDescent="0.3">
      <c r="BF1731" t="e">
        <f>solver_rhs57=NonLinLarge!$J$73</f>
        <v>#NAME?</v>
      </c>
    </row>
    <row r="1732" spans="58:58" x14ac:dyDescent="0.3">
      <c r="BF1732" t="e">
        <f>solver_rhs570=NonLinLarge!$J$139</f>
        <v>#NAME?</v>
      </c>
    </row>
    <row r="1733" spans="58:58" x14ac:dyDescent="0.3">
      <c r="BF1733" t="e">
        <f>solver_rhs571=NonLinLarge!$J$7:$J$8</f>
        <v>#NAME?</v>
      </c>
    </row>
    <row r="1734" spans="58:58" x14ac:dyDescent="0.3">
      <c r="BF1734" t="e">
        <f>solver_rhs572=NonLinLarge!$J$9:$J$72</f>
        <v>#NAME?</v>
      </c>
    </row>
    <row r="1735" spans="58:58" x14ac:dyDescent="0.3">
      <c r="BF1735" t="e">
        <f>solver_rhs573=NonLinLarge!$J$73</f>
        <v>#NAME?</v>
      </c>
    </row>
    <row r="1736" spans="58:58" x14ac:dyDescent="0.3">
      <c r="BF1736" t="e">
        <f>solver_rhs574=NonLinLarge!$J$74</f>
        <v>#NAME?</v>
      </c>
    </row>
    <row r="1737" spans="58:58" x14ac:dyDescent="0.3">
      <c r="BF1737" t="e">
        <f>solver_rhs575=NonLinLarge!$J$75:$J$138</f>
        <v>#NAME?</v>
      </c>
    </row>
    <row r="1738" spans="58:58" x14ac:dyDescent="0.3">
      <c r="BF1738" t="e">
        <f>solver_rhs576=NonLinLarge!$J$139</f>
        <v>#NAME?</v>
      </c>
    </row>
    <row r="1739" spans="58:58" x14ac:dyDescent="0.3">
      <c r="BF1739" t="e">
        <f>solver_rhs577=NonLinLarge!$J$7:$J$8</f>
        <v>#NAME?</v>
      </c>
    </row>
    <row r="1740" spans="58:58" x14ac:dyDescent="0.3">
      <c r="BF1740" t="e">
        <f>solver_rhs578=NonLinLarge!$J$9:$J$72</f>
        <v>#NAME?</v>
      </c>
    </row>
    <row r="1741" spans="58:58" x14ac:dyDescent="0.3">
      <c r="BF1741" t="e">
        <f>solver_rhs579=NonLinLarge!$J$73</f>
        <v>#NAME?</v>
      </c>
    </row>
    <row r="1742" spans="58:58" x14ac:dyDescent="0.3">
      <c r="BF1742" t="e">
        <f>solver_rhs58=NonLinLarge!$J$74</f>
        <v>#NAME?</v>
      </c>
    </row>
    <row r="1743" spans="58:58" x14ac:dyDescent="0.3">
      <c r="BF1743" t="e">
        <f>solver_rhs580=NonLinLarge!$J$74</f>
        <v>#NAME?</v>
      </c>
    </row>
    <row r="1744" spans="58:58" x14ac:dyDescent="0.3">
      <c r="BF1744" t="e">
        <f>solver_rhs581=NonLinLarge!$J$75:$J$138</f>
        <v>#NAME?</v>
      </c>
    </row>
    <row r="1745" spans="58:58" x14ac:dyDescent="0.3">
      <c r="BF1745" t="e">
        <f>solver_rhs582=NonLinLarge!$J$139</f>
        <v>#NAME?</v>
      </c>
    </row>
    <row r="1746" spans="58:58" x14ac:dyDescent="0.3">
      <c r="BF1746" t="e">
        <f>solver_rhs583=NonLinLarge!$J$7:$J$8</f>
        <v>#NAME?</v>
      </c>
    </row>
    <row r="1747" spans="58:58" x14ac:dyDescent="0.3">
      <c r="BF1747" t="e">
        <f>solver_rhs584=NonLinLarge!$J$9:$J$72</f>
        <v>#NAME?</v>
      </c>
    </row>
    <row r="1748" spans="58:58" x14ac:dyDescent="0.3">
      <c r="BF1748" t="e">
        <f>solver_rhs585=NonLinLarge!$J$73</f>
        <v>#NAME?</v>
      </c>
    </row>
    <row r="1749" spans="58:58" x14ac:dyDescent="0.3">
      <c r="BF1749" t="e">
        <f>solver_rhs586=NonLinLarge!$J$74</f>
        <v>#NAME?</v>
      </c>
    </row>
    <row r="1750" spans="58:58" x14ac:dyDescent="0.3">
      <c r="BF1750" t="e">
        <f>solver_rhs587=NonLinLarge!$J$75:$J$138</f>
        <v>#NAME?</v>
      </c>
    </row>
    <row r="1751" spans="58:58" x14ac:dyDescent="0.3">
      <c r="BF1751" t="e">
        <f>solver_rhs588=NonLinLarge!$J$139</f>
        <v>#NAME?</v>
      </c>
    </row>
    <row r="1752" spans="58:58" x14ac:dyDescent="0.3">
      <c r="BF1752" t="e">
        <f>solver_rhs589=NonLinLarge!$J$7:$J$8</f>
        <v>#NAME?</v>
      </c>
    </row>
    <row r="1753" spans="58:58" x14ac:dyDescent="0.3">
      <c r="BF1753" t="e">
        <f>solver_rhs59=NonLinLarge!$J$75:$J$138</f>
        <v>#NAME?</v>
      </c>
    </row>
    <row r="1754" spans="58:58" x14ac:dyDescent="0.3">
      <c r="BF1754" t="e">
        <f>solver_rhs590=NonLinLarge!$J$9:$J$72</f>
        <v>#NAME?</v>
      </c>
    </row>
    <row r="1755" spans="58:58" x14ac:dyDescent="0.3">
      <c r="BF1755" t="e">
        <f>solver_rhs591=NonLinLarge!$J$73</f>
        <v>#NAME?</v>
      </c>
    </row>
    <row r="1756" spans="58:58" x14ac:dyDescent="0.3">
      <c r="BF1756" t="e">
        <f>solver_rhs592=NonLinLarge!$J$74</f>
        <v>#NAME?</v>
      </c>
    </row>
    <row r="1757" spans="58:58" x14ac:dyDescent="0.3">
      <c r="BF1757" t="e">
        <f>solver_rhs593=NonLinLarge!$J$75:$J$138</f>
        <v>#NAME?</v>
      </c>
    </row>
    <row r="1758" spans="58:58" x14ac:dyDescent="0.3">
      <c r="BF1758" t="e">
        <f>solver_rhs594=NonLinLarge!$J$139</f>
        <v>#NAME?</v>
      </c>
    </row>
    <row r="1759" spans="58:58" x14ac:dyDescent="0.3">
      <c r="BF1759" t="e">
        <f>solver_rhs595=NonLinLarge!$J$7:$J$8</f>
        <v>#NAME?</v>
      </c>
    </row>
    <row r="1760" spans="58:58" x14ac:dyDescent="0.3">
      <c r="BF1760" t="e">
        <f>solver_rhs596=NonLinLarge!$J$9:$J$72</f>
        <v>#NAME?</v>
      </c>
    </row>
    <row r="1761" spans="58:58" x14ac:dyDescent="0.3">
      <c r="BF1761" t="e">
        <f>solver_rhs597=NonLinLarge!$J$73</f>
        <v>#NAME?</v>
      </c>
    </row>
    <row r="1762" spans="58:58" x14ac:dyDescent="0.3">
      <c r="BF1762" t="e">
        <f>solver_rhs598=NonLinLarge!$J$74</f>
        <v>#NAME?</v>
      </c>
    </row>
    <row r="1763" spans="58:58" x14ac:dyDescent="0.3">
      <c r="BF1763" t="e">
        <f>solver_rhs599=NonLinLarge!$J$75:$J$138</f>
        <v>#NAME?</v>
      </c>
    </row>
    <row r="1764" spans="58:58" x14ac:dyDescent="0.3">
      <c r="BF1764" t="e">
        <f>solver_rhs6=NonLinLarge!$J$139</f>
        <v>#NAME?</v>
      </c>
    </row>
    <row r="1765" spans="58:58" x14ac:dyDescent="0.3">
      <c r="BF1765" t="e">
        <f>solver_rhs60=NonLinLarge!$J$139</f>
        <v>#NAME?</v>
      </c>
    </row>
    <row r="1766" spans="58:58" x14ac:dyDescent="0.3">
      <c r="BF1766" t="e">
        <f>solver_rhs600=NonLinLarge!$J$139</f>
        <v>#NAME?</v>
      </c>
    </row>
    <row r="1767" spans="58:58" x14ac:dyDescent="0.3">
      <c r="BF1767" t="e">
        <f>solver_rhs61=NonLinLarge!$J$7:$J$8</f>
        <v>#NAME?</v>
      </c>
    </row>
    <row r="1768" spans="58:58" x14ac:dyDescent="0.3">
      <c r="BF1768" t="e">
        <f>solver_rhs62=NonLinLarge!$J$9:$J$72</f>
        <v>#NAME?</v>
      </c>
    </row>
    <row r="1769" spans="58:58" x14ac:dyDescent="0.3">
      <c r="BF1769" t="e">
        <f>solver_rhs63=NonLinLarge!$J$73</f>
        <v>#NAME?</v>
      </c>
    </row>
    <row r="1770" spans="58:58" x14ac:dyDescent="0.3">
      <c r="BF1770" t="e">
        <f>solver_rhs64=NonLinLarge!$J$74</f>
        <v>#NAME?</v>
      </c>
    </row>
    <row r="1771" spans="58:58" x14ac:dyDescent="0.3">
      <c r="BF1771" t="e">
        <f>solver_rhs65=NonLinLarge!$J$75:$J$138</f>
        <v>#NAME?</v>
      </c>
    </row>
    <row r="1772" spans="58:58" x14ac:dyDescent="0.3">
      <c r="BF1772" t="e">
        <f>solver_rhs66=NonLinLarge!$J$139</f>
        <v>#NAME?</v>
      </c>
    </row>
    <row r="1773" spans="58:58" x14ac:dyDescent="0.3">
      <c r="BF1773" t="e">
        <f>solver_rhs67=NonLinLarge!$J$7:$J$8</f>
        <v>#NAME?</v>
      </c>
    </row>
    <row r="1774" spans="58:58" x14ac:dyDescent="0.3">
      <c r="BF1774" t="e">
        <f>solver_rhs68=NonLinLarge!$J$9:$J$72</f>
        <v>#NAME?</v>
      </c>
    </row>
    <row r="1775" spans="58:58" x14ac:dyDescent="0.3">
      <c r="BF1775" t="e">
        <f>solver_rhs69=NonLinLarge!$J$73</f>
        <v>#NAME?</v>
      </c>
    </row>
    <row r="1776" spans="58:58" x14ac:dyDescent="0.3">
      <c r="BF1776" t="e">
        <f>solver_rhs7=NonLinLarge!$J$7:$J$8</f>
        <v>#NAME?</v>
      </c>
    </row>
    <row r="1777" spans="58:58" x14ac:dyDescent="0.3">
      <c r="BF1777" t="e">
        <f>solver_rhs70=NonLinLarge!$J$74</f>
        <v>#NAME?</v>
      </c>
    </row>
    <row r="1778" spans="58:58" x14ac:dyDescent="0.3">
      <c r="BF1778" t="e">
        <f>solver_rhs71=NonLinLarge!$J$75:$J$138</f>
        <v>#NAME?</v>
      </c>
    </row>
    <row r="1779" spans="58:58" x14ac:dyDescent="0.3">
      <c r="BF1779" t="e">
        <f>solver_rhs72=NonLinLarge!$J$139</f>
        <v>#NAME?</v>
      </c>
    </row>
    <row r="1780" spans="58:58" x14ac:dyDescent="0.3">
      <c r="BF1780" t="e">
        <f>solver_rhs73=NonLinLarge!$J$7:$J$8</f>
        <v>#NAME?</v>
      </c>
    </row>
    <row r="1781" spans="58:58" x14ac:dyDescent="0.3">
      <c r="BF1781" t="e">
        <f>solver_rhs74=NonLinLarge!$J$9:$J$72</f>
        <v>#NAME?</v>
      </c>
    </row>
    <row r="1782" spans="58:58" x14ac:dyDescent="0.3">
      <c r="BF1782" t="e">
        <f>solver_rhs75=NonLinLarge!$J$73</f>
        <v>#NAME?</v>
      </c>
    </row>
    <row r="1783" spans="58:58" x14ac:dyDescent="0.3">
      <c r="BF1783" t="e">
        <f>solver_rhs76=NonLinLarge!$J$74</f>
        <v>#NAME?</v>
      </c>
    </row>
    <row r="1784" spans="58:58" x14ac:dyDescent="0.3">
      <c r="BF1784" t="e">
        <f>solver_rhs77=NonLinLarge!$J$75:$J$138</f>
        <v>#NAME?</v>
      </c>
    </row>
    <row r="1785" spans="58:58" x14ac:dyDescent="0.3">
      <c r="BF1785" t="e">
        <f>solver_rhs78=NonLinLarge!$J$139</f>
        <v>#NAME?</v>
      </c>
    </row>
    <row r="1786" spans="58:58" x14ac:dyDescent="0.3">
      <c r="BF1786" t="e">
        <f>solver_rhs79=NonLinLarge!$J$7:$J$8</f>
        <v>#NAME?</v>
      </c>
    </row>
    <row r="1787" spans="58:58" x14ac:dyDescent="0.3">
      <c r="BF1787" t="e">
        <f>solver_rhs8=NonLinLarge!$J$9:$J$72</f>
        <v>#NAME?</v>
      </c>
    </row>
    <row r="1788" spans="58:58" x14ac:dyDescent="0.3">
      <c r="BF1788" t="e">
        <f>solver_rhs80=NonLinLarge!$J$9:$J$72</f>
        <v>#NAME?</v>
      </c>
    </row>
    <row r="1789" spans="58:58" x14ac:dyDescent="0.3">
      <c r="BF1789" t="e">
        <f>solver_rhs81=NonLinLarge!$J$73</f>
        <v>#NAME?</v>
      </c>
    </row>
    <row r="1790" spans="58:58" x14ac:dyDescent="0.3">
      <c r="BF1790" t="e">
        <f>solver_rhs82=NonLinLarge!$J$74</f>
        <v>#NAME?</v>
      </c>
    </row>
    <row r="1791" spans="58:58" x14ac:dyDescent="0.3">
      <c r="BF1791" t="e">
        <f>solver_rhs83=NonLinLarge!$J$75:$J$138</f>
        <v>#NAME?</v>
      </c>
    </row>
    <row r="1792" spans="58:58" x14ac:dyDescent="0.3">
      <c r="BF1792" t="e">
        <f>solver_rhs84=NonLinLarge!$J$139</f>
        <v>#NAME?</v>
      </c>
    </row>
    <row r="1793" spans="58:58" x14ac:dyDescent="0.3">
      <c r="BF1793" t="e">
        <f>solver_rhs85=NonLinLarge!$J$7:$J$8</f>
        <v>#NAME?</v>
      </c>
    </row>
    <row r="1794" spans="58:58" x14ac:dyDescent="0.3">
      <c r="BF1794" t="e">
        <f>solver_rhs86=NonLinLarge!$J$9:$J$72</f>
        <v>#NAME?</v>
      </c>
    </row>
    <row r="1795" spans="58:58" x14ac:dyDescent="0.3">
      <c r="BF1795" t="e">
        <f>solver_rhs87=NonLinLarge!$J$73</f>
        <v>#NAME?</v>
      </c>
    </row>
    <row r="1796" spans="58:58" x14ac:dyDescent="0.3">
      <c r="BF1796" t="e">
        <f>solver_rhs88=NonLinLarge!$J$74</f>
        <v>#NAME?</v>
      </c>
    </row>
    <row r="1797" spans="58:58" x14ac:dyDescent="0.3">
      <c r="BF1797" t="e">
        <f>solver_rhs89=NonLinLarge!$J$75:$J$138</f>
        <v>#NAME?</v>
      </c>
    </row>
    <row r="1798" spans="58:58" x14ac:dyDescent="0.3">
      <c r="BF1798" t="e">
        <f>solver_rhs9=NonLinLarge!$J$73</f>
        <v>#NAME?</v>
      </c>
    </row>
    <row r="1799" spans="58:58" x14ac:dyDescent="0.3">
      <c r="BF1799" t="e">
        <f>solver_rhs90=NonLinLarge!$J$139</f>
        <v>#NAME?</v>
      </c>
    </row>
    <row r="1800" spans="58:58" x14ac:dyDescent="0.3">
      <c r="BF1800" t="e">
        <f>solver_rhs91=NonLinLarge!$J$7:$J$8</f>
        <v>#NAME?</v>
      </c>
    </row>
    <row r="1801" spans="58:58" x14ac:dyDescent="0.3">
      <c r="BF1801" t="e">
        <f>solver_rhs92=NonLinLarge!$J$9:$J$72</f>
        <v>#NAME?</v>
      </c>
    </row>
    <row r="1802" spans="58:58" x14ac:dyDescent="0.3">
      <c r="BF1802" t="e">
        <f>solver_rhs93=NonLinLarge!$J$73</f>
        <v>#NAME?</v>
      </c>
    </row>
    <row r="1803" spans="58:58" x14ac:dyDescent="0.3">
      <c r="BF1803" t="e">
        <f>solver_rhs94=NonLinLarge!$J$74</f>
        <v>#NAME?</v>
      </c>
    </row>
    <row r="1804" spans="58:58" x14ac:dyDescent="0.3">
      <c r="BF1804" t="e">
        <f>solver_rhs95=NonLinLarge!$J$75:$J$138</f>
        <v>#NAME?</v>
      </c>
    </row>
    <row r="1805" spans="58:58" x14ac:dyDescent="0.3">
      <c r="BF1805" t="e">
        <f>solver_rhs96=NonLinLarge!$J$139</f>
        <v>#NAME?</v>
      </c>
    </row>
    <row r="1806" spans="58:58" x14ac:dyDescent="0.3">
      <c r="BF1806" t="e">
        <f>solver_rhs97=NonLinLarge!$J$7:$J$8</f>
        <v>#NAME?</v>
      </c>
    </row>
    <row r="1807" spans="58:58" x14ac:dyDescent="0.3">
      <c r="BF1807" t="e">
        <f>solver_rhs98=NonLinLarge!$J$9:$J$72</f>
        <v>#NAME?</v>
      </c>
    </row>
    <row r="1808" spans="58:58" x14ac:dyDescent="0.3">
      <c r="BF1808" t="e">
        <f>solver_rhs99=NonLinLarge!$J$73</f>
        <v>#NAME?</v>
      </c>
    </row>
    <row r="1809" spans="58:58" x14ac:dyDescent="0.3">
      <c r="BF1809" t="e">
        <f>solver_rlx=0</f>
        <v>#NAME?</v>
      </c>
    </row>
    <row r="1810" spans="58:58" x14ac:dyDescent="0.3">
      <c r="BF1810" t="e">
        <f>solver_sho=0</f>
        <v>#NAME?</v>
      </c>
    </row>
    <row r="1811" spans="58:58" x14ac:dyDescent="0.3">
      <c r="BF1811" t="e">
        <f>solver_tim=999999999</f>
        <v>#NAME?</v>
      </c>
    </row>
    <row r="1812" spans="58:58" x14ac:dyDescent="0.3">
      <c r="BF1812" t="e">
        <f>solver_tol=0.05</f>
        <v>#NAME?</v>
      </c>
    </row>
    <row r="1813" spans="58:58" x14ac:dyDescent="0.3">
      <c r="BF1813" t="e">
        <f>solver_typ=2</f>
        <v>#NAME?</v>
      </c>
    </row>
    <row r="1814" spans="58:58" x14ac:dyDescent="0.3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zResults"/>
  <dimension ref="A1:S73"/>
  <sheetViews>
    <sheetView tabSelected="1" topLeftCell="A45" zoomScale="85" zoomScaleNormal="85" zoomScalePageLayoutView="85" workbookViewId="0">
      <selection activeCell="H50" sqref="H50"/>
    </sheetView>
  </sheetViews>
  <sheetFormatPr defaultColWidth="9.109375" defaultRowHeight="14.4" x14ac:dyDescent="0.3"/>
  <cols>
    <col min="1" max="1" width="26.6640625" style="154" customWidth="1"/>
    <col min="2" max="16384" width="9.109375" style="59"/>
  </cols>
  <sheetData>
    <row r="1" spans="1:19" s="150" customFormat="1" ht="63" customHeight="1" thickBot="1" x14ac:dyDescent="0.35">
      <c r="A1" s="152"/>
      <c r="C1" s="188" t="s">
        <v>318</v>
      </c>
      <c r="D1" s="188"/>
      <c r="E1" s="188"/>
      <c r="F1" s="188"/>
    </row>
    <row r="2" spans="1:19" s="149" customFormat="1" ht="15" thickBot="1" x14ac:dyDescent="0.35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430</v>
      </c>
      <c r="F2" s="149" t="s">
        <v>312</v>
      </c>
      <c r="G2" s="149" t="s">
        <v>196</v>
      </c>
      <c r="H2" s="149" t="s">
        <v>232</v>
      </c>
      <c r="I2" s="149" t="s">
        <v>231</v>
      </c>
      <c r="J2" s="149" t="s">
        <v>306</v>
      </c>
      <c r="K2" s="149" t="s">
        <v>306</v>
      </c>
    </row>
    <row r="3" spans="1:19" x14ac:dyDescent="0.3">
      <c r="A3" s="155" t="str">
        <f>HYPERLINK("[OpenSolver Tester.xlsm]'SimpleLP'!A1", "SimpleLP")</f>
        <v>SimpleLP</v>
      </c>
      <c r="B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  <c r="J3" s="59" t="s">
        <v>332</v>
      </c>
    </row>
    <row r="4" spans="1:19" x14ac:dyDescent="0.3">
      <c r="A4" s="155" t="str">
        <f>HYPERLINK("[OpenSolver Tester.xlsm]'SimpleIP'!A1", "SimpleIP")</f>
        <v>SimpleIP</v>
      </c>
      <c r="B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  <c r="J4" s="59" t="s">
        <v>332</v>
      </c>
    </row>
    <row r="5" spans="1:19" x14ac:dyDescent="0.3">
      <c r="A5" s="155" t="str">
        <f>HYPERLINK("[OpenSolver Tester.xlsm]'IP_SUMIF'!A1", "IP_SUMIF")</f>
        <v>IP_SUMIF</v>
      </c>
      <c r="B5" s="59" t="s">
        <v>332</v>
      </c>
      <c r="D5" s="59" t="s">
        <v>332</v>
      </c>
      <c r="E5" s="59" t="s">
        <v>429</v>
      </c>
      <c r="F5" s="59" t="s">
        <v>429</v>
      </c>
      <c r="G5" s="59" t="s">
        <v>429</v>
      </c>
      <c r="H5" t="s">
        <v>429</v>
      </c>
      <c r="I5" s="59" t="s">
        <v>429</v>
      </c>
      <c r="J5" s="59" t="s">
        <v>429</v>
      </c>
    </row>
    <row r="6" spans="1:19" x14ac:dyDescent="0.3">
      <c r="A6" s="155" t="str">
        <f>HYPERLINK("[OpenSolver Tester.xlsm]'OverlappingVars'!A1", "OverlappingVars")</f>
        <v>OverlappingVars</v>
      </c>
      <c r="B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429</v>
      </c>
      <c r="I6" s="59" t="s">
        <v>332</v>
      </c>
      <c r="J6" s="59" t="s">
        <v>332</v>
      </c>
    </row>
    <row r="7" spans="1:19" x14ac:dyDescent="0.3">
      <c r="A7" s="155" t="str">
        <f>HYPERLINK("[OpenSolver Tester.xlsm]'BlankRHS'!A1", "BlankRHS")</f>
        <v>BlankRHS</v>
      </c>
      <c r="B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  <c r="J7" s="59" t="s">
        <v>332</v>
      </c>
    </row>
    <row r="8" spans="1:19" x14ac:dyDescent="0.3">
      <c r="A8" s="155" t="str">
        <f>HYPERLINK("[OpenSolver Tester.xlsm]'BlankLHS'!A1", "BlankLHS")</f>
        <v>BlankLHS</v>
      </c>
      <c r="B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  <c r="J8" s="59" t="s">
        <v>332</v>
      </c>
    </row>
    <row r="9" spans="1:19" x14ac:dyDescent="0.3">
      <c r="A9" s="155" t="str">
        <f>HYPERLINK("[OpenSolver Tester.xlsm]'TextRHS'!A1", "TextRHS")</f>
        <v>TextRHS</v>
      </c>
      <c r="B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  <c r="J9" s="59" t="s">
        <v>332</v>
      </c>
    </row>
    <row r="10" spans="1:19" x14ac:dyDescent="0.3">
      <c r="A10" s="155" t="str">
        <f>HYPERLINK("[OpenSolver Tester.xlsm]'ErrorRHS'!A1", "ErrorRHS")</f>
        <v>ErrorRHS</v>
      </c>
      <c r="B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  <c r="J10" s="59" t="s">
        <v>332</v>
      </c>
    </row>
    <row r="11" spans="1:19" x14ac:dyDescent="0.3">
      <c r="A11" s="155" t="str">
        <f>HYPERLINK("[OpenSolver Tester.xlsm]'ErrorLHS'!A1", "ErrorLHS")</f>
        <v>ErrorLHS</v>
      </c>
      <c r="B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  <c r="J11" s="59" t="s">
        <v>332</v>
      </c>
      <c r="R11" s="177"/>
      <c r="S11" s="177"/>
    </row>
    <row r="12" spans="1:19" x14ac:dyDescent="0.3">
      <c r="A12" s="155" t="str">
        <f>HYPERLINK("[OpenSolver Tester.xlsm]'ErrorObj'!A1", "ErrorObj")</f>
        <v>ErrorObj</v>
      </c>
      <c r="B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  <c r="J12" s="59" t="s">
        <v>332</v>
      </c>
      <c r="R12" s="177"/>
      <c r="S12" s="177"/>
    </row>
    <row r="13" spans="1:19" x14ac:dyDescent="0.3">
      <c r="A13" s="155" t="str">
        <f>HYPERLINK("[OpenSolver Tester.xlsm]'TextObj'!A1", "TextObj")</f>
        <v>TextObj</v>
      </c>
      <c r="B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  <c r="J13" s="59" t="s">
        <v>332</v>
      </c>
      <c r="R13" s="177"/>
      <c r="S13" s="177"/>
    </row>
    <row r="14" spans="1:19" x14ac:dyDescent="0.3">
      <c r="A14" s="155" t="str">
        <f>HYPERLINK("[OpenSolver Tester.xlsm]'MergedVarsSubset'!A1", "MergedVarsSubset")</f>
        <v>MergedVarsSubset</v>
      </c>
      <c r="B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  <c r="J14" s="59" t="s">
        <v>332</v>
      </c>
      <c r="R14" s="177"/>
      <c r="S14" s="177"/>
    </row>
    <row r="15" spans="1:19" x14ac:dyDescent="0.3">
      <c r="A15" s="155" t="str">
        <f>HYPERLINK("[OpenSolver Tester.xlsm]'MergedVarsOK'!A1", "MergedVarsOK")</f>
        <v>MergedVarsOK</v>
      </c>
      <c r="B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  <c r="J15" s="59" t="s">
        <v>332</v>
      </c>
      <c r="R15" s="177"/>
      <c r="S15" s="177"/>
    </row>
    <row r="16" spans="1:19" x14ac:dyDescent="0.3">
      <c r="A16" s="155" t="str">
        <f>HYPERLINK("[OpenSolver Tester.xlsm]'MergedVarsBad'!A1", "MergedVarsBad")</f>
        <v>MergedVarsBad</v>
      </c>
      <c r="B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  <c r="J16" s="59" t="s">
        <v>332</v>
      </c>
    </row>
    <row r="17" spans="1:10" x14ac:dyDescent="0.3">
      <c r="A17" s="155" t="str">
        <f>HYPERLINK("[OpenSolver Tester.xlsm]'MergedRHS_OK'!A1", "MergedRHS_OK")</f>
        <v>MergedRHS_OK</v>
      </c>
      <c r="B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  <c r="J17" s="59" t="s">
        <v>332</v>
      </c>
    </row>
    <row r="18" spans="1:10" x14ac:dyDescent="0.3">
      <c r="A18" s="155" t="str">
        <f>HYPERLINK("[OpenSolver Tester.xlsm]'MergedLHS_OK'!A1", "MergedLHS_OK")</f>
        <v>MergedLHS_OK</v>
      </c>
      <c r="B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  <c r="J18" s="59" t="s">
        <v>332</v>
      </c>
    </row>
    <row r="19" spans="1:10" x14ac:dyDescent="0.3">
      <c r="A19" s="155" t="str">
        <f>HYPERLINK("[OpenSolver Tester.xlsm]'MergedLHSMultiple_OK'!A1", "MergedLHSMultiple_OK")</f>
        <v>MergedLHSMultiple_OK</v>
      </c>
      <c r="B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  <c r="J19" s="59" t="s">
        <v>332</v>
      </c>
    </row>
    <row r="20" spans="1:10" x14ac:dyDescent="0.3">
      <c r="A20" s="155" t="str">
        <f>HYPERLINK("[OpenSolver Tester.xlsm]'BinIntOverlap'!A1", "BinIntOverlap")</f>
        <v>BinIntOverlap</v>
      </c>
      <c r="B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  <c r="J20" s="59" t="s">
        <v>332</v>
      </c>
    </row>
    <row r="21" spans="1:10" x14ac:dyDescent="0.3">
      <c r="A21" s="155" t="str">
        <f>HYPERLINK("[OpenSolver Tester.xlsm]'ConFormula'!A1", "ConFormula")</f>
        <v>ConFormula</v>
      </c>
      <c r="B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  <c r="J21" s="59" t="s">
        <v>332</v>
      </c>
    </row>
    <row r="22" spans="1:10" x14ac:dyDescent="0.3">
      <c r="A22" s="155" t="str">
        <f>HYPERLINK("[OpenSolver Tester.xlsm]'ConFormulaInf'!A1", "ConFormulaInf")</f>
        <v>ConFormulaInf</v>
      </c>
      <c r="B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  <c r="J22" s="59" t="s">
        <v>332</v>
      </c>
    </row>
    <row r="23" spans="1:10" x14ac:dyDescent="0.3">
      <c r="A23" s="155" t="str">
        <f>HYPERLINK("[OpenSolver Tester.xlsm]'BadName!'!A1", "BadName!")</f>
        <v>BadName!</v>
      </c>
      <c r="B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  <c r="J23" s="59" t="s">
        <v>332</v>
      </c>
    </row>
    <row r="24" spans="1:10" x14ac:dyDescent="0.3">
      <c r="A24" s="155" t="str">
        <f>HYPERLINK("[OpenSolver Tester.xlsm]'EscapeSheetName(1)+2-1'!A1", "EscapeSheetName(1)+2-1")</f>
        <v>EscapeSheetName(1)+2-1</v>
      </c>
      <c r="B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  <c r="J24" s="59" t="s">
        <v>332</v>
      </c>
    </row>
    <row r="25" spans="1:10" x14ac:dyDescent="0.3">
      <c r="A25" s="155" t="str">
        <f>HYPERLINK("[OpenSolver Tester.xlsm]'DeletedConRef'!A1", "DeletedConRef")</f>
        <v>DeletedConRef</v>
      </c>
      <c r="B25" s="59" t="s">
        <v>332</v>
      </c>
      <c r="D25" s="59" t="s">
        <v>332</v>
      </c>
      <c r="E25" s="59" t="s">
        <v>332</v>
      </c>
      <c r="F25" s="59" t="s">
        <v>332</v>
      </c>
      <c r="G25" s="59" t="s">
        <v>332</v>
      </c>
      <c r="H25" s="59" t="s">
        <v>332</v>
      </c>
      <c r="I25" s="59" t="s">
        <v>332</v>
      </c>
      <c r="J25" s="59" t="s">
        <v>332</v>
      </c>
    </row>
    <row r="26" spans="1:10" x14ac:dyDescent="0.3">
      <c r="A26" s="155" t="str">
        <f>HYPERLINK("[OpenSolver Tester.xlsm]'DeletedObjRef'!A1", "DeletedObjRef")</f>
        <v>DeletedObjRef</v>
      </c>
      <c r="B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  <c r="J26" s="59" t="s">
        <v>332</v>
      </c>
    </row>
    <row r="27" spans="1:10" x14ac:dyDescent="0.3">
      <c r="A27" s="155" t="str">
        <f>HYPERLINK("[OpenSolver Tester.xlsm]'InfConstConstraint'!A1", "InfConstConstraint")</f>
        <v>InfConstConstraint</v>
      </c>
      <c r="B27" s="59" t="s">
        <v>332</v>
      </c>
      <c r="D27" s="59" t="s">
        <v>332</v>
      </c>
      <c r="E27" s="59" t="s">
        <v>332</v>
      </c>
      <c r="F27" s="59" t="s">
        <v>429</v>
      </c>
      <c r="G27" s="59" t="s">
        <v>332</v>
      </c>
      <c r="H27" s="59" t="s">
        <v>332</v>
      </c>
      <c r="I27" s="59" t="s">
        <v>332</v>
      </c>
      <c r="J27" s="59" t="s">
        <v>431</v>
      </c>
    </row>
    <row r="28" spans="1:10" x14ac:dyDescent="0.3">
      <c r="A28" s="155" t="str">
        <f>HYPERLINK("[OpenSolver Tester.xlsm]'FeasConstConstraint'!A1", "FeasConstConstraint")</f>
        <v>FeasConstConstraint</v>
      </c>
      <c r="B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  <c r="J28" s="59" t="s">
        <v>332</v>
      </c>
    </row>
    <row r="29" spans="1:10" x14ac:dyDescent="0.3">
      <c r="A29" s="155" t="str">
        <f>HYPERLINK("[OpenSolver Tester.xlsm]'Unbounded'!A1", "Unbounded")</f>
        <v>Unbounded</v>
      </c>
      <c r="B29" s="59" t="s">
        <v>332</v>
      </c>
      <c r="D29" s="59" t="s">
        <v>332</v>
      </c>
      <c r="E29" s="59" t="s">
        <v>332</v>
      </c>
      <c r="F29" s="59" t="s">
        <v>332</v>
      </c>
      <c r="G29" s="59" t="s">
        <v>431</v>
      </c>
      <c r="H29" s="59" t="s">
        <v>332</v>
      </c>
      <c r="I29" s="59" t="s">
        <v>431</v>
      </c>
      <c r="J29" s="59" t="s">
        <v>431</v>
      </c>
    </row>
    <row r="30" spans="1:10" x14ac:dyDescent="0.3">
      <c r="A30" s="155" t="str">
        <f>HYPERLINK("[OpenSolver Tester.xlsm]'ProtectedSheet'!A1", "ProtectedSheet")</f>
        <v>ProtectedSheet</v>
      </c>
      <c r="B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  <c r="J30" s="59" t="s">
        <v>332</v>
      </c>
    </row>
    <row r="31" spans="1:10" x14ac:dyDescent="0.3">
      <c r="A31" s="155" t="str">
        <f>HYPERLINK("[OpenSolver Tester.xlsm]'IndirectLBs'!A1", "IndirectLBs")</f>
        <v>IndirectLBs</v>
      </c>
      <c r="B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  <c r="J31" s="59" t="s">
        <v>332</v>
      </c>
    </row>
    <row r="32" spans="1:10" x14ac:dyDescent="0.3">
      <c r="A32" s="155" t="str">
        <f>HYPERLINK("[OpenSolver Tester.xlsm]'DirectLBs'!A1", "DirectLBs")</f>
        <v>DirectLBs</v>
      </c>
      <c r="B32" s="59" t="s">
        <v>332</v>
      </c>
      <c r="D32" s="59" t="s">
        <v>332</v>
      </c>
      <c r="E32" s="59" t="s">
        <v>332</v>
      </c>
      <c r="F32" s="59" t="s">
        <v>332</v>
      </c>
      <c r="G32" s="59" t="s">
        <v>332</v>
      </c>
      <c r="H32" s="59" t="s">
        <v>332</v>
      </c>
      <c r="I32" s="59" t="s">
        <v>332</v>
      </c>
      <c r="J32" s="59" t="s">
        <v>332</v>
      </c>
    </row>
    <row r="33" spans="1:10" x14ac:dyDescent="0.3">
      <c r="A33" s="155" t="str">
        <f>HYPERLINK("[OpenSolver Tester.xlsm]'SingleRangeLB'!A1", "SingleRangeLB")</f>
        <v>SingleRangeLB</v>
      </c>
      <c r="B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  <c r="J33" s="59" t="s">
        <v>332</v>
      </c>
    </row>
    <row r="34" spans="1:10" x14ac:dyDescent="0.3">
      <c r="A34" s="155" t="str">
        <f>HYPERLINK("[OpenSolver Tester.xlsm]'BinLB'!A1", "BinLB")</f>
        <v>BinLB</v>
      </c>
      <c r="B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  <c r="J34" s="59" t="s">
        <v>431</v>
      </c>
    </row>
    <row r="35" spans="1:10" x14ac:dyDescent="0.3">
      <c r="A35" s="155" t="str">
        <f>HYPERLINK("[OpenSolver Tester.xlsm]'BinIntLB'!A1", "BinIntLB")</f>
        <v>BinIntLB</v>
      </c>
      <c r="B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  <c r="J35" s="59" t="s">
        <v>431</v>
      </c>
    </row>
    <row r="36" spans="1:10" x14ac:dyDescent="0.3">
      <c r="A36" s="155" t="str">
        <f>HYPERLINK("[OpenSolver Tester.xlsm]'Relaxation'!A1", "Relaxation")</f>
        <v>Relaxation</v>
      </c>
      <c r="B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  <c r="J36" s="59" t="s">
        <v>332</v>
      </c>
    </row>
    <row r="37" spans="1:10" x14ac:dyDescent="0.3">
      <c r="A37" s="155" t="str">
        <f>HYPERLINK("[OpenSolver Tester.xlsm]'LargeRangeLB'!A1", "LargeRangeLB")</f>
        <v>LargeRangeLB</v>
      </c>
      <c r="B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  <c r="J37" s="59" t="s">
        <v>332</v>
      </c>
    </row>
    <row r="38" spans="1:10" x14ac:dyDescent="0.3">
      <c r="A38" s="155" t="str">
        <f>HYPERLINK("[OpenSolver Tester.xlsm]'OverlapRangeLB'!A1", "OverlapRangeLB")</f>
        <v>OverlapRangeLB</v>
      </c>
      <c r="B38" s="59" t="s">
        <v>332</v>
      </c>
      <c r="C38" s="162"/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  <c r="J38" s="59" t="s">
        <v>332</v>
      </c>
    </row>
    <row r="39" spans="1:10" x14ac:dyDescent="0.3">
      <c r="A39" s="155" t="str">
        <f>HYPERLINK("[OpenSolver Tester.xlsm]'OverlapRangeLBwithFormula'!A1", "OverlapRangeLBwithFormula")</f>
        <v>OverlapRangeLBwithFormula</v>
      </c>
      <c r="B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  <c r="J39" s="59" t="s">
        <v>332</v>
      </c>
    </row>
    <row r="40" spans="1:10" x14ac:dyDescent="0.3">
      <c r="A40" s="155" t="str">
        <f>HYPERLINK("[OpenSolver Tester.xlsm]'ConstFormulaRangeLB'!A1", "ConstFormulaRangeLB")</f>
        <v>ConstFormulaRangeLB</v>
      </c>
      <c r="B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  <c r="J40" s="59" t="s">
        <v>332</v>
      </c>
    </row>
    <row r="41" spans="1:10" x14ac:dyDescent="0.3">
      <c r="A41" s="155" t="str">
        <f>HYPERLINK("[OpenSolver Tester.xlsm]'VariableFormulaRangeLB'!A1", "VariableFormulaRangeLB")</f>
        <v>VariableFormulaRangeLB</v>
      </c>
      <c r="B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  <c r="J41" s="59" t="s">
        <v>332</v>
      </c>
    </row>
    <row r="42" spans="1:10" x14ac:dyDescent="0.3">
      <c r="A42" s="155" t="str">
        <f>HYPERLINK("[OpenSolver Tester.xlsm]'ConstraintLB'!A1", "ConstraintLB")</f>
        <v>ConstraintLB</v>
      </c>
      <c r="B42" s="59" t="s">
        <v>332</v>
      </c>
      <c r="D42" s="59" t="s">
        <v>332</v>
      </c>
      <c r="E42" s="59" t="s">
        <v>332</v>
      </c>
      <c r="F42" s="59" t="s">
        <v>332</v>
      </c>
      <c r="G42" s="59" t="s">
        <v>332</v>
      </c>
      <c r="H42" s="59" t="s">
        <v>332</v>
      </c>
      <c r="I42" s="59" t="s">
        <v>332</v>
      </c>
      <c r="J42" s="59" t="s">
        <v>332</v>
      </c>
    </row>
    <row r="43" spans="1:10" x14ac:dyDescent="0.3">
      <c r="A43" s="155" t="str">
        <f>HYPERLINK("[OpenSolver Tester.xlsm]'ConstantLB'!A1", "ConstantLB")</f>
        <v>ConstantLB</v>
      </c>
      <c r="B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  <c r="J43" s="59" t="s">
        <v>332</v>
      </c>
    </row>
    <row r="44" spans="1:10" x14ac:dyDescent="0.3">
      <c r="A44" s="155" t="str">
        <f>HYPERLINK("[OpenSolver Tester.xlsm]'FormulaLB'!A1", "FormulaLB")</f>
        <v>FormulaLB</v>
      </c>
      <c r="B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  <c r="J44" s="59" t="s">
        <v>431</v>
      </c>
    </row>
    <row r="45" spans="1:10" x14ac:dyDescent="0.3">
      <c r="A45" s="155" t="str">
        <f>HYPERLINK("[OpenSolver Tester.xlsm]'VarConstraintLB'!A1", "VarConstraintLB")</f>
        <v>VarConstraintLB</v>
      </c>
      <c r="B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  <c r="J45" s="59" t="s">
        <v>431</v>
      </c>
    </row>
    <row r="46" spans="1:10" x14ac:dyDescent="0.3">
      <c r="A46" s="155" t="str">
        <f>HYPERLINK("[OpenSolver Tester.xlsm]'FractionalCoeffs'!A1", "FractionalCoeffs")</f>
        <v>FractionalCoeffs</v>
      </c>
      <c r="B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  <c r="J46" s="59" t="s">
        <v>332</v>
      </c>
    </row>
    <row r="47" spans="1:10" x14ac:dyDescent="0.3">
      <c r="A47" s="155" t="str">
        <f>HYPERLINK("[OpenSolver Tester.xlsm]'ComplexLayout'!A1", "ComplexLayout")</f>
        <v>ComplexLayout</v>
      </c>
      <c r="B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  <c r="J47" s="59" t="s">
        <v>332</v>
      </c>
    </row>
    <row r="48" spans="1:10" x14ac:dyDescent="0.3">
      <c r="A48" s="155" t="str">
        <f>HYPERLINK("[OpenSolver Tester.xlsm]'InfModel'!A1", "InfModel")</f>
        <v>InfModel</v>
      </c>
      <c r="B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  <c r="J48" s="59" t="s">
        <v>332</v>
      </c>
    </row>
    <row r="49" spans="1:10" x14ac:dyDescent="0.3">
      <c r="A49" s="155" t="str">
        <f>HYPERLINK("[OpenSolver Tester.xlsm]'IterativeCalc'!A1", "IterativeCalc")</f>
        <v>IterativeCalc</v>
      </c>
      <c r="B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  <c r="J49" s="59" t="s">
        <v>332</v>
      </c>
    </row>
    <row r="50" spans="1:10" x14ac:dyDescent="0.3">
      <c r="A50" s="155" t="str">
        <f>HYPERLINK("[OpenSolver Tester.xlsm]'NoObj'!A1", "NoObj")</f>
        <v>NoObj</v>
      </c>
      <c r="B50" s="59" t="s">
        <v>332</v>
      </c>
      <c r="D50" s="59" t="s">
        <v>332</v>
      </c>
      <c r="E50" s="59" t="s">
        <v>332</v>
      </c>
      <c r="F50" s="59" t="s">
        <v>332</v>
      </c>
      <c r="G50" s="59" t="s">
        <v>332</v>
      </c>
      <c r="H50" s="59" t="s">
        <v>332</v>
      </c>
      <c r="I50" s="59" t="s">
        <v>332</v>
      </c>
      <c r="J50" s="59" t="s">
        <v>332</v>
      </c>
    </row>
    <row r="51" spans="1:10" x14ac:dyDescent="0.3">
      <c r="A51" s="155" t="str">
        <f>HYPERLINK("[OpenSolver Tester.xlsm]'SeekObj'!A1", "SeekObj")</f>
        <v>SeekObj</v>
      </c>
      <c r="B51" s="59" t="s">
        <v>332</v>
      </c>
      <c r="D51" s="59" t="s">
        <v>332</v>
      </c>
      <c r="E51" s="59" t="s">
        <v>332</v>
      </c>
      <c r="F51" s="59" t="s">
        <v>332</v>
      </c>
      <c r="G51" s="59" t="s">
        <v>332</v>
      </c>
      <c r="H51" s="59" t="s">
        <v>332</v>
      </c>
      <c r="I51" s="59" t="s">
        <v>332</v>
      </c>
      <c r="J51" s="59" t="s">
        <v>332</v>
      </c>
    </row>
    <row r="52" spans="1:10" x14ac:dyDescent="0.3">
      <c r="A52" s="155" t="str">
        <f>HYPERLINK("[OpenSolver Tester.xlsm]'SeekObjInf'!A1", "SeekObjInf")</f>
        <v>SeekObjInf</v>
      </c>
      <c r="B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  <c r="J52" s="59" t="s">
        <v>429</v>
      </c>
    </row>
    <row r="53" spans="1:10" x14ac:dyDescent="0.3">
      <c r="A53" s="155" t="str">
        <f>HYPERLINK("[OpenSolver Tester.xlsm]'DiffSheetObj'!A1", "DiffSheetObj")</f>
        <v>DiffSheetObj</v>
      </c>
      <c r="B53" s="59" t="s">
        <v>332</v>
      </c>
      <c r="D53" s="59" t="s">
        <v>332</v>
      </c>
      <c r="E53" s="59" t="s">
        <v>332</v>
      </c>
      <c r="F53" s="59" t="s">
        <v>332</v>
      </c>
      <c r="G53" s="59" t="s">
        <v>332</v>
      </c>
      <c r="H53" s="59" t="s">
        <v>332</v>
      </c>
      <c r="I53" s="59" t="s">
        <v>332</v>
      </c>
      <c r="J53" s="59" t="s">
        <v>332</v>
      </c>
    </row>
    <row r="54" spans="1:10" x14ac:dyDescent="0.3">
      <c r="A54" s="155" t="str">
        <f>HYPERLINK("[OpenSolver Tester.xlsm]'NamedRanges'!A1", "NamedRanges")</f>
        <v>NamedRanges</v>
      </c>
      <c r="B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  <c r="J54" s="59" t="s">
        <v>332</v>
      </c>
    </row>
    <row r="55" spans="1:10" x14ac:dyDescent="0.3">
      <c r="A55" s="155" t="str">
        <f>HYPERLINK("[OpenSolver Tester.xlsm]'QuickSolve'!A1", "QuickSolve")</f>
        <v>QuickSolve</v>
      </c>
      <c r="B55" s="59" t="s">
        <v>332</v>
      </c>
      <c r="D55" s="59" t="s">
        <v>332</v>
      </c>
      <c r="E55" s="59" t="s">
        <v>332</v>
      </c>
      <c r="F55" s="59" t="s">
        <v>419</v>
      </c>
      <c r="G55" s="59" t="s">
        <v>419</v>
      </c>
      <c r="H55" s="59" t="s">
        <v>419</v>
      </c>
      <c r="I55" s="59" t="s">
        <v>419</v>
      </c>
      <c r="J55" s="59" t="s">
        <v>419</v>
      </c>
    </row>
    <row r="56" spans="1:10" x14ac:dyDescent="0.3">
      <c r="A56" s="155" t="str">
        <f>HYPERLINK("[OpenSolver Tester.xlsm]'SolverParameters'!A1", "SolverParameters")</f>
        <v>SolverParameters</v>
      </c>
      <c r="B56" s="59" t="s">
        <v>332</v>
      </c>
      <c r="D56" s="59" t="s">
        <v>429</v>
      </c>
      <c r="E56" s="59" t="s">
        <v>429</v>
      </c>
      <c r="F56" s="59" t="s">
        <v>332</v>
      </c>
      <c r="G56" s="59" t="s">
        <v>332</v>
      </c>
      <c r="H56" s="59" t="s">
        <v>332</v>
      </c>
      <c r="I56" s="59" t="s">
        <v>332</v>
      </c>
      <c r="J56" s="59" t="s">
        <v>431</v>
      </c>
    </row>
    <row r="57" spans="1:10" x14ac:dyDescent="0.3">
      <c r="A57" s="155" t="str">
        <f>HYPERLINK("[OpenSolver Tester.xlsm]'Warmstart'!A1", "Warmstart")</f>
        <v>Warmstart</v>
      </c>
      <c r="B57" s="59" t="s">
        <v>419</v>
      </c>
      <c r="D57" s="59" t="s">
        <v>419</v>
      </c>
      <c r="E57" s="59" t="s">
        <v>419</v>
      </c>
      <c r="F57" s="59" t="s">
        <v>419</v>
      </c>
      <c r="G57" s="59" t="s">
        <v>419</v>
      </c>
      <c r="H57" s="59" t="s">
        <v>419</v>
      </c>
      <c r="I57" s="59" t="s">
        <v>419</v>
      </c>
      <c r="J57" s="59" t="s">
        <v>419</v>
      </c>
    </row>
    <row r="58" spans="1:10" x14ac:dyDescent="0.3">
      <c r="A58" s="155" t="str">
        <f>HYPERLINK("[OpenSolver Tester.xlsm]'Sensitivity'!A1", "Sensitivity")</f>
        <v>Sensitivity</v>
      </c>
      <c r="B58" s="59" t="s">
        <v>332</v>
      </c>
      <c r="D58" s="59" t="s">
        <v>332</v>
      </c>
      <c r="E58" s="59" t="s">
        <v>332</v>
      </c>
      <c r="F58" s="59" t="s">
        <v>332</v>
      </c>
      <c r="G58" s="59" t="s">
        <v>332</v>
      </c>
      <c r="H58" s="59" t="s">
        <v>332</v>
      </c>
      <c r="I58" s="59" t="s">
        <v>332</v>
      </c>
      <c r="J58" s="59" t="s">
        <v>332</v>
      </c>
    </row>
    <row r="59" spans="1:10" x14ac:dyDescent="0.3">
      <c r="A59" s="155" t="str">
        <f>HYPERLINK("[OpenSolver Tester.xlsm]'SensitivityNames'!A1", "SensitivityNames")</f>
        <v>SensitivityNames</v>
      </c>
      <c r="B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  <c r="J59" s="59" t="s">
        <v>332</v>
      </c>
    </row>
    <row r="60" spans="1:10" x14ac:dyDescent="0.3">
      <c r="A60" s="155" t="str">
        <f>HYPERLINK("[OpenSolver Tester.xlsm]'NonLinSimple'!A1", "NonLinSimple")</f>
        <v>NonLinSimple</v>
      </c>
      <c r="B60" s="59" t="s">
        <v>332</v>
      </c>
      <c r="D60" s="59" t="s">
        <v>332</v>
      </c>
      <c r="E60" s="59" t="s">
        <v>429</v>
      </c>
      <c r="F60" s="59" t="s">
        <v>332</v>
      </c>
      <c r="G60" s="59" t="s">
        <v>332</v>
      </c>
      <c r="H60" s="59" t="s">
        <v>332</v>
      </c>
      <c r="I60" s="59" t="s">
        <v>332</v>
      </c>
      <c r="J60" s="59" t="s">
        <v>332</v>
      </c>
    </row>
    <row r="61" spans="1:10" x14ac:dyDescent="0.3">
      <c r="A61" s="155" t="str">
        <f>HYPERLINK("[OpenSolver Tester.xlsm]'NonLinLarge'!A1", "NonLinLarge")</f>
        <v>NonLinLarge</v>
      </c>
      <c r="B61" s="59" t="s">
        <v>332</v>
      </c>
      <c r="D61" s="59" t="s">
        <v>332</v>
      </c>
      <c r="E61" s="59" t="s">
        <v>429</v>
      </c>
      <c r="F61" s="59" t="s">
        <v>332</v>
      </c>
      <c r="G61" s="59" t="s">
        <v>332</v>
      </c>
      <c r="H61" s="59" t="s">
        <v>332</v>
      </c>
      <c r="I61" s="59" t="s">
        <v>332</v>
      </c>
      <c r="J61" s="59" t="s">
        <v>332</v>
      </c>
    </row>
    <row r="62" spans="1:10" x14ac:dyDescent="0.3">
      <c r="A62" s="155" t="str">
        <f>HYPERLINK("[OpenSolver Tester.xlsm]'NonLinObj'!A1", "NonLinObj")</f>
        <v>NonLinObj</v>
      </c>
      <c r="B62" s="59" t="s">
        <v>332</v>
      </c>
      <c r="D62" s="59" t="s">
        <v>332</v>
      </c>
      <c r="E62" s="59" t="s">
        <v>429</v>
      </c>
      <c r="F62" s="59" t="s">
        <v>332</v>
      </c>
      <c r="G62" s="59" t="s">
        <v>332</v>
      </c>
      <c r="H62" s="59" t="s">
        <v>332</v>
      </c>
      <c r="I62" s="59" t="s">
        <v>429</v>
      </c>
      <c r="J62" s="59" t="s">
        <v>332</v>
      </c>
    </row>
    <row r="63" spans="1:10" x14ac:dyDescent="0.3">
      <c r="A63" s="155" t="str">
        <f>HYPERLINK("[OpenSolver Tester.xlsm]'NonLinPruning'!A1", "NonLinPruning")</f>
        <v>NonLinPruning</v>
      </c>
      <c r="B63" s="59" t="s">
        <v>332</v>
      </c>
      <c r="D63" s="59" t="s">
        <v>332</v>
      </c>
      <c r="E63" s="59" t="s">
        <v>429</v>
      </c>
      <c r="F63" s="59" t="s">
        <v>332</v>
      </c>
      <c r="G63" s="59" t="s">
        <v>332</v>
      </c>
      <c r="H63" s="59" t="s">
        <v>332</v>
      </c>
      <c r="I63" s="59" t="s">
        <v>332</v>
      </c>
      <c r="J63" s="59" t="s">
        <v>332</v>
      </c>
    </row>
    <row r="64" spans="1:10" x14ac:dyDescent="0.3">
      <c r="A64" s="155" t="str">
        <f>HYPERLINK("[OpenSolver Tester.xlsm]'NonLinMinMax'!A1", "NonLinMinMax")</f>
        <v>NonLinMinMax</v>
      </c>
      <c r="B64" s="59" t="s">
        <v>332</v>
      </c>
      <c r="D64" s="59" t="s">
        <v>332</v>
      </c>
      <c r="E64" s="59" t="s">
        <v>429</v>
      </c>
      <c r="F64" s="59" t="s">
        <v>332</v>
      </c>
      <c r="G64" s="59" t="s">
        <v>332</v>
      </c>
      <c r="H64" s="59" t="s">
        <v>332</v>
      </c>
      <c r="I64" s="59" t="s">
        <v>431</v>
      </c>
      <c r="J64" s="59" t="s">
        <v>431</v>
      </c>
    </row>
    <row r="65" spans="1:10" x14ac:dyDescent="0.3">
      <c r="A65" s="155" t="str">
        <f>HYPERLINK("[OpenSolver Tester.xlsm]'NonLinConstraints'!A1", "NonLinConstraints")</f>
        <v>NonLinConstraints</v>
      </c>
      <c r="B65" s="59" t="s">
        <v>332</v>
      </c>
      <c r="D65" s="59" t="s">
        <v>332</v>
      </c>
      <c r="E65" s="59" t="s">
        <v>429</v>
      </c>
      <c r="F65" s="59" t="s">
        <v>332</v>
      </c>
      <c r="G65" s="59" t="s">
        <v>332</v>
      </c>
      <c r="H65" s="165" t="s">
        <v>332</v>
      </c>
      <c r="I65" s="59" t="s">
        <v>332</v>
      </c>
      <c r="J65" s="59" t="s">
        <v>332</v>
      </c>
    </row>
    <row r="66" spans="1:10" x14ac:dyDescent="0.3">
      <c r="A66" s="155" t="str">
        <f>HYPERLINK("[OpenSolver Tester.xlsm]'NonLinBinary'!A1", "NonLinBinary")</f>
        <v>NonLinBinary</v>
      </c>
      <c r="B66" s="59" t="s">
        <v>332</v>
      </c>
      <c r="D66" s="59" t="s">
        <v>332</v>
      </c>
      <c r="E66" s="59" t="s">
        <v>429</v>
      </c>
      <c r="F66" s="59" t="s">
        <v>332</v>
      </c>
      <c r="G66" s="163" t="s">
        <v>332</v>
      </c>
      <c r="H66" s="59" t="s">
        <v>332</v>
      </c>
      <c r="I66" s="59" t="s">
        <v>332</v>
      </c>
      <c r="J66" s="59" t="s">
        <v>332</v>
      </c>
    </row>
    <row r="67" spans="1:10" x14ac:dyDescent="0.3">
      <c r="A67" s="155" t="str">
        <f>HYPERLINK("[OpenSolver Tester.xlsm]'NonLin'!A1", "NonLin")</f>
        <v>NonLin</v>
      </c>
      <c r="B67" s="59" t="s">
        <v>332</v>
      </c>
      <c r="D67" s="59" t="s">
        <v>332</v>
      </c>
      <c r="E67" s="59" t="s">
        <v>429</v>
      </c>
      <c r="F67" s="59" t="s">
        <v>332</v>
      </c>
      <c r="G67" s="59" t="s">
        <v>332</v>
      </c>
      <c r="H67" s="59" t="s">
        <v>332</v>
      </c>
      <c r="I67" s="59" t="s">
        <v>332</v>
      </c>
      <c r="J67" s="59" t="s">
        <v>332</v>
      </c>
    </row>
    <row r="68" spans="1:10" x14ac:dyDescent="0.3">
      <c r="A68" s="155" t="str">
        <f>HYPERLINK("[OpenSolver Tester.xlsm]'NonLin2'!A1", "NonLin2")</f>
        <v>NonLin2</v>
      </c>
      <c r="B68" s="59" t="s">
        <v>332</v>
      </c>
      <c r="D68" s="59" t="s">
        <v>332</v>
      </c>
      <c r="E68" s="59" t="s">
        <v>429</v>
      </c>
      <c r="F68" s="59" t="s">
        <v>332</v>
      </c>
      <c r="G68" s="59" t="s">
        <v>332</v>
      </c>
      <c r="H68" s="59" t="s">
        <v>332</v>
      </c>
      <c r="I68" s="59" t="s">
        <v>332</v>
      </c>
      <c r="J68" s="59" t="s">
        <v>332</v>
      </c>
    </row>
    <row r="69" spans="1:10" x14ac:dyDescent="0.3">
      <c r="A69" s="155" t="str">
        <f>HYPERLINK("[OpenSolver Tester.xlsm]'NonLin3'!A1", "NonLin3")</f>
        <v>NonLin3</v>
      </c>
      <c r="B69" s="59" t="s">
        <v>332</v>
      </c>
      <c r="D69" s="59" t="s">
        <v>332</v>
      </c>
      <c r="E69" s="59" t="s">
        <v>429</v>
      </c>
      <c r="F69" s="59" t="s">
        <v>332</v>
      </c>
      <c r="G69" s="59" t="s">
        <v>332</v>
      </c>
      <c r="H69" s="59" t="s">
        <v>332</v>
      </c>
      <c r="I69" s="59" t="s">
        <v>332</v>
      </c>
      <c r="J69" s="59" t="s">
        <v>332</v>
      </c>
    </row>
    <row r="70" spans="1:10" x14ac:dyDescent="0.3">
      <c r="A70" s="155" t="str">
        <f>HYPERLINK("[OpenSolver Tester.xlsm]'NonLin4'!A1", "NonLin4")</f>
        <v>NonLin4</v>
      </c>
      <c r="B70" s="59" t="s">
        <v>332</v>
      </c>
      <c r="D70" s="59" t="s">
        <v>332</v>
      </c>
      <c r="E70" s="59" t="s">
        <v>332</v>
      </c>
      <c r="F70" s="59" t="s">
        <v>332</v>
      </c>
      <c r="G70" s="59" t="s">
        <v>332</v>
      </c>
      <c r="H70" s="59" t="s">
        <v>332</v>
      </c>
      <c r="I70" s="59" t="s">
        <v>332</v>
      </c>
      <c r="J70" s="59" t="s">
        <v>332</v>
      </c>
    </row>
    <row r="71" spans="1:10" x14ac:dyDescent="0.3">
      <c r="A71" s="155" t="str">
        <f>HYPERLINK("[OpenSolver Tester.xlsm]'NonLin5'!A1", "NonLin5")</f>
        <v>NonLin5</v>
      </c>
      <c r="B71" s="59" t="s">
        <v>332</v>
      </c>
      <c r="D71" s="59" t="s">
        <v>332</v>
      </c>
      <c r="E71" s="59" t="s">
        <v>429</v>
      </c>
      <c r="F71" s="59" t="s">
        <v>332</v>
      </c>
      <c r="G71" s="59" t="s">
        <v>332</v>
      </c>
      <c r="H71" s="59" t="s">
        <v>332</v>
      </c>
      <c r="I71" s="59" t="s">
        <v>332</v>
      </c>
      <c r="J71" s="59" t="s">
        <v>332</v>
      </c>
    </row>
    <row r="72" spans="1:10" x14ac:dyDescent="0.3">
      <c r="A72" s="155" t="str">
        <f>HYPERLINK("[OpenSolver Tester.xlsm]'NonLin6'!A1", "NonLin6")</f>
        <v>NonLin6</v>
      </c>
      <c r="B72" s="59" t="s">
        <v>332</v>
      </c>
      <c r="D72" s="59" t="s">
        <v>332</v>
      </c>
      <c r="E72" s="59" t="s">
        <v>429</v>
      </c>
      <c r="F72" s="59" t="s">
        <v>332</v>
      </c>
      <c r="G72" s="59" t="s">
        <v>332</v>
      </c>
      <c r="H72" s="59" t="s">
        <v>332</v>
      </c>
      <c r="I72" s="59" t="s">
        <v>332</v>
      </c>
      <c r="J72" s="59" t="s">
        <v>332</v>
      </c>
    </row>
    <row r="73" spans="1:10" x14ac:dyDescent="0.3">
      <c r="A73" s="155" t="str">
        <f>HYPERLINK("[OpenSolver Tester.xlsm]'NOMADCallback'!A1", "NOMADCallback")</f>
        <v>NOMADCallback</v>
      </c>
      <c r="B73" s="59" t="s">
        <v>419</v>
      </c>
      <c r="D73" s="59" t="s">
        <v>419</v>
      </c>
      <c r="E73" s="59" t="s">
        <v>419</v>
      </c>
      <c r="F73" s="59" t="s">
        <v>419</v>
      </c>
      <c r="G73" s="59" t="s">
        <v>332</v>
      </c>
      <c r="H73" s="59" t="s">
        <v>419</v>
      </c>
      <c r="I73" s="59" t="s">
        <v>419</v>
      </c>
      <c r="J73" s="59" t="s">
        <v>419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198120</xdr:rowOff>
                  </from>
                  <to>
                    <xdr:col>1</xdr:col>
                    <xdr:colOff>449580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144780</xdr:colOff>
                    <xdr:row>0</xdr:row>
                    <xdr:rowOff>198120</xdr:rowOff>
                  </from>
                  <to>
                    <xdr:col>8</xdr:col>
                    <xdr:colOff>457200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259080</xdr:colOff>
                    <xdr:row>0</xdr:row>
                    <xdr:rowOff>190500</xdr:rowOff>
                  </from>
                  <to>
                    <xdr:col>11</xdr:col>
                    <xdr:colOff>563880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160020</xdr:colOff>
                    <xdr:row>0</xdr:row>
                    <xdr:rowOff>640080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impleLP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62" t="s">
        <v>203</v>
      </c>
      <c r="D1" s="18" t="s">
        <v>31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0" ht="15" thickBot="1" x14ac:dyDescent="0.35">
      <c r="A4" s="63" t="s">
        <v>206</v>
      </c>
      <c r="D4" s="134">
        <v>0</v>
      </c>
      <c r="E4" s="147">
        <v>5.2941176432194004</v>
      </c>
      <c r="F4" s="147">
        <v>0</v>
      </c>
      <c r="H4"/>
      <c r="I4"/>
      <c r="J4"/>
    </row>
    <row r="5" spans="1:10" x14ac:dyDescent="0.3">
      <c r="A5" s="62" t="s">
        <v>209</v>
      </c>
    </row>
    <row r="6" spans="1:10" ht="15" thickBot="1" x14ac:dyDescent="0.35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3">
      <c r="A7" s="62" t="s">
        <v>210</v>
      </c>
    </row>
    <row r="8" spans="1:10" x14ac:dyDescent="0.3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86">
        <f t="shared" ref="H8:H9" si="0">SUMPRODUCT($D$4:$F$4,D8:F8)</f>
        <v>58.235294075413407</v>
      </c>
      <c r="I8" s="1" t="s">
        <v>8</v>
      </c>
      <c r="J8" s="1">
        <v>60</v>
      </c>
    </row>
    <row r="9" spans="1:10" ht="15" thickBot="1" x14ac:dyDescent="0.35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86">
        <f t="shared" si="0"/>
        <v>116.47058815082681</v>
      </c>
      <c r="I9" s="1" t="s">
        <v>8</v>
      </c>
      <c r="J9" s="1">
        <v>150</v>
      </c>
    </row>
    <row r="10" spans="1:10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3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2" spans="1:10" x14ac:dyDescent="0.3">
      <c r="I12" s="38"/>
    </row>
    <row r="13" spans="1:10" x14ac:dyDescent="0.3">
      <c r="I13" s="38"/>
    </row>
    <row r="15" spans="1:10" x14ac:dyDescent="0.3">
      <c r="C15" s="17" t="s">
        <v>15</v>
      </c>
    </row>
    <row r="16" spans="1:10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 xr:uid="{00000000-0002-0000-0300-000000000000}">
      <formula1>OpenSolverResult</formula1>
    </dataValidation>
    <dataValidation type="list" allowBlank="1" showInputMessage="1" showErrorMessage="1" sqref="A4:B4" xr:uid="{00000000-0002-0000-0300-000001000000}">
      <formula1>ModelType</formula1>
    </dataValidation>
    <dataValidation type="list" allowBlank="1" showInputMessage="1" showErrorMessage="1" sqref="A2:B2" xr:uid="{00000000-0002-0000-03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impleIP"/>
  <dimension ref="A1:J21"/>
  <sheetViews>
    <sheetView workbookViewId="0">
      <selection activeCell="N1" sqref="N1"/>
    </sheetView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3" width="9" customWidth="1"/>
    <col min="4" max="4" width="13.6640625" style="170" customWidth="1"/>
    <col min="5" max="5" width="13" style="170" customWidth="1"/>
    <col min="6" max="6" width="5.109375" style="170" customWidth="1"/>
    <col min="7" max="7" width="3.109375" style="170" customWidth="1"/>
    <col min="8" max="8" width="8.33203125" style="170" customWidth="1"/>
    <col min="9" max="9" width="3" style="170" bestFit="1" customWidth="1"/>
    <col min="10" max="10" width="6" style="170" customWidth="1"/>
    <col min="14" max="14" width="7.6640625" customWidth="1"/>
  </cols>
  <sheetData>
    <row r="1" spans="1:10" x14ac:dyDescent="0.3">
      <c r="A1" s="62" t="s">
        <v>203</v>
      </c>
      <c r="D1" s="18" t="s">
        <v>350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C3" s="171"/>
      <c r="D3" s="172"/>
      <c r="E3" s="173"/>
    </row>
    <row r="4" spans="1:10" ht="15" thickBot="1" x14ac:dyDescent="0.35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3">
      <c r="A5" s="62" t="s">
        <v>209</v>
      </c>
      <c r="C5" s="140">
        <v>1</v>
      </c>
      <c r="D5" s="35">
        <v>2</v>
      </c>
      <c r="E5" s="187">
        <v>0</v>
      </c>
    </row>
    <row r="6" spans="1:10" ht="15" thickBot="1" x14ac:dyDescent="0.35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3">
      <c r="A7" s="62" t="s">
        <v>210</v>
      </c>
      <c r="C7" s="140">
        <v>3</v>
      </c>
      <c r="D7" s="35">
        <v>4</v>
      </c>
      <c r="E7" s="141">
        <v>1</v>
      </c>
    </row>
    <row r="8" spans="1:10" x14ac:dyDescent="0.3">
      <c r="A8" s="64" t="s">
        <v>200</v>
      </c>
      <c r="C8" s="140"/>
      <c r="D8" s="35"/>
      <c r="E8" s="141"/>
    </row>
    <row r="9" spans="1:10" ht="15" thickBot="1" x14ac:dyDescent="0.35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" thickBot="1" x14ac:dyDescent="0.35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3">
      <c r="C15" s="17" t="s">
        <v>15</v>
      </c>
    </row>
    <row r="16" spans="1:10" x14ac:dyDescent="0.3">
      <c r="D16" s="170">
        <v>0</v>
      </c>
      <c r="E16" s="170">
        <v>1</v>
      </c>
      <c r="F16" s="170">
        <v>1</v>
      </c>
    </row>
    <row r="17" spans="3:6" x14ac:dyDescent="0.3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3">
      <c r="C19" s="17" t="s">
        <v>16</v>
      </c>
    </row>
    <row r="20" spans="3:6" x14ac:dyDescent="0.3">
      <c r="D20" s="170">
        <v>7</v>
      </c>
    </row>
    <row r="21" spans="3:6" x14ac:dyDescent="0.3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 xr:uid="{00000000-0002-0000-0400-000000000000}">
      <formula1>TestType</formula1>
    </dataValidation>
    <dataValidation type="list" allowBlank="1" showInputMessage="1" showErrorMessage="1" sqref="A4:B4" xr:uid="{00000000-0002-0000-0400-000001000000}">
      <formula1>ModelType</formula1>
    </dataValidation>
    <dataValidation type="list" allowBlank="1" showInputMessage="1" showErrorMessage="1" sqref="A8:B8" xr:uid="{00000000-0002-0000-04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IP_SUMIF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3" width="9" customWidth="1"/>
    <col min="4" max="4" width="13.6640625" style="178" customWidth="1"/>
    <col min="5" max="5" width="13" style="178" customWidth="1"/>
    <col min="6" max="6" width="5.109375" style="178" customWidth="1"/>
    <col min="7" max="7" width="3.109375" style="178" customWidth="1"/>
    <col min="8" max="8" width="8.33203125" style="178" customWidth="1"/>
    <col min="9" max="9" width="3" style="178" bestFit="1" customWidth="1"/>
    <col min="10" max="10" width="6" style="178" customWidth="1"/>
    <col min="14" max="14" width="7.6640625" customWidth="1"/>
  </cols>
  <sheetData>
    <row r="1" spans="1:10" x14ac:dyDescent="0.3">
      <c r="A1" s="62" t="s">
        <v>203</v>
      </c>
      <c r="D1" s="18" t="s">
        <v>406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C3" s="171"/>
      <c r="D3" s="172"/>
      <c r="E3" s="173"/>
    </row>
    <row r="4" spans="1:10" ht="15" thickBot="1" x14ac:dyDescent="0.35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3">
      <c r="A5" s="62" t="s">
        <v>209</v>
      </c>
      <c r="C5" s="140">
        <v>1</v>
      </c>
      <c r="D5" s="35">
        <v>2</v>
      </c>
      <c r="E5" s="141">
        <v>1</v>
      </c>
    </row>
    <row r="6" spans="1:10" ht="15" thickBot="1" x14ac:dyDescent="0.35">
      <c r="A6" s="63" t="b">
        <f>AND(D17,E17,F17,D21)</f>
        <v>0</v>
      </c>
      <c r="C6" s="140">
        <v>2</v>
      </c>
      <c r="D6" s="35">
        <v>3</v>
      </c>
      <c r="E6" s="141">
        <v>1</v>
      </c>
    </row>
    <row r="7" spans="1:10" x14ac:dyDescent="0.3">
      <c r="A7" s="62" t="s">
        <v>210</v>
      </c>
      <c r="C7" s="140">
        <v>3</v>
      </c>
      <c r="D7" s="35">
        <v>4</v>
      </c>
      <c r="E7" s="141">
        <v>0</v>
      </c>
    </row>
    <row r="8" spans="1:10" x14ac:dyDescent="0.3">
      <c r="A8" s="64" t="s">
        <v>200</v>
      </c>
      <c r="C8" s="140"/>
      <c r="D8" s="35"/>
      <c r="E8" s="141"/>
    </row>
    <row r="9" spans="1:10" ht="15" thickBot="1" x14ac:dyDescent="0.35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" thickBot="1" x14ac:dyDescent="0.35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3</v>
      </c>
      <c r="E10" s="176">
        <f>SUMIF(E5:E7,"=1",D5:D7)</f>
        <v>5</v>
      </c>
    </row>
    <row r="15" spans="1:10" x14ac:dyDescent="0.3">
      <c r="C15" s="17" t="s">
        <v>15</v>
      </c>
    </row>
    <row r="16" spans="1:10" x14ac:dyDescent="0.3">
      <c r="D16" s="178">
        <v>0</v>
      </c>
      <c r="E16" s="178">
        <v>1</v>
      </c>
      <c r="F16" s="178">
        <v>1</v>
      </c>
    </row>
    <row r="17" spans="3:6" x14ac:dyDescent="0.3">
      <c r="C17" t="s">
        <v>17</v>
      </c>
      <c r="D17" s="8" t="b">
        <f>ABS(E5-D16)/(1+ABS(D16))&lt;=0.000001</f>
        <v>0</v>
      </c>
      <c r="E17" s="8" t="b">
        <f>ABS(E6-E16)/(1+ABS(E16))&lt;=0.000001</f>
        <v>1</v>
      </c>
      <c r="F17" s="8" t="b">
        <f>ABS(E7-F16)/(1+ABS(F16))&lt;=0.000001</f>
        <v>0</v>
      </c>
    </row>
    <row r="19" spans="3:6" x14ac:dyDescent="0.3">
      <c r="C19" s="17" t="s">
        <v>16</v>
      </c>
    </row>
    <row r="20" spans="3:6" x14ac:dyDescent="0.3">
      <c r="D20" s="178">
        <v>7</v>
      </c>
    </row>
    <row r="21" spans="3:6" x14ac:dyDescent="0.3">
      <c r="C21" t="s">
        <v>17</v>
      </c>
      <c r="D21" s="8" t="b">
        <f>ABS(D20-E10)/(1+ABS(D20))&lt;=0.000001</f>
        <v>0</v>
      </c>
    </row>
  </sheetData>
  <dataConsolidate/>
  <dataValidations count="3">
    <dataValidation type="list" allowBlank="1" showInputMessage="1" showErrorMessage="1" sqref="A8:B8" xr:uid="{00000000-0002-0000-0500-000000000000}">
      <formula1>OpenSolverResult</formula1>
    </dataValidation>
    <dataValidation type="list" allowBlank="1" showInputMessage="1" showErrorMessage="1" sqref="A4:B4" xr:uid="{00000000-0002-0000-0500-000001000000}">
      <formula1>ModelType</formula1>
    </dataValidation>
    <dataValidation type="list" allowBlank="1" showInputMessage="1" showErrorMessage="1" sqref="A2:B2" xr:uid="{00000000-0002-0000-05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OverlappingVars"/>
  <dimension ref="A1:J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62" t="s">
        <v>203</v>
      </c>
      <c r="D1" s="18" t="s">
        <v>84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0" ht="15" thickBot="1" x14ac:dyDescent="0.35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0" x14ac:dyDescent="0.3">
      <c r="A5" s="62" t="s">
        <v>209</v>
      </c>
    </row>
    <row r="6" spans="1:10" ht="15" thickBot="1" x14ac:dyDescent="0.35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3">
      <c r="A7" s="62" t="s">
        <v>210</v>
      </c>
    </row>
    <row r="8" spans="1:10" x14ac:dyDescent="0.3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" thickBot="1" x14ac:dyDescent="0.35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3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0" x14ac:dyDescent="0.3">
      <c r="C15" s="17" t="s">
        <v>15</v>
      </c>
    </row>
    <row r="16" spans="1:10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 xr:uid="{00000000-0002-0000-0600-000000000000}">
      <formula1>TestType</formula1>
    </dataValidation>
    <dataValidation type="list" allowBlank="1" showInputMessage="1" showErrorMessage="1" sqref="A4:B4" xr:uid="{00000000-0002-0000-0600-000001000000}">
      <formula1>ModelType</formula1>
    </dataValidation>
    <dataValidation type="list" allowBlank="1" showInputMessage="1" showErrorMessage="1" sqref="A8:B8" xr:uid="{00000000-0002-0000-06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nkRHS"/>
  <dimension ref="A1:L21"/>
  <sheetViews>
    <sheetView workbookViewId="0">
      <selection activeCell="W13" sqref="W13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 x14ac:dyDescent="0.3">
      <c r="A1" s="62" t="s">
        <v>203</v>
      </c>
      <c r="D1" s="18" t="s">
        <v>211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3">
      <c r="A7" s="62" t="s">
        <v>210</v>
      </c>
    </row>
    <row r="8" spans="1:12" x14ac:dyDescent="0.3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 xr:uid="{00000000-0002-0000-0700-000000000000}">
      <formula1>OpenSolverResult</formula1>
    </dataValidation>
    <dataValidation type="list" allowBlank="1" showInputMessage="1" showErrorMessage="1" sqref="A4" xr:uid="{00000000-0002-0000-0700-000001000000}">
      <formula1>ModelType</formula1>
    </dataValidation>
    <dataValidation type="list" allowBlank="1" showInputMessage="1" showErrorMessage="1" sqref="A2" xr:uid="{00000000-0002-0000-07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nkLHS"/>
  <dimension ref="A1:L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 x14ac:dyDescent="0.3">
      <c r="A1" s="62" t="s">
        <v>203</v>
      </c>
      <c r="D1" s="18" t="s">
        <v>212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5.2941176432194013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15.882352929658204</v>
      </c>
    </row>
    <row r="7" spans="1:12" x14ac:dyDescent="0.3">
      <c r="A7" s="62" t="s">
        <v>210</v>
      </c>
    </row>
    <row r="8" spans="1:12" x14ac:dyDescent="0.3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58.235294075413414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116.47058815082683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179.99999986945966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 xr:uid="{00000000-0002-0000-0800-000000000000}">
      <formula1>TestType</formula1>
    </dataValidation>
    <dataValidation type="list" allowBlank="1" showInputMessage="1" showErrorMessage="1" sqref="A4" xr:uid="{00000000-0002-0000-0800-000001000000}">
      <formula1>ModelType</formula1>
    </dataValidation>
    <dataValidation type="list" allowBlank="1" showInputMessage="1" showErrorMessage="1" sqref="A8" xr:uid="{00000000-0002-0000-08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extRHS"/>
  <dimension ref="A1:L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 x14ac:dyDescent="0.3">
      <c r="A1" s="62" t="s">
        <v>203</v>
      </c>
      <c r="D1" s="18" t="s">
        <v>93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3">
      <c r="A7" s="62" t="s">
        <v>210</v>
      </c>
    </row>
    <row r="8" spans="1:12" x14ac:dyDescent="0.3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 xr:uid="{00000000-0002-0000-0900-000000000000}">
      <formula1>OpenSolverResult</formula1>
    </dataValidation>
    <dataValidation type="list" allowBlank="1" showInputMessage="1" showErrorMessage="1" sqref="A4" xr:uid="{00000000-0002-0000-0900-000001000000}">
      <formula1>ModelType</formula1>
    </dataValidation>
    <dataValidation type="list" allowBlank="1" showInputMessage="1" showErrorMessage="1" sqref="A2" xr:uid="{00000000-0002-0000-09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ErrorRHS"/>
  <dimension ref="A1:L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95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3">
      <c r="A7" s="62" t="s">
        <v>210</v>
      </c>
    </row>
    <row r="8" spans="1:12" x14ac:dyDescent="0.3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 xr:uid="{00000000-0002-0000-0A00-000000000000}">
      <formula1>TestType</formula1>
    </dataValidation>
    <dataValidation type="list" allowBlank="1" showInputMessage="1" showErrorMessage="1" sqref="A4" xr:uid="{00000000-0002-0000-0A00-000001000000}">
      <formula1>ModelType</formula1>
    </dataValidation>
    <dataValidation type="list" allowBlank="1" showInputMessage="1" showErrorMessage="1" sqref="A8" xr:uid="{00000000-0002-0000-0A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ErrorLHS"/>
  <dimension ref="A1:L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105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3">
      <c r="A7" s="62" t="s">
        <v>210</v>
      </c>
    </row>
    <row r="8" spans="1:12" x14ac:dyDescent="0.3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 xr:uid="{00000000-0002-0000-0B00-000000000000}">
      <formula1>OpenSolverResult</formula1>
    </dataValidation>
    <dataValidation type="list" allowBlank="1" showInputMessage="1" showErrorMessage="1" sqref="A4" xr:uid="{00000000-0002-0000-0B00-000001000000}">
      <formula1>ModelType</formula1>
    </dataValidation>
    <dataValidation type="list" allowBlank="1" showInputMessage="1" showErrorMessage="1" sqref="A2" xr:uid="{00000000-0002-0000-0B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rrorObj"/>
  <dimension ref="A1:L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97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3">
      <c r="A7" s="62" t="s">
        <v>210</v>
      </c>
    </row>
    <row r="8" spans="1:12" x14ac:dyDescent="0.3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 xr:uid="{00000000-0002-0000-0C00-000000000000}">
      <formula1>TestType</formula1>
    </dataValidation>
    <dataValidation type="list" allowBlank="1" showInputMessage="1" showErrorMessage="1" sqref="A4" xr:uid="{00000000-0002-0000-0C00-000001000000}">
      <formula1>ModelType</formula1>
    </dataValidation>
    <dataValidation type="list" allowBlank="1" showInputMessage="1" showErrorMessage="1" sqref="A8" xr:uid="{00000000-0002-0000-0C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extObj"/>
  <dimension ref="A1:L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97</v>
      </c>
    </row>
    <row r="2" spans="1:12" ht="15" thickBot="1" x14ac:dyDescent="0.35">
      <c r="A2" s="63" t="s">
        <v>204</v>
      </c>
    </row>
    <row r="3" spans="1:12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3">
      <c r="A5" s="62" t="s">
        <v>209</v>
      </c>
    </row>
    <row r="6" spans="1:12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3">
      <c r="A7" s="62" t="s">
        <v>210</v>
      </c>
    </row>
    <row r="8" spans="1:12" x14ac:dyDescent="0.3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 x14ac:dyDescent="0.35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3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3">
      <c r="C15" s="17" t="s">
        <v>15</v>
      </c>
    </row>
    <row r="16" spans="1:12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 xr:uid="{00000000-0002-0000-0D00-000000000000}">
      <formula1>OpenSolverResult</formula1>
    </dataValidation>
    <dataValidation type="list" allowBlank="1" showInputMessage="1" showErrorMessage="1" sqref="A4" xr:uid="{00000000-0002-0000-0D00-000001000000}">
      <formula1>ModelType</formula1>
    </dataValidation>
    <dataValidation type="list" allowBlank="1" showInputMessage="1" showErrorMessage="1" sqref="A2" xr:uid="{00000000-0002-0000-0D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ergedVarsSubset"/>
  <dimension ref="A1:L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100</v>
      </c>
    </row>
    <row r="2" spans="1:12" ht="15" thickBot="1" x14ac:dyDescent="0.35">
      <c r="A2" s="63" t="s">
        <v>204</v>
      </c>
      <c r="D2" s="18" t="s">
        <v>102</v>
      </c>
    </row>
    <row r="3" spans="1:12" x14ac:dyDescent="0.3">
      <c r="A3" s="62" t="s">
        <v>208</v>
      </c>
      <c r="D3" s="18"/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</row>
    <row r="5" spans="1:12" x14ac:dyDescent="0.3">
      <c r="A5" s="62" t="s">
        <v>209</v>
      </c>
      <c r="D5" s="1">
        <v>0</v>
      </c>
      <c r="E5" s="189">
        <v>5.2941175999999999</v>
      </c>
      <c r="F5" s="189"/>
      <c r="H5"/>
      <c r="I5"/>
      <c r="J5"/>
      <c r="L5" t="s">
        <v>103</v>
      </c>
    </row>
    <row r="6" spans="1:12" ht="15" thickBot="1" x14ac:dyDescent="0.35">
      <c r="A6" s="63" t="b">
        <v>1</v>
      </c>
    </row>
    <row r="7" spans="1:12" x14ac:dyDescent="0.3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3">
      <c r="A8" s="64" t="s">
        <v>199</v>
      </c>
    </row>
    <row r="9" spans="1:12" ht="15" thickBot="1" x14ac:dyDescent="0.35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3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3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3">
      <c r="C16" s="17" t="s">
        <v>15</v>
      </c>
    </row>
    <row r="17" spans="1:12" x14ac:dyDescent="0.3">
      <c r="D17" s="1">
        <v>0</v>
      </c>
      <c r="E17" s="1">
        <v>5.294117647058874</v>
      </c>
      <c r="F17" s="1">
        <v>0</v>
      </c>
    </row>
    <row r="18" spans="1:12" s="1" customFormat="1" x14ac:dyDescent="0.3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3">
      <c r="A20" s="60"/>
      <c r="C20" s="17" t="s">
        <v>16</v>
      </c>
      <c r="K20"/>
      <c r="L20"/>
    </row>
    <row r="21" spans="1:12" s="1" customFormat="1" x14ac:dyDescent="0.3">
      <c r="A21" s="60"/>
      <c r="C21"/>
      <c r="D21" s="1">
        <v>15.882352941176622</v>
      </c>
      <c r="K21"/>
      <c r="L21"/>
    </row>
    <row r="22" spans="1:12" s="1" customFormat="1" x14ac:dyDescent="0.3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 xr:uid="{00000000-0002-0000-0E00-000000000000}">
      <formula1>TestType</formula1>
    </dataValidation>
    <dataValidation type="list" allowBlank="1" showInputMessage="1" showErrorMessage="1" sqref="A4" xr:uid="{00000000-0002-0000-0E00-000001000000}">
      <formula1>ModelType</formula1>
    </dataValidation>
    <dataValidation type="list" allowBlank="1" showInputMessage="1" showErrorMessage="1" sqref="A8" xr:uid="{00000000-0002-0000-0E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ergedVarsOK"/>
  <dimension ref="A1:L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101</v>
      </c>
    </row>
    <row r="2" spans="1:12" ht="15" thickBot="1" x14ac:dyDescent="0.35">
      <c r="A2" s="63" t="s">
        <v>204</v>
      </c>
      <c r="D2" s="18" t="s">
        <v>111</v>
      </c>
    </row>
    <row r="3" spans="1:12" x14ac:dyDescent="0.3">
      <c r="A3" s="62" t="s">
        <v>208</v>
      </c>
      <c r="D3" s="18"/>
    </row>
    <row r="4" spans="1:12" ht="15" thickBot="1" x14ac:dyDescent="0.35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3">
      <c r="A5" s="62" t="s">
        <v>209</v>
      </c>
      <c r="D5" s="134">
        <v>1.8873791418627701E-15</v>
      </c>
      <c r="E5" s="189">
        <v>5.2941176470588198</v>
      </c>
      <c r="F5" s="189"/>
      <c r="H5"/>
      <c r="I5"/>
      <c r="J5"/>
      <c r="L5" t="s">
        <v>109</v>
      </c>
    </row>
    <row r="6" spans="1:12" ht="15" thickBot="1" x14ac:dyDescent="0.35">
      <c r="A6" s="63" t="b">
        <f>AND(D18,E18,F18,D22)</f>
        <v>1</v>
      </c>
    </row>
    <row r="7" spans="1:12" x14ac:dyDescent="0.3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3">
      <c r="A8" s="64" t="s">
        <v>200</v>
      </c>
    </row>
    <row r="9" spans="1:12" ht="15" thickBot="1" x14ac:dyDescent="0.35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">
        <v>150</v>
      </c>
    </row>
    <row r="11" spans="1:12" x14ac:dyDescent="0.3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3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3">
      <c r="C16" s="17" t="s">
        <v>15</v>
      </c>
    </row>
    <row r="17" spans="1:12" x14ac:dyDescent="0.3">
      <c r="D17" s="1">
        <v>0</v>
      </c>
      <c r="E17" s="1">
        <v>5.294117647058874</v>
      </c>
      <c r="F17" s="1">
        <v>0</v>
      </c>
    </row>
    <row r="18" spans="1:12" s="1" customFormat="1" x14ac:dyDescent="0.3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3">
      <c r="A20" s="60"/>
      <c r="C20" s="17" t="s">
        <v>16</v>
      </c>
      <c r="K20"/>
      <c r="L20"/>
    </row>
    <row r="21" spans="1:12" s="1" customFormat="1" x14ac:dyDescent="0.3">
      <c r="A21" s="60"/>
      <c r="C21"/>
      <c r="D21" s="1">
        <v>15.882352941176622</v>
      </c>
      <c r="K21"/>
      <c r="L21"/>
    </row>
    <row r="22" spans="1:12" s="1" customFormat="1" x14ac:dyDescent="0.3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 xr:uid="{00000000-0002-0000-0F00-000000000000}">
      <formula1>OpenSolverResult</formula1>
    </dataValidation>
    <dataValidation type="list" allowBlank="1" showInputMessage="1" showErrorMessage="1" sqref="A4" xr:uid="{00000000-0002-0000-0F00-000001000000}">
      <formula1>ModelType</formula1>
    </dataValidation>
    <dataValidation type="list" allowBlank="1" showInputMessage="1" showErrorMessage="1" sqref="A2" xr:uid="{00000000-0002-0000-0F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ergedVarsBad"/>
  <dimension ref="A1:L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101</v>
      </c>
    </row>
    <row r="2" spans="1:12" ht="15" thickBot="1" x14ac:dyDescent="0.35">
      <c r="A2" s="63" t="s">
        <v>204</v>
      </c>
      <c r="D2" s="18" t="s">
        <v>102</v>
      </c>
    </row>
    <row r="3" spans="1:12" x14ac:dyDescent="0.3">
      <c r="A3" s="62" t="s">
        <v>208</v>
      </c>
      <c r="D3" s="18"/>
    </row>
    <row r="4" spans="1:12" ht="15" thickBot="1" x14ac:dyDescent="0.35">
      <c r="A4" s="63" t="s">
        <v>206</v>
      </c>
      <c r="D4" s="1">
        <v>0</v>
      </c>
      <c r="E4" s="1">
        <v>0</v>
      </c>
      <c r="F4" s="1">
        <v>0</v>
      </c>
    </row>
    <row r="5" spans="1:12" x14ac:dyDescent="0.3">
      <c r="A5" s="62" t="s">
        <v>209</v>
      </c>
      <c r="C5" s="189">
        <v>2</v>
      </c>
      <c r="D5" s="189"/>
      <c r="E5" s="1">
        <v>0</v>
      </c>
      <c r="H5"/>
      <c r="I5"/>
      <c r="J5"/>
      <c r="L5" t="s">
        <v>110</v>
      </c>
    </row>
    <row r="6" spans="1:12" ht="15" thickBot="1" x14ac:dyDescent="0.35">
      <c r="A6" s="63" t="b">
        <v>1</v>
      </c>
    </row>
    <row r="7" spans="1:12" x14ac:dyDescent="0.3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3">
      <c r="A8" s="64" t="s">
        <v>199</v>
      </c>
    </row>
    <row r="9" spans="1:12" ht="15" thickBot="1" x14ac:dyDescent="0.35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3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3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3">
      <c r="C16" s="17" t="s">
        <v>15</v>
      </c>
    </row>
    <row r="17" spans="1:12" x14ac:dyDescent="0.3">
      <c r="D17" s="1">
        <v>0</v>
      </c>
      <c r="E17" s="1">
        <v>5.294117647058874</v>
      </c>
      <c r="F17" s="1">
        <v>0</v>
      </c>
    </row>
    <row r="18" spans="1:12" s="1" customFormat="1" x14ac:dyDescent="0.3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3">
      <c r="A20" s="60"/>
      <c r="C20" s="17" t="s">
        <v>16</v>
      </c>
      <c r="K20"/>
      <c r="L20"/>
    </row>
    <row r="21" spans="1:12" s="1" customFormat="1" x14ac:dyDescent="0.3">
      <c r="A21" s="60"/>
      <c r="C21"/>
      <c r="D21" s="1">
        <v>15.882352941176622</v>
      </c>
      <c r="K21"/>
      <c r="L21"/>
    </row>
    <row r="22" spans="1:12" s="1" customFormat="1" x14ac:dyDescent="0.3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 xr:uid="{00000000-0002-0000-1000-000000000000}">
      <formula1>TestType</formula1>
    </dataValidation>
    <dataValidation type="list" allowBlank="1" showInputMessage="1" showErrorMessage="1" sqref="A4" xr:uid="{00000000-0002-0000-1000-000001000000}">
      <formula1>ModelType</formula1>
    </dataValidation>
    <dataValidation type="list" allowBlank="1" showInputMessage="1" showErrorMessage="1" sqref="A8" xr:uid="{00000000-0002-0000-10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MergedRHS_OK"/>
  <dimension ref="A1:L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10.33203125" style="1" customWidth="1"/>
    <col min="5" max="5" width="5.109375" style="1" customWidth="1"/>
    <col min="6" max="6" width="7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 x14ac:dyDescent="0.3">
      <c r="A1" s="62" t="s">
        <v>203</v>
      </c>
      <c r="D1" s="18" t="s">
        <v>107</v>
      </c>
    </row>
    <row r="2" spans="1:12" ht="15" thickBot="1" x14ac:dyDescent="0.35">
      <c r="A2" s="63" t="s">
        <v>204</v>
      </c>
      <c r="D2" s="18"/>
    </row>
    <row r="3" spans="1:12" x14ac:dyDescent="0.3">
      <c r="A3" s="62" t="s">
        <v>208</v>
      </c>
      <c r="D3" s="18"/>
    </row>
    <row r="4" spans="1:12" ht="15" thickBot="1" x14ac:dyDescent="0.35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3">
      <c r="A5" s="62" t="s">
        <v>209</v>
      </c>
      <c r="D5" s="134">
        <v>1.8873791418627701E-15</v>
      </c>
      <c r="E5" s="1">
        <v>5.2941176470588198</v>
      </c>
      <c r="F5" s="1">
        <v>0</v>
      </c>
      <c r="H5"/>
      <c r="I5"/>
      <c r="J5"/>
    </row>
    <row r="6" spans="1:12" ht="15" thickBot="1" x14ac:dyDescent="0.35">
      <c r="A6" s="63" t="b">
        <f>AND(D18,E18,F18,D22)</f>
        <v>1</v>
      </c>
    </row>
    <row r="7" spans="1:12" x14ac:dyDescent="0.3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3">
      <c r="A8" s="64" t="s">
        <v>200</v>
      </c>
    </row>
    <row r="9" spans="1:12" ht="15" thickBot="1" x14ac:dyDescent="0.35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89">
        <v>150</v>
      </c>
      <c r="K10" s="189"/>
      <c r="L10" t="s">
        <v>106</v>
      </c>
    </row>
    <row r="11" spans="1:12" x14ac:dyDescent="0.3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3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3">
      <c r="C16" s="17" t="s">
        <v>15</v>
      </c>
    </row>
    <row r="17" spans="1:12" x14ac:dyDescent="0.3">
      <c r="D17" s="1">
        <v>0</v>
      </c>
      <c r="E17" s="1">
        <v>5.294117647058874</v>
      </c>
      <c r="F17" s="1">
        <v>0</v>
      </c>
    </row>
    <row r="18" spans="1:12" s="1" customFormat="1" x14ac:dyDescent="0.3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3">
      <c r="A20" s="60"/>
      <c r="C20" s="17" t="s">
        <v>16</v>
      </c>
      <c r="K20"/>
      <c r="L20"/>
    </row>
    <row r="21" spans="1:12" s="1" customFormat="1" x14ac:dyDescent="0.3">
      <c r="A21" s="60"/>
      <c r="C21"/>
      <c r="D21" s="1">
        <v>15.882352941176622</v>
      </c>
      <c r="K21"/>
      <c r="L21"/>
    </row>
    <row r="22" spans="1:12" s="1" customFormat="1" x14ac:dyDescent="0.3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 xr:uid="{00000000-0002-0000-1100-000000000000}">
      <formula1>OpenSolverResult</formula1>
    </dataValidation>
    <dataValidation type="list" allowBlank="1" showInputMessage="1" showErrorMessage="1" sqref="A4" xr:uid="{00000000-0002-0000-1100-000001000000}">
      <formula1>ModelType</formula1>
    </dataValidation>
    <dataValidation type="list" allowBlank="1" showInputMessage="1" showErrorMessage="1" sqref="A2" xr:uid="{00000000-0002-0000-11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MergedLHS_OK"/>
  <dimension ref="A1:L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2" max="12" width="13.6640625" bestFit="1" customWidth="1"/>
    <col min="14" max="14" width="7.6640625" customWidth="1"/>
  </cols>
  <sheetData>
    <row r="1" spans="1:12" x14ac:dyDescent="0.3">
      <c r="A1" s="62" t="s">
        <v>203</v>
      </c>
      <c r="D1" s="18" t="s">
        <v>108</v>
      </c>
    </row>
    <row r="2" spans="1:12" ht="15" thickBot="1" x14ac:dyDescent="0.35">
      <c r="A2" s="63" t="s">
        <v>204</v>
      </c>
      <c r="D2" s="18"/>
    </row>
    <row r="3" spans="1:12" x14ac:dyDescent="0.3">
      <c r="A3" s="62" t="s">
        <v>208</v>
      </c>
      <c r="D3" s="18"/>
    </row>
    <row r="4" spans="1:12" ht="15" thickBot="1" x14ac:dyDescent="0.35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3">
      <c r="A5" s="62" t="s">
        <v>209</v>
      </c>
      <c r="D5" s="134">
        <v>1.8873791418627701E-15</v>
      </c>
      <c r="E5" s="1">
        <v>5.2941176470588198</v>
      </c>
      <c r="F5" s="1">
        <v>0</v>
      </c>
      <c r="H5"/>
      <c r="I5"/>
      <c r="J5"/>
    </row>
    <row r="6" spans="1:12" ht="15" thickBot="1" x14ac:dyDescent="0.35">
      <c r="A6" s="63" t="b">
        <f>AND(D18,E18,F18,D22)</f>
        <v>1</v>
      </c>
    </row>
    <row r="7" spans="1:12" x14ac:dyDescent="0.3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3">
      <c r="A8" s="64" t="s">
        <v>200</v>
      </c>
    </row>
    <row r="9" spans="1:12" ht="15" thickBot="1" x14ac:dyDescent="0.35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9">
        <f>SUMPRODUCT($D$5:$F$5,D10:F10)</f>
        <v>116.47058823529407</v>
      </c>
      <c r="H10" s="189"/>
      <c r="I10" s="1" t="s">
        <v>8</v>
      </c>
      <c r="J10" s="1">
        <v>200</v>
      </c>
      <c r="K10" s="1"/>
      <c r="L10" t="s">
        <v>314</v>
      </c>
    </row>
    <row r="11" spans="1:12" x14ac:dyDescent="0.3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3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3">
      <c r="C16" s="17" t="s">
        <v>15</v>
      </c>
    </row>
    <row r="17" spans="1:12" x14ac:dyDescent="0.3">
      <c r="D17" s="1">
        <v>0</v>
      </c>
      <c r="E17" s="1">
        <v>5.294117647058874</v>
      </c>
      <c r="F17" s="1">
        <v>0</v>
      </c>
    </row>
    <row r="18" spans="1:12" s="1" customFormat="1" x14ac:dyDescent="0.3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3">
      <c r="A20" s="60"/>
      <c r="C20" s="17" t="s">
        <v>16</v>
      </c>
      <c r="K20"/>
      <c r="L20"/>
    </row>
    <row r="21" spans="1:12" s="1" customFormat="1" x14ac:dyDescent="0.3">
      <c r="A21" s="60"/>
      <c r="C21"/>
      <c r="D21" s="1">
        <v>15.882352941176622</v>
      </c>
      <c r="K21"/>
      <c r="L21"/>
    </row>
    <row r="22" spans="1:12" s="1" customFormat="1" x14ac:dyDescent="0.3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 xr:uid="{00000000-0002-0000-1200-000000000000}">
      <formula1>TestType</formula1>
    </dataValidation>
    <dataValidation type="list" allowBlank="1" showInputMessage="1" showErrorMessage="1" sqref="A4" xr:uid="{00000000-0002-0000-1200-000001000000}">
      <formula1>ModelType</formula1>
    </dataValidation>
    <dataValidation type="list" allowBlank="1" showInputMessage="1" showErrorMessage="1" sqref="A8" xr:uid="{00000000-0002-0000-12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MergedLHSMultiple_OK"/>
  <dimension ref="A1:L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7.6640625" style="1" bestFit="1" customWidth="1"/>
    <col min="12" max="12" width="13.6640625" bestFit="1" customWidth="1"/>
    <col min="14" max="14" width="7.6640625" customWidth="1"/>
  </cols>
  <sheetData>
    <row r="1" spans="1:12" x14ac:dyDescent="0.3">
      <c r="A1" s="62" t="s">
        <v>203</v>
      </c>
      <c r="D1" s="18" t="s">
        <v>108</v>
      </c>
    </row>
    <row r="2" spans="1:12" ht="15" thickBot="1" x14ac:dyDescent="0.35">
      <c r="A2" s="63" t="s">
        <v>204</v>
      </c>
      <c r="D2" s="18" t="s">
        <v>184</v>
      </c>
    </row>
    <row r="3" spans="1:12" x14ac:dyDescent="0.3">
      <c r="A3" s="62" t="s">
        <v>208</v>
      </c>
      <c r="D3" s="18"/>
    </row>
    <row r="4" spans="1:12" ht="15" thickBot="1" x14ac:dyDescent="0.35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3">
      <c r="A5" s="62" t="s">
        <v>209</v>
      </c>
      <c r="D5" s="1">
        <v>8.9884656743115785E+307</v>
      </c>
      <c r="E5" s="1">
        <v>8.9884656743115785E+307</v>
      </c>
      <c r="F5" s="1">
        <v>8.9884656743115785E+307</v>
      </c>
      <c r="H5"/>
      <c r="I5"/>
      <c r="J5"/>
    </row>
    <row r="6" spans="1:12" ht="15" thickBot="1" x14ac:dyDescent="0.35">
      <c r="A6" s="63" t="b">
        <v>1</v>
      </c>
    </row>
    <row r="7" spans="1:12" x14ac:dyDescent="0.3">
      <c r="A7" s="62" t="s">
        <v>210</v>
      </c>
      <c r="C7" t="s">
        <v>0</v>
      </c>
      <c r="D7" s="1">
        <v>2</v>
      </c>
      <c r="E7" s="1">
        <v>3</v>
      </c>
      <c r="H7" s="1" t="e">
        <f>SUMPRODUCT($D$5:$F$5,D7:F7)</f>
        <v>#NUM!</v>
      </c>
    </row>
    <row r="8" spans="1:12" x14ac:dyDescent="0.3">
      <c r="A8" s="64" t="s">
        <v>27</v>
      </c>
    </row>
    <row r="9" spans="1:12" ht="15" thickBot="1" x14ac:dyDescent="0.35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 t="e">
        <f>SUMPRODUCT($D$5:$F$5,D9:F9)+5*P8</f>
        <v>#NUM!</v>
      </c>
      <c r="I9" s="1" t="s">
        <v>8</v>
      </c>
      <c r="J9" s="1">
        <v>60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90">
        <v>5</v>
      </c>
      <c r="H10" s="190"/>
      <c r="I10" s="1" t="s">
        <v>8</v>
      </c>
      <c r="J10" s="1">
        <v>100</v>
      </c>
      <c r="K10" s="1"/>
      <c r="L10" t="s">
        <v>185</v>
      </c>
    </row>
    <row r="11" spans="1:12" x14ac:dyDescent="0.3">
      <c r="D11" s="1">
        <v>21</v>
      </c>
      <c r="E11" s="1">
        <v>22</v>
      </c>
      <c r="G11" s="190"/>
      <c r="H11" s="190"/>
      <c r="I11" s="1" t="s">
        <v>9</v>
      </c>
      <c r="J11" s="1">
        <v>5</v>
      </c>
    </row>
    <row r="12" spans="1:12" x14ac:dyDescent="0.3">
      <c r="D12" s="1">
        <v>19</v>
      </c>
      <c r="E12" s="1">
        <v>34</v>
      </c>
      <c r="H12" s="1" t="e">
        <f>SUMPRODUCT($D$5:$F$5,D12:F12)</f>
        <v>#NUM!</v>
      </c>
      <c r="I12" s="1" t="s">
        <v>10</v>
      </c>
      <c r="J12" s="1">
        <v>180</v>
      </c>
    </row>
    <row r="16" spans="1:12" x14ac:dyDescent="0.3">
      <c r="C16" s="17" t="s">
        <v>15</v>
      </c>
    </row>
    <row r="17" spans="1:12" x14ac:dyDescent="0.3">
      <c r="D17" s="1">
        <v>0</v>
      </c>
      <c r="E17" s="1">
        <v>5.294117647058874</v>
      </c>
      <c r="F17" s="1">
        <v>0</v>
      </c>
    </row>
    <row r="18" spans="1:12" s="1" customFormat="1" x14ac:dyDescent="0.3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3">
      <c r="A20" s="60"/>
      <c r="C20" s="17" t="s">
        <v>16</v>
      </c>
      <c r="K20"/>
      <c r="L20"/>
    </row>
    <row r="21" spans="1:12" s="1" customFormat="1" x14ac:dyDescent="0.3">
      <c r="A21" s="60"/>
      <c r="C21"/>
      <c r="D21" s="1">
        <v>15.882352941176622</v>
      </c>
      <c r="K21"/>
      <c r="L21"/>
    </row>
    <row r="22" spans="1:12" s="1" customFormat="1" x14ac:dyDescent="0.3">
      <c r="A22" s="60"/>
      <c r="C22" t="s">
        <v>17</v>
      </c>
      <c r="D22" s="8" t="e">
        <f>ABS(D21-H7)/(1+ABS(D21))&lt;=0.000001</f>
        <v>#NUM!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 xr:uid="{00000000-0002-0000-1300-000000000000}">
      <formula1>OpenSolverResult</formula1>
    </dataValidation>
    <dataValidation type="list" allowBlank="1" showInputMessage="1" showErrorMessage="1" sqref="A4" xr:uid="{00000000-0002-0000-1300-000001000000}">
      <formula1>ModelType</formula1>
    </dataValidation>
    <dataValidation type="list" allowBlank="1" showInputMessage="1" showErrorMessage="1" sqref="A2" xr:uid="{00000000-0002-0000-13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inIntOverlap"/>
  <dimension ref="A1:K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10.109375" style="1" customWidth="1"/>
    <col min="5" max="6" width="5.109375" style="1" customWidth="1"/>
    <col min="7" max="7" width="8.33203125" style="1" customWidth="1"/>
    <col min="8" max="8" width="3.109375" style="1" customWidth="1"/>
    <col min="9" max="9" width="8.33203125" style="1" customWidth="1"/>
    <col min="10" max="10" width="3" style="1" bestFit="1" customWidth="1"/>
    <col min="11" max="11" width="17.88671875" style="1" customWidth="1"/>
    <col min="15" max="15" width="7.6640625" customWidth="1"/>
  </cols>
  <sheetData>
    <row r="1" spans="1:11" x14ac:dyDescent="0.3">
      <c r="A1" s="62" t="s">
        <v>203</v>
      </c>
      <c r="D1" s="18" t="s">
        <v>25</v>
      </c>
    </row>
    <row r="2" spans="1:11" ht="15" thickBot="1" x14ac:dyDescent="0.35">
      <c r="A2" s="63" t="s">
        <v>204</v>
      </c>
    </row>
    <row r="3" spans="1:11" x14ac:dyDescent="0.3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" thickBot="1" x14ac:dyDescent="0.35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3">
      <c r="A5" s="62" t="s">
        <v>209</v>
      </c>
    </row>
    <row r="6" spans="1:11" ht="15" thickBot="1" x14ac:dyDescent="0.35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3">
      <c r="A7" s="62" t="s">
        <v>210</v>
      </c>
    </row>
    <row r="8" spans="1:11" x14ac:dyDescent="0.3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" thickBot="1" x14ac:dyDescent="0.35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" thickBot="1" x14ac:dyDescent="0.35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3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3">
      <c r="C15" s="17" t="s">
        <v>15</v>
      </c>
    </row>
    <row r="16" spans="1:11" x14ac:dyDescent="0.3">
      <c r="D16" s="1">
        <v>0</v>
      </c>
      <c r="E16" s="1">
        <v>1</v>
      </c>
      <c r="F16" s="1">
        <v>1</v>
      </c>
      <c r="G16" s="1">
        <v>0</v>
      </c>
    </row>
    <row r="17" spans="3:7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3">
      <c r="C19" t="s">
        <v>16</v>
      </c>
    </row>
    <row r="20" spans="3:7" x14ac:dyDescent="0.3">
      <c r="D20" s="1">
        <v>10.123000000000001</v>
      </c>
    </row>
    <row r="21" spans="3:7" x14ac:dyDescent="0.3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 xr:uid="{00000000-0002-0000-1400-000000000000}">
      <formula1>TestType</formula1>
    </dataValidation>
    <dataValidation type="list" allowBlank="1" showInputMessage="1" showErrorMessage="1" sqref="A4" xr:uid="{00000000-0002-0000-1400-000001000000}">
      <formula1>ModelType</formula1>
    </dataValidation>
    <dataValidation type="list" allowBlank="1" showInputMessage="1" showErrorMessage="1" sqref="A8" xr:uid="{00000000-0002-0000-14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ConFormula"/>
  <dimension ref="A1:W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7" width="5.109375" style="1" customWidth="1"/>
    <col min="8" max="8" width="3.109375" style="1" customWidth="1"/>
    <col min="9" max="9" width="23.88671875" style="16" customWidth="1"/>
    <col min="10" max="10" width="3" style="1" bestFit="1" customWidth="1"/>
    <col min="11" max="11" width="6" style="1" customWidth="1"/>
    <col min="13" max="13" width="3.109375" bestFit="1" customWidth="1"/>
    <col min="14" max="14" width="7.6640625" customWidth="1"/>
    <col min="17" max="17" width="6.109375" bestFit="1" customWidth="1"/>
    <col min="18" max="19" width="4" bestFit="1" customWidth="1"/>
    <col min="20" max="21" width="3" bestFit="1" customWidth="1"/>
  </cols>
  <sheetData>
    <row r="1" spans="1:21" x14ac:dyDescent="0.3">
      <c r="A1" s="62" t="s">
        <v>203</v>
      </c>
      <c r="C1" t="s">
        <v>23</v>
      </c>
    </row>
    <row r="2" spans="1:21" ht="15" thickBot="1" x14ac:dyDescent="0.35">
      <c r="A2" s="63" t="s">
        <v>204</v>
      </c>
      <c r="C2" t="s">
        <v>24</v>
      </c>
      <c r="Q2" t="s">
        <v>21</v>
      </c>
    </row>
    <row r="3" spans="1:21" x14ac:dyDescent="0.3">
      <c r="A3" s="62" t="s">
        <v>208</v>
      </c>
    </row>
    <row r="4" spans="1:21" ht="15" thickBot="1" x14ac:dyDescent="0.35">
      <c r="A4" s="63" t="s">
        <v>206</v>
      </c>
      <c r="M4" t="s">
        <v>19</v>
      </c>
      <c r="N4">
        <v>8.3970690958470904</v>
      </c>
      <c r="Q4" s="145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3">
      <c r="A5" s="62" t="s">
        <v>209</v>
      </c>
      <c r="D5" s="134">
        <v>-8.1281674280120342E-8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" thickBot="1" x14ac:dyDescent="0.35">
      <c r="A6" s="63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3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721.43093827456414</v>
      </c>
      <c r="Q7" s="13" t="s">
        <v>9</v>
      </c>
      <c r="R7" s="14" t="s">
        <v>9</v>
      </c>
    </row>
    <row r="8" spans="1:21" x14ac:dyDescent="0.3">
      <c r="A8" s="64" t="s">
        <v>200</v>
      </c>
      <c r="Q8" s="4">
        <v>44</v>
      </c>
      <c r="R8" s="5">
        <v>33</v>
      </c>
    </row>
    <row r="9" spans="1:21" ht="15" thickBot="1" x14ac:dyDescent="0.35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14.547825357572293</v>
      </c>
      <c r="J9" s="1" t="s">
        <v>8</v>
      </c>
      <c r="K9" s="1">
        <f>61.2345678+2.3*N4-S5</f>
        <v>14.547826060450404</v>
      </c>
    </row>
    <row r="10" spans="1:21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28.799998452997158</v>
      </c>
      <c r="J10" s="1" t="s">
        <v>8</v>
      </c>
      <c r="K10" s="1">
        <v>150</v>
      </c>
    </row>
    <row r="11" spans="1:21" x14ac:dyDescent="0.3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3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3">
      <c r="Q13">
        <v>6</v>
      </c>
      <c r="R13">
        <v>9.92</v>
      </c>
    </row>
    <row r="14" spans="1:21" x14ac:dyDescent="0.3">
      <c r="H14" s="19" t="s">
        <v>26</v>
      </c>
      <c r="I14" s="16">
        <f>I11/4+B3</f>
        <v>28.799999960021921</v>
      </c>
    </row>
    <row r="16" spans="1:21" x14ac:dyDescent="0.3">
      <c r="C16" t="s">
        <v>15</v>
      </c>
      <c r="F16" s="1" t="b">
        <f>AND(D18:G18,O17:O18,V17:W18)</f>
        <v>1</v>
      </c>
    </row>
    <row r="17" spans="1:23" x14ac:dyDescent="0.3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3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3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3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3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 xr:uid="{00000000-0002-0000-1500-000000000000}">
      <formula1>TestType</formula1>
    </dataValidation>
    <dataValidation type="list" allowBlank="1" showInputMessage="1" showErrorMessage="1" sqref="A4" xr:uid="{00000000-0002-0000-1500-000001000000}">
      <formula1>ModelType</formula1>
    </dataValidation>
    <dataValidation type="list" allowBlank="1" showInputMessage="1" showErrorMessage="1" sqref="A8" xr:uid="{00000000-0002-0000-15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ConFormulaInf"/>
  <dimension ref="A1:W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7" width="5.109375" style="1" customWidth="1"/>
    <col min="8" max="8" width="3.109375" style="1" customWidth="1"/>
    <col min="9" max="9" width="17.33203125" style="16" customWidth="1"/>
    <col min="10" max="10" width="3" style="1" bestFit="1" customWidth="1"/>
    <col min="11" max="11" width="16.33203125" style="1" customWidth="1"/>
    <col min="13" max="13" width="3.109375" bestFit="1" customWidth="1"/>
    <col min="14" max="14" width="7.6640625" customWidth="1"/>
    <col min="17" max="17" width="6.109375" bestFit="1" customWidth="1"/>
    <col min="18" max="19" width="4" bestFit="1" customWidth="1"/>
    <col min="20" max="21" width="3" bestFit="1" customWidth="1"/>
  </cols>
  <sheetData>
    <row r="1" spans="1:21" x14ac:dyDescent="0.3">
      <c r="A1" s="62" t="s">
        <v>203</v>
      </c>
      <c r="C1" t="s">
        <v>158</v>
      </c>
    </row>
    <row r="2" spans="1:21" ht="15" thickBot="1" x14ac:dyDescent="0.35">
      <c r="A2" s="63" t="s">
        <v>204</v>
      </c>
      <c r="C2" t="s">
        <v>33</v>
      </c>
      <c r="Q2" t="s">
        <v>21</v>
      </c>
    </row>
    <row r="3" spans="1:21" x14ac:dyDescent="0.3">
      <c r="A3" s="62" t="s">
        <v>208</v>
      </c>
    </row>
    <row r="4" spans="1:21" ht="15" thickBot="1" x14ac:dyDescent="0.35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3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" thickBot="1" x14ac:dyDescent="0.35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3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3">
      <c r="A8" s="64" t="s">
        <v>27</v>
      </c>
      <c r="Q8" s="4">
        <v>44</v>
      </c>
      <c r="R8" s="5">
        <v>33</v>
      </c>
    </row>
    <row r="9" spans="1:21" ht="15" thickBot="1" x14ac:dyDescent="0.35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3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3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3">
      <c r="Q13">
        <v>6</v>
      </c>
      <c r="R13">
        <v>9.92</v>
      </c>
    </row>
    <row r="14" spans="1:21" x14ac:dyDescent="0.3">
      <c r="I14" s="16">
        <v>22</v>
      </c>
    </row>
    <row r="15" spans="1:21" x14ac:dyDescent="0.3">
      <c r="I15" s="16">
        <v>1</v>
      </c>
    </row>
    <row r="16" spans="1:21" x14ac:dyDescent="0.3">
      <c r="C16" t="s">
        <v>15</v>
      </c>
      <c r="F16" s="1" t="b">
        <f>AND(D18:G18,O17:O18,V17:W18)</f>
        <v>0</v>
      </c>
    </row>
    <row r="17" spans="1:23" x14ac:dyDescent="0.3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3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3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3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3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 xr:uid="{00000000-0002-0000-1600-000000000000}">
      <formula1>OpenSolverResult</formula1>
    </dataValidation>
    <dataValidation type="list" allowBlank="1" showInputMessage="1" showErrorMessage="1" sqref="A4" xr:uid="{00000000-0002-0000-1600-000001000000}">
      <formula1>ModelType</formula1>
    </dataValidation>
    <dataValidation type="list" allowBlank="1" showInputMessage="1" showErrorMessage="1" sqref="A2" xr:uid="{00000000-0002-0000-16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adName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4" x14ac:dyDescent="0.3">
      <c r="A1" s="62" t="s">
        <v>203</v>
      </c>
      <c r="C1" t="s">
        <v>32</v>
      </c>
    </row>
    <row r="2" spans="1:14" ht="15" thickBot="1" x14ac:dyDescent="0.35">
      <c r="A2" s="63" t="s">
        <v>204</v>
      </c>
      <c r="C2" t="s">
        <v>420</v>
      </c>
    </row>
    <row r="3" spans="1:14" x14ac:dyDescent="0.3">
      <c r="A3" s="62" t="s">
        <v>208</v>
      </c>
    </row>
    <row r="4" spans="1:14" ht="15" thickBot="1" x14ac:dyDescent="0.35">
      <c r="A4" s="63" t="s">
        <v>206</v>
      </c>
      <c r="D4" s="1" t="s">
        <v>1</v>
      </c>
      <c r="E4" s="1" t="s">
        <v>2</v>
      </c>
      <c r="F4" s="1" t="s">
        <v>3</v>
      </c>
    </row>
    <row r="5" spans="1:14" x14ac:dyDescent="0.3">
      <c r="A5" s="62" t="s">
        <v>209</v>
      </c>
      <c r="D5" s="1">
        <v>5.2380952380952372</v>
      </c>
      <c r="E5" s="1">
        <v>0</v>
      </c>
      <c r="F5" s="1">
        <v>0</v>
      </c>
      <c r="H5"/>
      <c r="I5"/>
      <c r="J5"/>
    </row>
    <row r="6" spans="1:14" ht="15" thickBot="1" x14ac:dyDescent="0.35">
      <c r="A6" s="63" t="b">
        <f>AND(D18:F18,D22)</f>
        <v>1</v>
      </c>
    </row>
    <row r="7" spans="1:14" x14ac:dyDescent="0.3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10.476190476190474</v>
      </c>
    </row>
    <row r="8" spans="1:14" x14ac:dyDescent="0.3">
      <c r="A8" s="64" t="str">
        <f ca="1">IF(VALUE(INFO("RELEASE"))&gt;=16,"Optimal", "ErrorOccurred")</f>
        <v>Optimal</v>
      </c>
    </row>
    <row r="9" spans="1:14" ht="15" thickBot="1" x14ac:dyDescent="0.35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52.380952380952372</v>
      </c>
      <c r="I9" s="1" t="s">
        <v>8</v>
      </c>
      <c r="J9" s="1">
        <v>60</v>
      </c>
    </row>
    <row r="10" spans="1:14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109.99999999999999</v>
      </c>
      <c r="I10" s="1" t="s">
        <v>8</v>
      </c>
      <c r="J10" s="1">
        <v>150</v>
      </c>
      <c r="N10" t="str">
        <f ca="1">INFO("RELEASE")</f>
        <v>16.0</v>
      </c>
    </row>
    <row r="11" spans="1:14" x14ac:dyDescent="0.3">
      <c r="D11" s="1">
        <v>21</v>
      </c>
      <c r="E11" s="1">
        <v>22</v>
      </c>
      <c r="F11" s="1">
        <v>-23</v>
      </c>
      <c r="H11" s="1">
        <f>SUMPRODUCT($D$5:$F$5,D11:F11)</f>
        <v>109.99999999999999</v>
      </c>
      <c r="I11" s="1" t="s">
        <v>9</v>
      </c>
      <c r="J11" s="1">
        <v>110</v>
      </c>
    </row>
    <row r="12" spans="1:14" x14ac:dyDescent="0.3">
      <c r="D12" s="1">
        <v>19</v>
      </c>
      <c r="E12" s="1">
        <v>34</v>
      </c>
      <c r="F12" s="1">
        <v>-32</v>
      </c>
      <c r="H12" s="1">
        <f>SUMPRODUCT($D$5:$F$5,D12:F12)</f>
        <v>99.523809523809504</v>
      </c>
      <c r="I12" s="1" t="s">
        <v>8</v>
      </c>
      <c r="J12" s="1">
        <v>180</v>
      </c>
    </row>
    <row r="16" spans="1:14" x14ac:dyDescent="0.3">
      <c r="C16" s="17" t="s">
        <v>15</v>
      </c>
    </row>
    <row r="17" spans="1:9" x14ac:dyDescent="0.3">
      <c r="D17" s="1">
        <v>5.2380952380952372</v>
      </c>
      <c r="E17" s="1">
        <v>0</v>
      </c>
      <c r="F17" s="1">
        <v>0</v>
      </c>
    </row>
    <row r="18" spans="1:9" x14ac:dyDescent="0.3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I18" s="1" t="str">
        <f ca="1">INFO("RELEASE")</f>
        <v>16.0</v>
      </c>
    </row>
    <row r="20" spans="1:9" s="1" customFormat="1" x14ac:dyDescent="0.3">
      <c r="A20" s="60"/>
      <c r="C20" s="17" t="s">
        <v>16</v>
      </c>
    </row>
    <row r="21" spans="1:9" s="1" customFormat="1" x14ac:dyDescent="0.3">
      <c r="A21" s="60"/>
      <c r="C21"/>
      <c r="D21" s="1">
        <v>10.476190476190474</v>
      </c>
    </row>
    <row r="22" spans="1:9" s="1" customFormat="1" x14ac:dyDescent="0.3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 xr:uid="{00000000-0002-0000-1700-000000000000}">
      <formula1>TestType</formula1>
    </dataValidation>
    <dataValidation type="list" allowBlank="1" showInputMessage="1" showErrorMessage="1" sqref="A4" xr:uid="{00000000-0002-0000-1700-000001000000}">
      <formula1>ModelType</formula1>
    </dataValidation>
    <dataValidation type="list" errorStyle="warning" allowBlank="1" showInputMessage="1" showErrorMessage="1" sqref="A8" xr:uid="{00000000-0002-0000-17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EscapeSheetName"/>
  <dimension ref="A1:J21"/>
  <sheetViews>
    <sheetView topLeftCell="A4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3" width="4.88671875" customWidth="1"/>
    <col min="4" max="4" width="7.6640625" style="151" customWidth="1"/>
    <col min="5" max="6" width="5.109375" style="151" customWidth="1"/>
    <col min="7" max="7" width="3.109375" style="151" customWidth="1"/>
    <col min="8" max="8" width="8.33203125" style="151" customWidth="1"/>
    <col min="9" max="9" width="3" style="151" bestFit="1" customWidth="1"/>
    <col min="10" max="10" width="6" style="151" customWidth="1"/>
    <col min="14" max="14" width="7.6640625" customWidth="1"/>
  </cols>
  <sheetData>
    <row r="1" spans="1:10" x14ac:dyDescent="0.3">
      <c r="A1" s="62" t="s">
        <v>203</v>
      </c>
      <c r="D1" s="18" t="s">
        <v>31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" thickBot="1" x14ac:dyDescent="0.35">
      <c r="A4" s="63" t="s">
        <v>206</v>
      </c>
      <c r="D4" s="151">
        <v>0</v>
      </c>
      <c r="E4" s="151">
        <v>5.2941176432194004</v>
      </c>
      <c r="F4" s="151">
        <v>0</v>
      </c>
      <c r="H4"/>
      <c r="I4"/>
      <c r="J4"/>
    </row>
    <row r="5" spans="1:10" x14ac:dyDescent="0.3">
      <c r="A5" s="62" t="s">
        <v>209</v>
      </c>
    </row>
    <row r="6" spans="1:10" ht="15" thickBot="1" x14ac:dyDescent="0.35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15.8823529296582</v>
      </c>
    </row>
    <row r="7" spans="1:10" x14ac:dyDescent="0.3">
      <c r="A7" s="62" t="s">
        <v>210</v>
      </c>
    </row>
    <row r="8" spans="1:10" x14ac:dyDescent="0.3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58.235294075413407</v>
      </c>
      <c r="I8" s="151" t="s">
        <v>8</v>
      </c>
      <c r="J8" s="151">
        <v>60</v>
      </c>
    </row>
    <row r="9" spans="1:10" ht="15" thickBot="1" x14ac:dyDescent="0.35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116.47058815082681</v>
      </c>
      <c r="I9" s="151" t="s">
        <v>8</v>
      </c>
      <c r="J9" s="151">
        <v>150</v>
      </c>
    </row>
    <row r="10" spans="1:10" ht="15" thickBot="1" x14ac:dyDescent="0.35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116.47058815082681</v>
      </c>
      <c r="I10" s="151" t="s">
        <v>9</v>
      </c>
      <c r="J10" s="151">
        <v>110</v>
      </c>
    </row>
    <row r="11" spans="1:10" x14ac:dyDescent="0.3">
      <c r="D11" s="151">
        <v>19</v>
      </c>
      <c r="E11" s="151">
        <v>34</v>
      </c>
      <c r="F11" s="151">
        <v>-32</v>
      </c>
      <c r="H11" s="151">
        <f>SUMPRODUCT($D$4:$F$4,D11:F11)</f>
        <v>179.9999998694596</v>
      </c>
      <c r="I11" s="151" t="s">
        <v>10</v>
      </c>
      <c r="J11" s="151">
        <v>180</v>
      </c>
    </row>
    <row r="15" spans="1:10" x14ac:dyDescent="0.3">
      <c r="C15" s="17" t="s">
        <v>15</v>
      </c>
    </row>
    <row r="16" spans="1:10" x14ac:dyDescent="0.3">
      <c r="D16" s="151">
        <v>0</v>
      </c>
      <c r="E16" s="151">
        <v>5.294117647058874</v>
      </c>
      <c r="F16" s="15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51">
        <v>15.882352941176622</v>
      </c>
    </row>
    <row r="21" spans="3:6" x14ac:dyDescent="0.3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 xr:uid="{00000000-0002-0000-1800-000000000000}">
      <formula1>TestType</formula1>
    </dataValidation>
    <dataValidation type="list" allowBlank="1" showInputMessage="1" showErrorMessage="1" sqref="A4:B4" xr:uid="{00000000-0002-0000-1800-000001000000}">
      <formula1>ModelType</formula1>
    </dataValidation>
    <dataValidation type="list" allowBlank="1" showInputMessage="1" showErrorMessage="1" sqref="A8:B8" xr:uid="{00000000-0002-0000-18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DeletedConRef"/>
  <dimension ref="A1:J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16.8867187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62" t="s">
        <v>203</v>
      </c>
      <c r="C1" t="s">
        <v>29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</row>
    <row r="4" spans="1:10" ht="15" thickBot="1" x14ac:dyDescent="0.35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3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" thickBot="1" x14ac:dyDescent="0.35">
      <c r="A6" s="63" t="b">
        <v>1</v>
      </c>
    </row>
    <row r="7" spans="1:10" x14ac:dyDescent="0.3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3">
      <c r="A8" s="64" t="s">
        <v>199</v>
      </c>
    </row>
    <row r="9" spans="1:10" ht="15" thickBot="1" x14ac:dyDescent="0.35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3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3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3">
      <c r="C16" s="17" t="s">
        <v>15</v>
      </c>
    </row>
    <row r="17" spans="1:4" x14ac:dyDescent="0.3">
      <c r="C17" t="s">
        <v>28</v>
      </c>
    </row>
    <row r="19" spans="1:4" s="1" customFormat="1" x14ac:dyDescent="0.3">
      <c r="A19" s="60"/>
      <c r="C19" s="17" t="s">
        <v>16</v>
      </c>
    </row>
    <row r="20" spans="1:4" s="1" customFormat="1" x14ac:dyDescent="0.3">
      <c r="A20" s="60"/>
      <c r="C20" t="s">
        <v>28</v>
      </c>
    </row>
    <row r="21" spans="1:4" s="1" customFormat="1" x14ac:dyDescent="0.3">
      <c r="A21" s="60"/>
      <c r="C21"/>
      <c r="D21" s="8"/>
    </row>
  </sheetData>
  <dataConsolidate/>
  <dataValidations count="3">
    <dataValidation type="list" allowBlank="1" showInputMessage="1" showErrorMessage="1" sqref="A2" xr:uid="{00000000-0002-0000-1900-000000000000}">
      <formula1>TestType</formula1>
    </dataValidation>
    <dataValidation type="list" allowBlank="1" showInputMessage="1" showErrorMessage="1" sqref="A4" xr:uid="{00000000-0002-0000-1900-000001000000}">
      <formula1>ModelType</formula1>
    </dataValidation>
    <dataValidation type="list" allowBlank="1" showInputMessage="1" showErrorMessage="1" sqref="A8" xr:uid="{00000000-0002-0000-19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DeletedObjRef"/>
  <dimension ref="A1:J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16.8867187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C1" t="s">
        <v>183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</row>
    <row r="4" spans="1:10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3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" thickBot="1" x14ac:dyDescent="0.35">
      <c r="A6" s="63" t="b">
        <v>1</v>
      </c>
    </row>
    <row r="7" spans="1:10" x14ac:dyDescent="0.3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3">
      <c r="A8" s="64" t="s">
        <v>199</v>
      </c>
    </row>
    <row r="9" spans="1:10" ht="15" thickBot="1" x14ac:dyDescent="0.35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" thickBot="1" x14ac:dyDescent="0.35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3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3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3">
      <c r="C16" s="17" t="s">
        <v>15</v>
      </c>
    </row>
    <row r="17" spans="1:4" x14ac:dyDescent="0.3">
      <c r="C17" t="s">
        <v>28</v>
      </c>
    </row>
    <row r="19" spans="1:4" s="54" customFormat="1" x14ac:dyDescent="0.3">
      <c r="A19" s="60"/>
      <c r="C19" s="17" t="s">
        <v>16</v>
      </c>
    </row>
    <row r="20" spans="1:4" s="54" customFormat="1" x14ac:dyDescent="0.3">
      <c r="A20" s="60"/>
      <c r="C20" t="s">
        <v>28</v>
      </c>
    </row>
    <row r="21" spans="1:4" s="54" customFormat="1" x14ac:dyDescent="0.3">
      <c r="A21" s="60"/>
      <c r="C21"/>
      <c r="D21" s="8"/>
    </row>
  </sheetData>
  <dataConsolidate/>
  <dataValidations count="3">
    <dataValidation type="list" allowBlank="1" showInputMessage="1" showErrorMessage="1" sqref="A8" xr:uid="{00000000-0002-0000-1A00-000000000000}">
      <formula1>OpenSolverResult</formula1>
    </dataValidation>
    <dataValidation type="list" allowBlank="1" showInputMessage="1" showErrorMessage="1" sqref="A4" xr:uid="{00000000-0002-0000-1A00-000001000000}">
      <formula1>ModelType</formula1>
    </dataValidation>
    <dataValidation type="list" allowBlank="1" showInputMessage="1" showErrorMessage="1" sqref="A2" xr:uid="{00000000-0002-0000-1A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InfConstConstraint"/>
  <dimension ref="A1:N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8" width="5.109375" style="1" customWidth="1"/>
    <col min="9" max="9" width="3.109375" style="1" customWidth="1"/>
    <col min="10" max="10" width="8.33203125" style="1" customWidth="1"/>
    <col min="11" max="11" width="3" style="1" bestFit="1" customWidth="1"/>
    <col min="12" max="12" width="6" style="1" customWidth="1"/>
    <col min="16" max="16" width="7.6640625" customWidth="1"/>
  </cols>
  <sheetData>
    <row r="1" spans="1:14" x14ac:dyDescent="0.3">
      <c r="A1" s="62" t="s">
        <v>203</v>
      </c>
      <c r="D1" t="s">
        <v>159</v>
      </c>
    </row>
    <row r="2" spans="1:14" ht="15" thickBot="1" x14ac:dyDescent="0.35">
      <c r="A2" s="63" t="s">
        <v>204</v>
      </c>
    </row>
    <row r="3" spans="1:14" x14ac:dyDescent="0.3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" thickBot="1" x14ac:dyDescent="0.35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3">
      <c r="A5" s="62" t="s">
        <v>209</v>
      </c>
    </row>
    <row r="6" spans="1:14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3">
      <c r="A7" s="62" t="s">
        <v>210</v>
      </c>
    </row>
    <row r="8" spans="1:14" x14ac:dyDescent="0.3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" thickBot="1" x14ac:dyDescent="0.35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3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3">
      <c r="C15" s="17" t="s">
        <v>15</v>
      </c>
    </row>
    <row r="16" spans="1:14" x14ac:dyDescent="0.3">
      <c r="D16" s="1" t="s">
        <v>28</v>
      </c>
    </row>
    <row r="17" spans="3:8" x14ac:dyDescent="0.3">
      <c r="D17" s="8"/>
      <c r="E17" s="8"/>
      <c r="F17" s="8"/>
      <c r="G17" s="8"/>
      <c r="H17" s="8"/>
    </row>
    <row r="19" spans="3:8" x14ac:dyDescent="0.3">
      <c r="C19" s="17" t="s">
        <v>16</v>
      </c>
    </row>
    <row r="20" spans="3:8" x14ac:dyDescent="0.3">
      <c r="D20" s="1" t="s">
        <v>28</v>
      </c>
    </row>
    <row r="21" spans="3:8" x14ac:dyDescent="0.3">
      <c r="D21" s="8"/>
    </row>
  </sheetData>
  <dataConsolidate/>
  <dataValidations count="3">
    <dataValidation type="list" allowBlank="1" showInputMessage="1" showErrorMessage="1" sqref="A2" xr:uid="{00000000-0002-0000-1B00-000000000000}">
      <formula1>TestType</formula1>
    </dataValidation>
    <dataValidation type="list" allowBlank="1" showInputMessage="1" showErrorMessage="1" sqref="A4" xr:uid="{00000000-0002-0000-1B00-000001000000}">
      <formula1>ModelType</formula1>
    </dataValidation>
    <dataValidation type="list" allowBlank="1" showInputMessage="1" showErrorMessage="1" sqref="A8" xr:uid="{00000000-0002-0000-1B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asConstConstraint"/>
  <dimension ref="A1:N21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54" customWidth="1"/>
    <col min="5" max="8" width="5.109375" style="54" customWidth="1"/>
    <col min="9" max="9" width="3.109375" style="54" customWidth="1"/>
    <col min="10" max="10" width="8.33203125" style="54" customWidth="1"/>
    <col min="11" max="11" width="3" style="54" bestFit="1" customWidth="1"/>
    <col min="12" max="12" width="6" style="54" customWidth="1"/>
    <col min="16" max="16" width="7.6640625" customWidth="1"/>
  </cols>
  <sheetData>
    <row r="1" spans="1:14" x14ac:dyDescent="0.3">
      <c r="A1" s="62" t="s">
        <v>203</v>
      </c>
      <c r="D1" t="s">
        <v>213</v>
      </c>
    </row>
    <row r="2" spans="1:14" ht="15" thickBot="1" x14ac:dyDescent="0.35">
      <c r="A2" s="63" t="s">
        <v>204</v>
      </c>
    </row>
    <row r="3" spans="1:14" x14ac:dyDescent="0.3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" thickBot="1" x14ac:dyDescent="0.35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3">
      <c r="A5" s="62" t="s">
        <v>209</v>
      </c>
    </row>
    <row r="6" spans="1:14" ht="15" thickBot="1" x14ac:dyDescent="0.35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3">
      <c r="A7" s="62" t="s">
        <v>210</v>
      </c>
    </row>
    <row r="8" spans="1:14" x14ac:dyDescent="0.3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" thickBot="1" x14ac:dyDescent="0.35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" thickBot="1" x14ac:dyDescent="0.35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3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3">
      <c r="C15" s="17" t="s">
        <v>15</v>
      </c>
    </row>
    <row r="16" spans="1:14" x14ac:dyDescent="0.3">
      <c r="D16" s="54">
        <v>0</v>
      </c>
      <c r="E16" s="54">
        <v>0</v>
      </c>
      <c r="F16" s="54">
        <v>0</v>
      </c>
    </row>
    <row r="17" spans="3:8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3">
      <c r="C19" s="17" t="s">
        <v>16</v>
      </c>
    </row>
    <row r="20" spans="3:8" x14ac:dyDescent="0.3">
      <c r="D20" s="54">
        <v>20</v>
      </c>
    </row>
    <row r="21" spans="3:8" x14ac:dyDescent="0.3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 xr:uid="{00000000-0002-0000-1C00-000000000000}">
      <formula1>OpenSolverResult</formula1>
    </dataValidation>
    <dataValidation type="list" allowBlank="1" showInputMessage="1" showErrorMessage="1" sqref="A4" xr:uid="{00000000-0002-0000-1C00-000001000000}">
      <formula1>ModelType</formula1>
    </dataValidation>
    <dataValidation type="list" allowBlank="1" showInputMessage="1" showErrorMessage="1" sqref="A2" xr:uid="{00000000-0002-0000-1C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Unbounded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3" width="4.88671875" customWidth="1"/>
    <col min="4" max="4" width="7.6640625" style="167" customWidth="1"/>
    <col min="5" max="6" width="5.109375" style="167" customWidth="1"/>
    <col min="7" max="7" width="3.109375" style="167" customWidth="1"/>
    <col min="8" max="8" width="8.33203125" style="167" customWidth="1"/>
    <col min="9" max="9" width="3" style="167" bestFit="1" customWidth="1"/>
    <col min="10" max="10" width="6" style="167" customWidth="1"/>
    <col min="14" max="14" width="7.6640625" customWidth="1"/>
  </cols>
  <sheetData>
    <row r="1" spans="1:10" x14ac:dyDescent="0.3">
      <c r="A1" s="62" t="s">
        <v>203</v>
      </c>
      <c r="D1" s="18" t="s">
        <v>347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" thickBot="1" x14ac:dyDescent="0.35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3">
      <c r="A5" s="62" t="s">
        <v>209</v>
      </c>
    </row>
    <row r="6" spans="1:10" ht="15" thickBot="1" x14ac:dyDescent="0.35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3">
      <c r="A7" s="62" t="s">
        <v>210</v>
      </c>
    </row>
    <row r="8" spans="1:10" x14ac:dyDescent="0.3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" thickBot="1" x14ac:dyDescent="0.35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" thickBot="1" x14ac:dyDescent="0.35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3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3">
      <c r="C15" s="17"/>
    </row>
    <row r="17" spans="3:6" x14ac:dyDescent="0.3">
      <c r="D17" s="8"/>
      <c r="E17" s="8"/>
      <c r="F17" s="8"/>
    </row>
    <row r="19" spans="3:6" x14ac:dyDescent="0.3">
      <c r="C19" s="17"/>
    </row>
    <row r="21" spans="3:6" x14ac:dyDescent="0.3">
      <c r="D21" s="8"/>
    </row>
  </sheetData>
  <dataConsolidate/>
  <dataValidations count="3">
    <dataValidation type="list" allowBlank="1" showInputMessage="1" showErrorMessage="1" sqref="A2:B2" xr:uid="{00000000-0002-0000-1D00-000000000000}">
      <formula1>TestType</formula1>
    </dataValidation>
    <dataValidation type="list" allowBlank="1" showInputMessage="1" showErrorMessage="1" sqref="A4:B4" xr:uid="{00000000-0002-0000-1D00-000001000000}">
      <formula1>ModelType</formula1>
    </dataValidation>
    <dataValidation type="list" allowBlank="1" showInputMessage="1" showErrorMessage="1" sqref="A8:B8" xr:uid="{00000000-0002-0000-1D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rotectedSheet"/>
  <dimension ref="A1:J21"/>
  <sheetViews>
    <sheetView workbookViewId="0">
      <selection activeCell="J20" sqref="J2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62" t="s">
        <v>203</v>
      </c>
      <c r="D1" s="18" t="s">
        <v>36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10" ht="15" thickBot="1" x14ac:dyDescent="0.35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3">
      <c r="A5" s="62" t="s">
        <v>209</v>
      </c>
    </row>
    <row r="6" spans="1:10" ht="15" thickBot="1" x14ac:dyDescent="0.35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3">
      <c r="A7" s="62" t="s">
        <v>210</v>
      </c>
    </row>
    <row r="8" spans="1:10" x14ac:dyDescent="0.3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" thickBot="1" x14ac:dyDescent="0.35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3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3">
      <c r="C15" s="17" t="s">
        <v>15</v>
      </c>
    </row>
    <row r="16" spans="1:10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3">
      <c r="C19" s="17" t="s">
        <v>16</v>
      </c>
    </row>
    <row r="20" spans="3:6" x14ac:dyDescent="0.3">
      <c r="D20" s="1">
        <v>15.882352941176622</v>
      </c>
    </row>
    <row r="21" spans="3:6" x14ac:dyDescent="0.3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 xr:uid="{00000000-0002-0000-1E00-000000000000}">
      <formula1>TestType</formula1>
    </dataValidation>
    <dataValidation type="list" allowBlank="1" showInputMessage="1" showErrorMessage="1" sqref="A4" xr:uid="{00000000-0002-0000-1E00-000001000000}">
      <formula1>ModelType</formula1>
    </dataValidation>
    <dataValidation type="list" allowBlank="1" showInputMessage="1" showErrorMessage="1" sqref="A8" xr:uid="{00000000-0002-0000-1E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IndirectLBs"/>
  <dimension ref="A1:L23"/>
  <sheetViews>
    <sheetView topLeftCell="A3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bestFit="1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 x14ac:dyDescent="0.3">
      <c r="A1" s="62" t="s">
        <v>203</v>
      </c>
      <c r="D1" s="18" t="s">
        <v>86</v>
      </c>
    </row>
    <row r="2" spans="1:12" ht="15" thickBot="1" x14ac:dyDescent="0.35">
      <c r="A2" s="63" t="s">
        <v>204</v>
      </c>
      <c r="D2" s="18" t="s">
        <v>88</v>
      </c>
    </row>
    <row r="3" spans="1:12" x14ac:dyDescent="0.3">
      <c r="A3" s="62" t="s">
        <v>208</v>
      </c>
    </row>
    <row r="4" spans="1:12" ht="15" thickBot="1" x14ac:dyDescent="0.35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3">
      <c r="A5" s="62" t="s">
        <v>209</v>
      </c>
      <c r="D5" s="1">
        <v>-4</v>
      </c>
      <c r="E5" s="1">
        <v>7.5294117776138938</v>
      </c>
      <c r="F5" s="1">
        <v>0</v>
      </c>
      <c r="H5"/>
      <c r="I5"/>
      <c r="J5"/>
    </row>
    <row r="6" spans="1:12" ht="15" thickBot="1" x14ac:dyDescent="0.35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3">
      <c r="A7" s="62" t="s">
        <v>210</v>
      </c>
    </row>
    <row r="8" spans="1:12" x14ac:dyDescent="0.3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14.588235332841681</v>
      </c>
    </row>
    <row r="9" spans="1:12" ht="15" thickBot="1" x14ac:dyDescent="0.35">
      <c r="A9" s="63">
        <f>VLOOKUP(A8,OpenSolverResultCodes,2,FALSE)</f>
        <v>0</v>
      </c>
    </row>
    <row r="10" spans="1:12" ht="15" thickBot="1" x14ac:dyDescent="0.35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42.823529553752834</v>
      </c>
      <c r="I10" s="1" t="s">
        <v>8</v>
      </c>
      <c r="J10" s="1">
        <v>60</v>
      </c>
    </row>
    <row r="11" spans="1:12" x14ac:dyDescent="0.3">
      <c r="D11" s="1">
        <v>21</v>
      </c>
      <c r="E11" s="1">
        <v>22</v>
      </c>
      <c r="F11" s="1">
        <v>23</v>
      </c>
      <c r="H11" s="1">
        <f>SUMPRODUCT($D$5:$F$5,D11:F11)</f>
        <v>81.647059107505669</v>
      </c>
      <c r="I11" s="1" t="s">
        <v>8</v>
      </c>
      <c r="J11" s="1">
        <v>150</v>
      </c>
    </row>
    <row r="12" spans="1:12" x14ac:dyDescent="0.3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3">
      <c r="D13" s="1">
        <v>19</v>
      </c>
      <c r="E13" s="1">
        <v>34</v>
      </c>
      <c r="F13" s="1">
        <v>-32</v>
      </c>
      <c r="H13" s="1">
        <f>SUMPRODUCT($D$5:$F$5,D13:F13)</f>
        <v>180.00000043887241</v>
      </c>
      <c r="I13" s="1" t="s">
        <v>10</v>
      </c>
      <c r="J13" s="1">
        <v>180</v>
      </c>
    </row>
    <row r="17" spans="1:6" x14ac:dyDescent="0.3">
      <c r="C17" s="17" t="s">
        <v>15</v>
      </c>
    </row>
    <row r="18" spans="1:6" x14ac:dyDescent="0.3">
      <c r="D18" s="1">
        <v>-4</v>
      </c>
      <c r="E18" s="1">
        <v>7.5294117647058831</v>
      </c>
      <c r="F18" s="1">
        <v>0</v>
      </c>
    </row>
    <row r="19" spans="1:6" s="1" customFormat="1" x14ac:dyDescent="0.3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3">
      <c r="A21" s="60"/>
      <c r="C21" s="17" t="s">
        <v>16</v>
      </c>
    </row>
    <row r="22" spans="1:6" s="1" customFormat="1" x14ac:dyDescent="0.3">
      <c r="A22" s="60"/>
      <c r="C22"/>
      <c r="D22" s="1">
        <v>14.588235294117649</v>
      </c>
    </row>
    <row r="23" spans="1:6" s="1" customFormat="1" x14ac:dyDescent="0.3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 xr:uid="{00000000-0002-0000-1F00-000000000000}">
      <formula1>OpenSolverResult</formula1>
    </dataValidation>
    <dataValidation type="list" allowBlank="1" showInputMessage="1" showErrorMessage="1" sqref="A4" xr:uid="{00000000-0002-0000-1F00-000001000000}">
      <formula1>ModelType</formula1>
    </dataValidation>
    <dataValidation type="list" allowBlank="1" showInputMessage="1" showErrorMessage="1" sqref="A2" xr:uid="{00000000-0002-0000-1F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DirectLBs"/>
  <dimension ref="A1:J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161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" thickBot="1" x14ac:dyDescent="0.35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3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" thickBot="1" x14ac:dyDescent="0.35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3">
      <c r="A7" s="62" t="s">
        <v>210</v>
      </c>
    </row>
    <row r="8" spans="1:10" x14ac:dyDescent="0.3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" thickBot="1" x14ac:dyDescent="0.35">
      <c r="A9" s="63">
        <f>VLOOKUP(A8,OpenSolverResultCodes,2,FALSE)</f>
        <v>0</v>
      </c>
    </row>
    <row r="10" spans="1:10" ht="15" thickBot="1" x14ac:dyDescent="0.35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3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3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3">
      <c r="C16" s="56" t="s">
        <v>15</v>
      </c>
    </row>
    <row r="17" spans="3:6" x14ac:dyDescent="0.3">
      <c r="D17" s="54">
        <v>-1</v>
      </c>
      <c r="E17" s="54">
        <v>-2</v>
      </c>
      <c r="F17" s="54">
        <v>0</v>
      </c>
    </row>
    <row r="18" spans="3:6" x14ac:dyDescent="0.3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3">
      <c r="C20" s="56" t="s">
        <v>16</v>
      </c>
    </row>
    <row r="21" spans="3:6" x14ac:dyDescent="0.3">
      <c r="D21" s="54">
        <v>-8</v>
      </c>
    </row>
    <row r="22" spans="3:6" x14ac:dyDescent="0.3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 xr:uid="{00000000-0002-0000-2000-000000000000}">
      <formula1>TestType</formula1>
    </dataValidation>
    <dataValidation type="list" allowBlank="1" showInputMessage="1" showErrorMessage="1" sqref="A4" xr:uid="{00000000-0002-0000-2000-000001000000}">
      <formula1>ModelType</formula1>
    </dataValidation>
    <dataValidation type="list" allowBlank="1" showInputMessage="1" showErrorMessage="1" sqref="A8" xr:uid="{00000000-0002-0000-20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ingleRangeLB"/>
  <dimension ref="A1:J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163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" thickBot="1" x14ac:dyDescent="0.35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3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" thickBot="1" x14ac:dyDescent="0.35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3">
      <c r="A7" s="62" t="s">
        <v>210</v>
      </c>
    </row>
    <row r="8" spans="1:10" x14ac:dyDescent="0.3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" thickBot="1" x14ac:dyDescent="0.35">
      <c r="A9" s="63">
        <f>VLOOKUP(A8,OpenSolverResultCodes,2,FALSE)</f>
        <v>0</v>
      </c>
    </row>
    <row r="10" spans="1:10" ht="15" thickBot="1" x14ac:dyDescent="0.35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3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3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3">
      <c r="C16" s="56" t="s">
        <v>15</v>
      </c>
    </row>
    <row r="17" spans="3:6" x14ac:dyDescent="0.3">
      <c r="D17" s="54">
        <v>-2</v>
      </c>
      <c r="E17" s="54">
        <v>-2</v>
      </c>
      <c r="F17" s="54">
        <v>-2</v>
      </c>
    </row>
    <row r="18" spans="3:6" x14ac:dyDescent="0.3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3">
      <c r="C20" s="56" t="s">
        <v>16</v>
      </c>
    </row>
    <row r="21" spans="3:6" x14ac:dyDescent="0.3">
      <c r="D21" s="54">
        <v>-18</v>
      </c>
    </row>
    <row r="22" spans="3:6" x14ac:dyDescent="0.3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 xr:uid="{00000000-0002-0000-2100-000000000000}">
      <formula1>OpenSolverResult</formula1>
    </dataValidation>
    <dataValidation type="list" allowBlank="1" showInputMessage="1" showErrorMessage="1" sqref="A4" xr:uid="{00000000-0002-0000-2100-000001000000}">
      <formula1>ModelType</formula1>
    </dataValidation>
    <dataValidation type="list" allowBlank="1" showInputMessage="1" showErrorMessage="1" sqref="A2" xr:uid="{00000000-0002-0000-21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inLB"/>
  <dimension ref="A1:J23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10.10937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163</v>
      </c>
    </row>
    <row r="2" spans="1:10" ht="15" thickBot="1" x14ac:dyDescent="0.35">
      <c r="A2" s="63" t="s">
        <v>204</v>
      </c>
      <c r="D2" s="18" t="s">
        <v>164</v>
      </c>
    </row>
    <row r="3" spans="1:10" x14ac:dyDescent="0.3">
      <c r="A3" s="62" t="s">
        <v>208</v>
      </c>
      <c r="D3" s="18"/>
    </row>
    <row r="4" spans="1:10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3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" thickBot="1" x14ac:dyDescent="0.35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3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3">
      <c r="A8" s="64" t="s">
        <v>200</v>
      </c>
    </row>
    <row r="9" spans="1:10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" thickBot="1" x14ac:dyDescent="0.35">
      <c r="A10" s="156" t="str">
        <f>HYPERLINK("[OpenSolver Tester.xlsm]Results!A1", "&lt;- Results")</f>
        <v>&lt;- Results</v>
      </c>
    </row>
    <row r="11" spans="1:10" x14ac:dyDescent="0.3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3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3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3">
      <c r="C17" s="56" t="s">
        <v>15</v>
      </c>
    </row>
    <row r="18" spans="1:6" s="54" customFormat="1" x14ac:dyDescent="0.3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3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3">
      <c r="A21" s="60"/>
      <c r="C21" s="56" t="s">
        <v>16</v>
      </c>
    </row>
    <row r="22" spans="1:6" s="54" customFormat="1" x14ac:dyDescent="0.3">
      <c r="A22" s="60"/>
      <c r="C22" s="16"/>
      <c r="D22" s="54">
        <v>-10</v>
      </c>
    </row>
    <row r="23" spans="1:6" s="54" customFormat="1" x14ac:dyDescent="0.3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 xr:uid="{00000000-0002-0000-2200-000000000000}">
      <formula1>TestType</formula1>
    </dataValidation>
    <dataValidation type="list" allowBlank="1" showInputMessage="1" showErrorMessage="1" sqref="A4" xr:uid="{00000000-0002-0000-2200-000001000000}">
      <formula1>ModelType</formula1>
    </dataValidation>
    <dataValidation type="list" allowBlank="1" showInputMessage="1" showErrorMessage="1" sqref="A8" xr:uid="{00000000-0002-0000-22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inIntLB"/>
  <dimension ref="A1:J23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5" width="7.109375" style="54" customWidth="1"/>
    <col min="6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163</v>
      </c>
    </row>
    <row r="2" spans="1:10" ht="15" thickBot="1" x14ac:dyDescent="0.35">
      <c r="A2" s="63" t="s">
        <v>204</v>
      </c>
      <c r="D2" s="18" t="s">
        <v>164</v>
      </c>
    </row>
    <row r="3" spans="1:10" x14ac:dyDescent="0.3">
      <c r="A3" s="62" t="s">
        <v>208</v>
      </c>
      <c r="D3" s="18" t="s">
        <v>165</v>
      </c>
    </row>
    <row r="4" spans="1:10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3">
      <c r="A5" s="62" t="s">
        <v>209</v>
      </c>
      <c r="D5" s="134">
        <v>-1.9</v>
      </c>
      <c r="E5" s="54">
        <v>-0.99999999999999978</v>
      </c>
      <c r="F5" s="54">
        <v>-1</v>
      </c>
      <c r="H5"/>
      <c r="I5"/>
      <c r="J5"/>
    </row>
    <row r="6" spans="1:10" ht="15" thickBot="1" x14ac:dyDescent="0.35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3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3">
      <c r="A8" s="64" t="s">
        <v>200</v>
      </c>
    </row>
    <row r="9" spans="1:10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-10.799999999999999</v>
      </c>
    </row>
    <row r="10" spans="1:10" ht="15" thickBot="1" x14ac:dyDescent="0.35">
      <c r="A10" s="156" t="str">
        <f>HYPERLINK("[OpenSolver Tester.xlsm]Results!A1", "&lt;- Results")</f>
        <v>&lt;- Results</v>
      </c>
    </row>
    <row r="11" spans="1:10" x14ac:dyDescent="0.3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3">
      <c r="E12" s="54">
        <v>1</v>
      </c>
      <c r="H12" s="54">
        <f>SUMPRODUCT($D$5:$F$5,D12:F12)</f>
        <v>-0.99999999999999978</v>
      </c>
      <c r="I12" s="54" t="s">
        <v>9</v>
      </c>
      <c r="J12" s="54">
        <v>-50</v>
      </c>
    </row>
    <row r="13" spans="1:10" x14ac:dyDescent="0.3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3">
      <c r="C17" s="56" t="s">
        <v>15</v>
      </c>
    </row>
    <row r="18" spans="1:6" s="54" customFormat="1" x14ac:dyDescent="0.3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3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3">
      <c r="A21" s="60"/>
      <c r="C21" s="56" t="s">
        <v>16</v>
      </c>
    </row>
    <row r="22" spans="1:6" s="54" customFormat="1" x14ac:dyDescent="0.3">
      <c r="A22" s="60"/>
      <c r="C22" s="16"/>
      <c r="D22" s="54">
        <v>-6.8</v>
      </c>
    </row>
    <row r="23" spans="1:6" s="54" customFormat="1" x14ac:dyDescent="0.3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 xr:uid="{00000000-0002-0000-2300-000000000000}">
      <formula1>OpenSolverResult</formula1>
    </dataValidation>
    <dataValidation type="list" allowBlank="1" showInputMessage="1" showErrorMessage="1" sqref="A4" xr:uid="{00000000-0002-0000-2300-000001000000}">
      <formula1>ModelType</formula1>
    </dataValidation>
    <dataValidation type="list" allowBlank="1" showInputMessage="1" showErrorMessage="1" sqref="A2" xr:uid="{00000000-0002-0000-23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Relaxation"/>
  <dimension ref="A1:J23"/>
  <sheetViews>
    <sheetView topLeftCell="A4"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161" customWidth="1"/>
    <col min="5" max="5" width="7.109375" style="161" customWidth="1"/>
    <col min="6" max="6" width="5.109375" style="161" customWidth="1"/>
    <col min="7" max="7" width="3.109375" style="161" customWidth="1"/>
    <col min="8" max="8" width="8.33203125" style="161" customWidth="1"/>
    <col min="9" max="9" width="3" style="161" bestFit="1" customWidth="1"/>
    <col min="10" max="10" width="6" style="161" customWidth="1"/>
    <col min="14" max="14" width="7.6640625" customWidth="1"/>
  </cols>
  <sheetData>
    <row r="1" spans="1:10" x14ac:dyDescent="0.3">
      <c r="A1" s="62" t="s">
        <v>203</v>
      </c>
      <c r="D1" s="18" t="s">
        <v>163</v>
      </c>
    </row>
    <row r="2" spans="1:10" ht="15" thickBot="1" x14ac:dyDescent="0.35">
      <c r="A2" s="63" t="s">
        <v>205</v>
      </c>
      <c r="D2" s="18" t="s">
        <v>164</v>
      </c>
    </row>
    <row r="3" spans="1:10" x14ac:dyDescent="0.3">
      <c r="A3" s="62" t="s">
        <v>208</v>
      </c>
      <c r="D3" s="18" t="s">
        <v>165</v>
      </c>
    </row>
    <row r="4" spans="1:10" ht="15" thickBot="1" x14ac:dyDescent="0.35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3">
      <c r="A5" s="62" t="s">
        <v>209</v>
      </c>
      <c r="D5" s="184">
        <v>-1.9</v>
      </c>
      <c r="E5" s="161">
        <v>-1.8999999999999997</v>
      </c>
      <c r="F5" s="161">
        <v>0</v>
      </c>
      <c r="H5"/>
      <c r="I5"/>
      <c r="J5"/>
    </row>
    <row r="6" spans="1:10" ht="15" thickBot="1" x14ac:dyDescent="0.35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3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3">
      <c r="A8" s="64"/>
    </row>
    <row r="9" spans="1:10" ht="15" thickBot="1" x14ac:dyDescent="0.35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" thickBot="1" x14ac:dyDescent="0.35">
      <c r="A10" s="156" t="str">
        <f>HYPERLINK("[OpenSolver Tester.xlsm]Results!A1", "&lt;- Results")</f>
        <v>&lt;- Results</v>
      </c>
    </row>
    <row r="11" spans="1:10" x14ac:dyDescent="0.3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3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3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3">
      <c r="C17" s="56" t="s">
        <v>15</v>
      </c>
    </row>
    <row r="18" spans="1:6" s="161" customFormat="1" x14ac:dyDescent="0.3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3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3">
      <c r="A21" s="60"/>
      <c r="C21" s="56" t="s">
        <v>16</v>
      </c>
    </row>
    <row r="22" spans="1:6" s="161" customFormat="1" x14ac:dyDescent="0.3">
      <c r="A22" s="60"/>
      <c r="C22" s="16"/>
      <c r="D22" s="161">
        <v>-9.5</v>
      </c>
    </row>
    <row r="23" spans="1:6" s="161" customFormat="1" x14ac:dyDescent="0.3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 xr:uid="{00000000-0002-0000-2400-000000000000}">
      <formula1>TestType</formula1>
    </dataValidation>
    <dataValidation type="list" allowBlank="1" showInputMessage="1" showErrorMessage="1" sqref="A4" xr:uid="{00000000-0002-0000-2400-000001000000}">
      <formula1>ModelType</formula1>
    </dataValidation>
    <dataValidation type="list" allowBlank="1" showInputMessage="1" showErrorMessage="1" sqref="A8" xr:uid="{00000000-0002-0000-24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LargeRangeLB"/>
  <dimension ref="A1:J24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5.3320312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166</v>
      </c>
    </row>
    <row r="2" spans="1:10" ht="15" thickBot="1" x14ac:dyDescent="0.35">
      <c r="A2" s="63" t="s">
        <v>204</v>
      </c>
      <c r="D2" s="18" t="s">
        <v>167</v>
      </c>
    </row>
    <row r="3" spans="1:10" x14ac:dyDescent="0.3">
      <c r="A3" s="62" t="s">
        <v>208</v>
      </c>
      <c r="D3" s="18" t="s">
        <v>168</v>
      </c>
    </row>
    <row r="4" spans="1:10" ht="15" thickBot="1" x14ac:dyDescent="0.35">
      <c r="A4" s="63" t="s">
        <v>206</v>
      </c>
    </row>
    <row r="5" spans="1:10" x14ac:dyDescent="0.3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" thickBot="1" x14ac:dyDescent="0.35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3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3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" thickBot="1" x14ac:dyDescent="0.35">
      <c r="A9" s="63">
        <f>VLOOKUP(A8,OpenSolverResultCodes,2,FALSE)</f>
        <v>0</v>
      </c>
    </row>
    <row r="10" spans="1:10" ht="15" thickBot="1" x14ac:dyDescent="0.35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3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3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3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3">
      <c r="C18" s="56" t="s">
        <v>15</v>
      </c>
    </row>
    <row r="19" spans="3:6" x14ac:dyDescent="0.3">
      <c r="D19" s="54">
        <v>-1</v>
      </c>
      <c r="E19" s="54">
        <v>-2</v>
      </c>
      <c r="F19" s="54">
        <v>0</v>
      </c>
    </row>
    <row r="20" spans="3:6" x14ac:dyDescent="0.3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3">
      <c r="C22" s="56" t="s">
        <v>16</v>
      </c>
    </row>
    <row r="23" spans="3:6" x14ac:dyDescent="0.3">
      <c r="D23" s="54">
        <v>-8</v>
      </c>
    </row>
    <row r="24" spans="3:6" x14ac:dyDescent="0.3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 xr:uid="{00000000-0002-0000-2500-000000000000}">
      <formula1>TestType</formula1>
    </dataValidation>
    <dataValidation type="list" allowBlank="1" showInputMessage="1" showErrorMessage="1" sqref="A4" xr:uid="{00000000-0002-0000-2500-000001000000}">
      <formula1>ModelType</formula1>
    </dataValidation>
    <dataValidation type="list" allowBlank="1" showInputMessage="1" showErrorMessage="1" sqref="A8" xr:uid="{00000000-0002-0000-25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OverlapRangeLB"/>
  <dimension ref="A1:J24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5.3320312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170</v>
      </c>
    </row>
    <row r="2" spans="1:10" ht="15" thickBot="1" x14ac:dyDescent="0.35">
      <c r="A2" s="63" t="s">
        <v>204</v>
      </c>
      <c r="D2" s="18" t="s">
        <v>167</v>
      </c>
    </row>
    <row r="3" spans="1:10" x14ac:dyDescent="0.3">
      <c r="A3" s="62" t="s">
        <v>208</v>
      </c>
      <c r="D3" s="18" t="s">
        <v>168</v>
      </c>
    </row>
    <row r="4" spans="1:10" ht="15" thickBot="1" x14ac:dyDescent="0.35">
      <c r="A4" s="63" t="s">
        <v>206</v>
      </c>
    </row>
    <row r="5" spans="1:10" x14ac:dyDescent="0.3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" thickBot="1" x14ac:dyDescent="0.35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3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3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" thickBot="1" x14ac:dyDescent="0.35">
      <c r="A9" s="63">
        <f>VLOOKUP(A8,OpenSolverResultCodes,2,FALSE)</f>
        <v>0</v>
      </c>
    </row>
    <row r="10" spans="1:10" ht="15" thickBot="1" x14ac:dyDescent="0.35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3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3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3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3">
      <c r="C18" s="56" t="s">
        <v>15</v>
      </c>
    </row>
    <row r="19" spans="3:6" x14ac:dyDescent="0.3">
      <c r="D19" s="54">
        <v>0</v>
      </c>
      <c r="E19" s="54">
        <v>-2</v>
      </c>
      <c r="F19" s="54">
        <v>0</v>
      </c>
    </row>
    <row r="20" spans="3:6" x14ac:dyDescent="0.3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3">
      <c r="C22" s="56" t="s">
        <v>16</v>
      </c>
    </row>
    <row r="23" spans="3:6" x14ac:dyDescent="0.3">
      <c r="D23" s="54">
        <v>-6</v>
      </c>
    </row>
    <row r="24" spans="3:6" x14ac:dyDescent="0.3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 xr:uid="{00000000-0002-0000-2600-000000000000}">
      <formula1>OpenSolverResult</formula1>
    </dataValidation>
    <dataValidation type="list" allowBlank="1" showInputMessage="1" showErrorMessage="1" sqref="A4" xr:uid="{00000000-0002-0000-2600-000001000000}">
      <formula1>ModelType</formula1>
    </dataValidation>
    <dataValidation type="list" allowBlank="1" showInputMessage="1" showErrorMessage="1" sqref="A2" xr:uid="{00000000-0002-0000-26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OverlapRangeLBwithFormula"/>
  <dimension ref="A1:J24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5.3320312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 x14ac:dyDescent="0.3">
      <c r="A1" s="62" t="s">
        <v>203</v>
      </c>
      <c r="D1" s="18" t="s">
        <v>171</v>
      </c>
    </row>
    <row r="2" spans="1:10" ht="15" thickBot="1" x14ac:dyDescent="0.35">
      <c r="A2" s="63" t="s">
        <v>204</v>
      </c>
      <c r="D2" s="18" t="s">
        <v>167</v>
      </c>
    </row>
    <row r="3" spans="1:10" x14ac:dyDescent="0.3">
      <c r="A3" s="62" t="s">
        <v>208</v>
      </c>
      <c r="D3" s="18" t="s">
        <v>168</v>
      </c>
    </row>
    <row r="4" spans="1:10" ht="15" thickBot="1" x14ac:dyDescent="0.35">
      <c r="A4" s="63" t="s">
        <v>206</v>
      </c>
    </row>
    <row r="5" spans="1:10" x14ac:dyDescent="0.3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" thickBot="1" x14ac:dyDescent="0.35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3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3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" thickBot="1" x14ac:dyDescent="0.35">
      <c r="A9" s="63">
        <f>VLOOKUP(A8,OpenSolverResultCodes,2,FALSE)</f>
        <v>0</v>
      </c>
    </row>
    <row r="10" spans="1:10" ht="15" thickBot="1" x14ac:dyDescent="0.35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3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3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3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3">
      <c r="C18" s="56" t="s">
        <v>15</v>
      </c>
    </row>
    <row r="19" spans="3:6" x14ac:dyDescent="0.3">
      <c r="D19" s="54">
        <v>-1</v>
      </c>
      <c r="E19" s="54">
        <v>-2</v>
      </c>
      <c r="F19" s="54">
        <v>0</v>
      </c>
    </row>
    <row r="20" spans="3:6" x14ac:dyDescent="0.3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3">
      <c r="C22" s="56" t="s">
        <v>16</v>
      </c>
    </row>
    <row r="23" spans="3:6" x14ac:dyDescent="0.3">
      <c r="D23" s="54">
        <v>-8</v>
      </c>
    </row>
    <row r="24" spans="3:6" x14ac:dyDescent="0.3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 xr:uid="{00000000-0002-0000-2700-000000000000}">
      <formula1>TestType</formula1>
    </dataValidation>
    <dataValidation type="list" allowBlank="1" showInputMessage="1" showErrorMessage="1" sqref="A4" xr:uid="{00000000-0002-0000-2700-000001000000}">
      <formula1>ModelType</formula1>
    </dataValidation>
    <dataValidation type="list" allowBlank="1" showInputMessage="1" showErrorMessage="1" sqref="A8" xr:uid="{00000000-0002-0000-27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ConstFormulaRangeLB"/>
  <dimension ref="A1:M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10.6640625" style="54" customWidth="1"/>
    <col min="5" max="5" width="9.109375" style="54" customWidth="1"/>
    <col min="6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 x14ac:dyDescent="0.3">
      <c r="A1" s="62" t="s">
        <v>203</v>
      </c>
      <c r="D1" s="18" t="s">
        <v>174</v>
      </c>
    </row>
    <row r="2" spans="1:13" ht="15" thickBot="1" x14ac:dyDescent="0.35">
      <c r="A2" s="63" t="s">
        <v>204</v>
      </c>
    </row>
    <row r="3" spans="1:13" x14ac:dyDescent="0.3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" thickBot="1" x14ac:dyDescent="0.35">
      <c r="A4" s="63" t="s">
        <v>206</v>
      </c>
      <c r="D4" s="134">
        <v>-2.0000000098039554</v>
      </c>
      <c r="E4" s="134">
        <v>-2.000000009806425</v>
      </c>
      <c r="F4" s="54">
        <v>-2.0000000098076609</v>
      </c>
      <c r="H4"/>
      <c r="I4"/>
      <c r="J4"/>
    </row>
    <row r="5" spans="1:13" x14ac:dyDescent="0.3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" thickBot="1" x14ac:dyDescent="0.35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3">
      <c r="A7" s="62" t="s">
        <v>210</v>
      </c>
    </row>
    <row r="8" spans="1:13" x14ac:dyDescent="0.3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-18.000000088257828</v>
      </c>
    </row>
    <row r="9" spans="1:13" ht="15" thickBot="1" x14ac:dyDescent="0.35">
      <c r="A9" s="63">
        <f>VLOOKUP(A8,OpenSolverResultCodes,2,FALSE)</f>
        <v>0</v>
      </c>
    </row>
    <row r="10" spans="1:13" ht="15" thickBot="1" x14ac:dyDescent="0.35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-2.0000000098039554</v>
      </c>
      <c r="I10" s="54" t="s">
        <v>9</v>
      </c>
      <c r="J10" s="54">
        <v>-50</v>
      </c>
    </row>
    <row r="11" spans="1:13" x14ac:dyDescent="0.3">
      <c r="E11" s="54">
        <v>1</v>
      </c>
      <c r="H11" s="54">
        <f>SUMPRODUCT($D$4:$F$4,D11:F11)</f>
        <v>-2.000000009806425</v>
      </c>
      <c r="I11" s="54" t="s">
        <v>9</v>
      </c>
      <c r="J11" s="54">
        <v>-50</v>
      </c>
    </row>
    <row r="12" spans="1:13" x14ac:dyDescent="0.3">
      <c r="F12" s="54">
        <v>1</v>
      </c>
      <c r="H12" s="54">
        <f>SUMPRODUCT($D$4:$F$4,D12:F12)</f>
        <v>-2.0000000098076609</v>
      </c>
      <c r="I12" s="54" t="s">
        <v>9</v>
      </c>
      <c r="J12" s="54">
        <v>-50</v>
      </c>
    </row>
    <row r="16" spans="1:13" x14ac:dyDescent="0.3">
      <c r="C16" s="56" t="s">
        <v>15</v>
      </c>
    </row>
    <row r="17" spans="3:6" x14ac:dyDescent="0.3">
      <c r="D17" s="54">
        <v>-2</v>
      </c>
      <c r="E17" s="54">
        <v>-2</v>
      </c>
      <c r="F17" s="54">
        <v>-2</v>
      </c>
    </row>
    <row r="18" spans="3:6" x14ac:dyDescent="0.3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3">
      <c r="C20" s="56" t="s">
        <v>16</v>
      </c>
    </row>
    <row r="21" spans="3:6" x14ac:dyDescent="0.3">
      <c r="D21" s="54">
        <v>-18</v>
      </c>
    </row>
    <row r="22" spans="3:6" x14ac:dyDescent="0.3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 xr:uid="{00000000-0002-0000-2800-000000000000}">
      <formula1>OpenSolverResult</formula1>
    </dataValidation>
    <dataValidation type="list" allowBlank="1" showInputMessage="1" showErrorMessage="1" sqref="A4" xr:uid="{00000000-0002-0000-2800-000001000000}">
      <formula1>ModelType</formula1>
    </dataValidation>
    <dataValidation type="list" allowBlank="1" showInputMessage="1" showErrorMessage="1" sqref="A2" xr:uid="{00000000-0002-0000-28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VariableFormulaRangeLB"/>
  <dimension ref="A1:M23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5" width="9.33203125" style="54" customWidth="1"/>
    <col min="6" max="6" width="8.3320312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 x14ac:dyDescent="0.3">
      <c r="A1" s="62" t="s">
        <v>203</v>
      </c>
      <c r="D1" s="18" t="s">
        <v>176</v>
      </c>
    </row>
    <row r="2" spans="1:13" ht="15" thickBot="1" x14ac:dyDescent="0.35">
      <c r="A2" s="63" t="s">
        <v>204</v>
      </c>
      <c r="D2" s="18" t="s">
        <v>177</v>
      </c>
    </row>
    <row r="3" spans="1:13" x14ac:dyDescent="0.3">
      <c r="A3" s="62" t="s">
        <v>208</v>
      </c>
      <c r="D3" s="18" t="s">
        <v>313</v>
      </c>
    </row>
    <row r="4" spans="1:13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3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" thickBot="1" x14ac:dyDescent="0.35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3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3">
      <c r="A8" s="64" t="s">
        <v>200</v>
      </c>
    </row>
    <row r="9" spans="1:13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" thickBot="1" x14ac:dyDescent="0.35">
      <c r="A10" s="156" t="str">
        <f>HYPERLINK("[OpenSolver Tester.xlsm]Results!A1", "&lt;- Results")</f>
        <v>&lt;- Results</v>
      </c>
    </row>
    <row r="11" spans="1:13" x14ac:dyDescent="0.3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3">
      <c r="C17" s="56" t="s">
        <v>15</v>
      </c>
    </row>
    <row r="18" spans="1:13" s="54" customFormat="1" x14ac:dyDescent="0.3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3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3">
      <c r="A21" s="60"/>
      <c r="C21" s="56" t="s">
        <v>16</v>
      </c>
      <c r="K21"/>
      <c r="L21"/>
      <c r="M21"/>
    </row>
    <row r="22" spans="1:13" s="54" customFormat="1" x14ac:dyDescent="0.3">
      <c r="A22" s="60"/>
      <c r="C22" s="16"/>
      <c r="D22" s="54">
        <v>-4</v>
      </c>
      <c r="K22"/>
      <c r="L22"/>
      <c r="M22"/>
    </row>
    <row r="23" spans="1:13" s="54" customFormat="1" x14ac:dyDescent="0.3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 xr:uid="{00000000-0002-0000-2900-000000000000}">
      <formula1>TestType</formula1>
    </dataValidation>
    <dataValidation type="list" allowBlank="1" showInputMessage="1" showErrorMessage="1" sqref="A4" xr:uid="{00000000-0002-0000-2900-000001000000}">
      <formula1>ModelType</formula1>
    </dataValidation>
    <dataValidation type="list" allowBlank="1" showInputMessage="1" showErrorMessage="1" sqref="A8" xr:uid="{00000000-0002-0000-29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ConstraintLB"/>
  <dimension ref="A1:M23"/>
  <sheetViews>
    <sheetView topLeftCell="A4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 x14ac:dyDescent="0.3">
      <c r="A1" s="62" t="s">
        <v>203</v>
      </c>
      <c r="D1" s="18" t="s">
        <v>178</v>
      </c>
    </row>
    <row r="2" spans="1:13" ht="15" thickBot="1" x14ac:dyDescent="0.35">
      <c r="A2" s="63" t="s">
        <v>204</v>
      </c>
      <c r="D2" s="18" t="s">
        <v>177</v>
      </c>
    </row>
    <row r="3" spans="1:13" x14ac:dyDescent="0.3">
      <c r="A3" s="62" t="s">
        <v>208</v>
      </c>
      <c r="D3" s="18"/>
    </row>
    <row r="4" spans="1:13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3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" thickBot="1" x14ac:dyDescent="0.35">
      <c r="A6" s="63" t="b">
        <f>AND(D19,E19,F19,D23)</f>
        <v>1</v>
      </c>
      <c r="H6"/>
      <c r="I6"/>
      <c r="J6"/>
    </row>
    <row r="7" spans="1:13" x14ac:dyDescent="0.3">
      <c r="A7" s="62" t="s">
        <v>210</v>
      </c>
      <c r="H7"/>
      <c r="I7"/>
      <c r="J7"/>
      <c r="L7">
        <v>-2</v>
      </c>
      <c r="M7" t="s">
        <v>175</v>
      </c>
    </row>
    <row r="8" spans="1:13" x14ac:dyDescent="0.3">
      <c r="A8" s="64" t="s">
        <v>200</v>
      </c>
    </row>
    <row r="9" spans="1:13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 x14ac:dyDescent="0.35">
      <c r="A10" s="156" t="str">
        <f>HYPERLINK("[OpenSolver Tester.xlsm]Results!A1", "&lt;- Results")</f>
        <v>&lt;- Results</v>
      </c>
    </row>
    <row r="11" spans="1:13" x14ac:dyDescent="0.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3">
      <c r="C17" s="56" t="s">
        <v>15</v>
      </c>
    </row>
    <row r="18" spans="1:13" s="54" customFormat="1" x14ac:dyDescent="0.3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3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3">
      <c r="A21" s="60"/>
      <c r="C21" s="56" t="s">
        <v>16</v>
      </c>
      <c r="K21"/>
      <c r="L21"/>
      <c r="M21"/>
    </row>
    <row r="22" spans="1:13" s="54" customFormat="1" x14ac:dyDescent="0.3">
      <c r="A22" s="60"/>
      <c r="C22" s="16"/>
      <c r="D22" s="54">
        <v>0</v>
      </c>
      <c r="K22"/>
      <c r="L22"/>
      <c r="M22"/>
    </row>
    <row r="23" spans="1:13" s="54" customFormat="1" x14ac:dyDescent="0.3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 xr:uid="{00000000-0002-0000-2A00-000000000000}">
      <formula1>OpenSolverResult</formula1>
    </dataValidation>
    <dataValidation type="list" allowBlank="1" showInputMessage="1" showErrorMessage="1" sqref="A4" xr:uid="{00000000-0002-0000-2A00-000001000000}">
      <formula1>ModelType</formula1>
    </dataValidation>
    <dataValidation type="list" allowBlank="1" showInputMessage="1" showErrorMessage="1" sqref="A2" xr:uid="{00000000-0002-0000-2A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ConstantLB"/>
  <dimension ref="A1:M23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25.10937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 x14ac:dyDescent="0.3">
      <c r="A1" s="62" t="s">
        <v>203</v>
      </c>
      <c r="D1" s="18" t="s">
        <v>179</v>
      </c>
    </row>
    <row r="2" spans="1:13" ht="15" thickBot="1" x14ac:dyDescent="0.35">
      <c r="A2" s="63" t="s">
        <v>204</v>
      </c>
      <c r="D2" s="18" t="s">
        <v>180</v>
      </c>
    </row>
    <row r="3" spans="1:13" x14ac:dyDescent="0.3">
      <c r="A3" s="62" t="s">
        <v>208</v>
      </c>
      <c r="D3" s="18"/>
    </row>
    <row r="4" spans="1:13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3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" thickBot="1" x14ac:dyDescent="0.35">
      <c r="A6" s="63" t="b">
        <f>AND(D19,E19,F19,D23)</f>
        <v>1</v>
      </c>
      <c r="H6"/>
      <c r="I6"/>
      <c r="J6"/>
    </row>
    <row r="7" spans="1:13" x14ac:dyDescent="0.3">
      <c r="A7" s="62" t="s">
        <v>210</v>
      </c>
      <c r="H7"/>
      <c r="I7"/>
      <c r="J7"/>
      <c r="L7">
        <v>-2</v>
      </c>
      <c r="M7" t="s">
        <v>175</v>
      </c>
    </row>
    <row r="8" spans="1:13" x14ac:dyDescent="0.3">
      <c r="A8" s="64" t="s">
        <v>200</v>
      </c>
    </row>
    <row r="9" spans="1:13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" thickBot="1" x14ac:dyDescent="0.35">
      <c r="A10" s="156" t="str">
        <f>HYPERLINK("[OpenSolver Tester.xlsm]Results!A1", "&lt;- Results")</f>
        <v>&lt;- Results</v>
      </c>
    </row>
    <row r="11" spans="1:13" x14ac:dyDescent="0.3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3">
      <c r="C17" s="56" t="s">
        <v>15</v>
      </c>
    </row>
    <row r="18" spans="1:13" s="54" customFormat="1" x14ac:dyDescent="0.3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3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3">
      <c r="A21" s="60"/>
      <c r="C21" s="56" t="s">
        <v>16</v>
      </c>
      <c r="K21"/>
      <c r="L21"/>
      <c r="M21"/>
    </row>
    <row r="22" spans="1:13" s="54" customFormat="1" x14ac:dyDescent="0.3">
      <c r="A22" s="60"/>
      <c r="C22" s="16"/>
      <c r="D22" s="54">
        <v>-20</v>
      </c>
      <c r="K22"/>
      <c r="L22"/>
      <c r="M22"/>
    </row>
    <row r="23" spans="1:13" s="54" customFormat="1" x14ac:dyDescent="0.3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 xr:uid="{00000000-0002-0000-2B00-000000000000}">
      <formula1>TestType</formula1>
    </dataValidation>
    <dataValidation type="list" allowBlank="1" showInputMessage="1" showErrorMessage="1" sqref="A4" xr:uid="{00000000-0002-0000-2B00-000001000000}">
      <formula1>ModelType</formula1>
    </dataValidation>
    <dataValidation type="list" allowBlank="1" showInputMessage="1" showErrorMessage="1" sqref="A8" xr:uid="{00000000-0002-0000-2B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ormulaLB"/>
  <dimension ref="A1:M23"/>
  <sheetViews>
    <sheetView topLeftCell="A4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1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 x14ac:dyDescent="0.3">
      <c r="A1" s="62" t="s">
        <v>203</v>
      </c>
      <c r="D1" s="18" t="s">
        <v>181</v>
      </c>
    </row>
    <row r="2" spans="1:13" ht="15" thickBot="1" x14ac:dyDescent="0.35">
      <c r="A2" s="63" t="s">
        <v>204</v>
      </c>
      <c r="D2" s="18" t="s">
        <v>182</v>
      </c>
    </row>
    <row r="3" spans="1:13" x14ac:dyDescent="0.3">
      <c r="A3" s="62" t="s">
        <v>208</v>
      </c>
      <c r="D3" s="18"/>
    </row>
    <row r="4" spans="1:13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3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" thickBot="1" x14ac:dyDescent="0.35">
      <c r="A6" s="63" t="b">
        <f>AND(D19,E19,F19,D23)</f>
        <v>0</v>
      </c>
      <c r="H6"/>
      <c r="I6"/>
      <c r="J6"/>
    </row>
    <row r="7" spans="1:13" x14ac:dyDescent="0.3">
      <c r="A7" s="62" t="s">
        <v>210</v>
      </c>
      <c r="H7"/>
      <c r="I7"/>
      <c r="J7"/>
      <c r="L7">
        <v>-2</v>
      </c>
      <c r="M7" t="s">
        <v>175</v>
      </c>
    </row>
    <row r="8" spans="1:13" x14ac:dyDescent="0.3">
      <c r="A8" s="64" t="s">
        <v>200</v>
      </c>
    </row>
    <row r="9" spans="1:13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" thickBot="1" x14ac:dyDescent="0.35">
      <c r="A10" s="156" t="str">
        <f>HYPERLINK("[OpenSolver Tester.xlsm]Results!A1", "&lt;- Results")</f>
        <v>&lt;- Results</v>
      </c>
    </row>
    <row r="11" spans="1:13" x14ac:dyDescent="0.3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3">
      <c r="C17" s="56" t="s">
        <v>15</v>
      </c>
    </row>
    <row r="18" spans="1:13" s="54" customFormat="1" x14ac:dyDescent="0.3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3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3">
      <c r="A21" s="60"/>
      <c r="C21" s="56" t="s">
        <v>16</v>
      </c>
      <c r="K21"/>
      <c r="L21"/>
      <c r="M21"/>
    </row>
    <row r="22" spans="1:13" s="54" customFormat="1" x14ac:dyDescent="0.3">
      <c r="A22" s="60"/>
      <c r="C22" s="16"/>
      <c r="D22" s="54">
        <v>0</v>
      </c>
      <c r="K22"/>
      <c r="L22"/>
      <c r="M22"/>
    </row>
    <row r="23" spans="1:13" s="54" customFormat="1" x14ac:dyDescent="0.3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 xr:uid="{00000000-0002-0000-2C00-000000000000}">
      <formula1>OpenSolverResult</formula1>
    </dataValidation>
    <dataValidation type="list" allowBlank="1" showInputMessage="1" showErrorMessage="1" sqref="A4" xr:uid="{00000000-0002-0000-2C00-000001000000}">
      <formula1>ModelType</formula1>
    </dataValidation>
    <dataValidation type="list" allowBlank="1" showInputMessage="1" showErrorMessage="1" sqref="A2" xr:uid="{00000000-0002-0000-2C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VarConstraintLB"/>
  <dimension ref="A1:M23"/>
  <sheetViews>
    <sheetView topLeftCell="A16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6.109375" style="16" bestFit="1" customWidth="1"/>
    <col min="4" max="4" width="7.6640625" style="54" customWidth="1"/>
    <col min="5" max="6" width="5.109375" style="54" customWidth="1"/>
    <col min="7" max="7" width="3.109375" style="54" customWidth="1"/>
    <col min="8" max="8" width="8.3320312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 x14ac:dyDescent="0.3">
      <c r="A1" s="62" t="s">
        <v>203</v>
      </c>
      <c r="D1" s="18" t="s">
        <v>316</v>
      </c>
    </row>
    <row r="2" spans="1:13" ht="15" thickBot="1" x14ac:dyDescent="0.35">
      <c r="A2" s="63" t="s">
        <v>204</v>
      </c>
      <c r="D2" s="18" t="s">
        <v>317</v>
      </c>
    </row>
    <row r="3" spans="1:13" x14ac:dyDescent="0.3">
      <c r="A3" s="62" t="s">
        <v>208</v>
      </c>
      <c r="D3" s="18"/>
    </row>
    <row r="4" spans="1:13" ht="15" thickBot="1" x14ac:dyDescent="0.35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3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" thickBot="1" x14ac:dyDescent="0.35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3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3">
      <c r="A8" s="64" t="s">
        <v>200</v>
      </c>
    </row>
    <row r="9" spans="1:13" ht="15" thickBot="1" x14ac:dyDescent="0.35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" thickBot="1" x14ac:dyDescent="0.35">
      <c r="A10" s="156" t="str">
        <f>HYPERLINK("[OpenSolver Tester.xlsm]Results!A1", "&lt;- Results")</f>
        <v>&lt;- Results</v>
      </c>
    </row>
    <row r="11" spans="1:13" x14ac:dyDescent="0.3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3">
      <c r="C17" s="56" t="s">
        <v>15</v>
      </c>
    </row>
    <row r="18" spans="1:13" s="54" customFormat="1" x14ac:dyDescent="0.3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3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3">
      <c r="A21" s="60"/>
      <c r="C21" s="56" t="s">
        <v>16</v>
      </c>
      <c r="K21"/>
      <c r="L21"/>
      <c r="M21"/>
    </row>
    <row r="22" spans="1:13" s="54" customFormat="1" x14ac:dyDescent="0.3">
      <c r="A22" s="60"/>
      <c r="C22" s="16"/>
      <c r="D22" s="54">
        <v>0</v>
      </c>
      <c r="K22"/>
      <c r="L22"/>
      <c r="M22"/>
    </row>
    <row r="23" spans="1:13" s="54" customFormat="1" x14ac:dyDescent="0.3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 xr:uid="{00000000-0002-0000-2D00-000000000000}">
      <formula1>TestType</formula1>
    </dataValidation>
    <dataValidation type="list" allowBlank="1" showInputMessage="1" showErrorMessage="1" sqref="A4" xr:uid="{00000000-0002-0000-2D00-000001000000}">
      <formula1>ModelType</formula1>
    </dataValidation>
    <dataValidation type="list" allowBlank="1" showInputMessage="1" showErrorMessage="1" sqref="A8" xr:uid="{00000000-0002-0000-2D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FractionalCoeffs"/>
  <dimension ref="A1:I13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" style="83" customWidth="1"/>
  </cols>
  <sheetData>
    <row r="1" spans="1:9" x14ac:dyDescent="0.3">
      <c r="A1" s="62" t="s">
        <v>302</v>
      </c>
      <c r="D1" t="s">
        <v>305</v>
      </c>
      <c r="E1" t="s">
        <v>304</v>
      </c>
      <c r="F1" t="s">
        <v>303</v>
      </c>
    </row>
    <row r="2" spans="1:9" ht="15" thickBot="1" x14ac:dyDescent="0.35">
      <c r="A2" s="63" t="s">
        <v>204</v>
      </c>
      <c r="D2">
        <v>250.00000100989999</v>
      </c>
      <c r="E2">
        <v>99.999999000066694</v>
      </c>
      <c r="F2">
        <v>-9.9666834785239205E-9</v>
      </c>
    </row>
    <row r="3" spans="1:9" x14ac:dyDescent="0.3">
      <c r="A3" s="62" t="s">
        <v>208</v>
      </c>
    </row>
    <row r="4" spans="1:9" ht="15" thickBot="1" x14ac:dyDescent="0.35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3">
      <c r="A5" s="62" t="s">
        <v>209</v>
      </c>
    </row>
    <row r="6" spans="1:9" ht="15" thickBot="1" x14ac:dyDescent="0.35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3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3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" thickBot="1" x14ac:dyDescent="0.35">
      <c r="A9" s="63">
        <f>VLOOKUP(A8,OpenSolverResultCodes,2,FALSE)</f>
        <v>0</v>
      </c>
      <c r="F9">
        <v>1</v>
      </c>
      <c r="G9">
        <f>SUMPRODUCT($D$2:$F$2,D9:F9)</f>
        <v>-9.9666834785239205E-9</v>
      </c>
      <c r="H9" t="s">
        <v>8</v>
      </c>
      <c r="I9">
        <v>72</v>
      </c>
    </row>
    <row r="10" spans="1:9" ht="15" thickBot="1" x14ac:dyDescent="0.35">
      <c r="A10" s="156" t="str">
        <f>HYPERLINK("[OpenSolver Tester.xlsm]Results!A1", "&lt;- Results")</f>
        <v>&lt;- Results</v>
      </c>
    </row>
    <row r="11" spans="1:9" x14ac:dyDescent="0.3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3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3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 xr:uid="{00000000-0002-0000-2E00-000000000000}">
      <formula1>TestType</formula1>
    </dataValidation>
    <dataValidation type="list" allowBlank="1" showInputMessage="1" showErrorMessage="1" sqref="A4" xr:uid="{00000000-0002-0000-2E00-000001000000}">
      <formula1>ModelType</formula1>
    </dataValidation>
    <dataValidation type="list" allowBlank="1" showInputMessage="1" showErrorMessage="1" sqref="A8" xr:uid="{00000000-0002-0000-2E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ComplexLayout"/>
  <dimension ref="A1:W38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9.33203125" style="1" customWidth="1"/>
    <col min="5" max="5" width="5.109375" style="1" customWidth="1"/>
    <col min="6" max="6" width="7.33203125" style="1" customWidth="1"/>
    <col min="7" max="7" width="10.33203125" style="1" customWidth="1"/>
    <col min="8" max="8" width="3.109375" style="1" customWidth="1"/>
    <col min="9" max="9" width="6.88671875" style="1" customWidth="1"/>
    <col min="10" max="10" width="3" style="1" bestFit="1" customWidth="1"/>
    <col min="11" max="11" width="6" style="1" customWidth="1"/>
    <col min="13" max="13" width="3.109375" bestFit="1" customWidth="1"/>
    <col min="14" max="14" width="7.6640625" customWidth="1"/>
    <col min="17" max="17" width="6.109375" bestFit="1" customWidth="1"/>
    <col min="18" max="19" width="4" bestFit="1" customWidth="1"/>
    <col min="20" max="21" width="3" bestFit="1" customWidth="1"/>
  </cols>
  <sheetData>
    <row r="1" spans="1:23" x14ac:dyDescent="0.3">
      <c r="A1" s="62" t="s">
        <v>203</v>
      </c>
      <c r="D1" s="18" t="s">
        <v>30</v>
      </c>
    </row>
    <row r="2" spans="1:23" ht="15" thickBot="1" x14ac:dyDescent="0.35">
      <c r="A2" s="63" t="s">
        <v>204</v>
      </c>
      <c r="Q2" t="s">
        <v>21</v>
      </c>
    </row>
    <row r="3" spans="1:23" x14ac:dyDescent="0.3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6.8545359783201141</v>
      </c>
      <c r="Q3" s="9">
        <v>0</v>
      </c>
      <c r="R3" s="10">
        <v>10.999998578601806</v>
      </c>
      <c r="S3" s="9">
        <f>SUM(Q3:R3)</f>
        <v>10.999998578601806</v>
      </c>
      <c r="T3" s="11" t="s">
        <v>8</v>
      </c>
      <c r="U3" s="10">
        <v>55</v>
      </c>
    </row>
    <row r="4" spans="1:23" ht="15" thickBot="1" x14ac:dyDescent="0.35">
      <c r="A4" s="63" t="s">
        <v>206</v>
      </c>
      <c r="D4" s="134">
        <v>-6.956817122372172E-8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22.000001091466107</v>
      </c>
      <c r="S4" s="4">
        <f>SUM(Q4:R4)</f>
        <v>66.000000659761199</v>
      </c>
      <c r="T4" s="12" t="s">
        <v>8</v>
      </c>
      <c r="U4" s="5">
        <v>66</v>
      </c>
    </row>
    <row r="5" spans="1:23" x14ac:dyDescent="0.3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" thickBot="1" x14ac:dyDescent="0.35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712.53566396794895</v>
      </c>
      <c r="Q6" s="13" t="s">
        <v>9</v>
      </c>
      <c r="R6" s="14" t="s">
        <v>9</v>
      </c>
    </row>
    <row r="7" spans="1:23" x14ac:dyDescent="0.3">
      <c r="A7" s="62" t="s">
        <v>210</v>
      </c>
      <c r="Q7" s="4">
        <v>44</v>
      </c>
      <c r="R7" s="5">
        <v>33</v>
      </c>
    </row>
    <row r="8" spans="1:23" x14ac:dyDescent="0.3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10.999999304318287</v>
      </c>
      <c r="J8" s="1" t="s">
        <v>8</v>
      </c>
      <c r="K8" s="1">
        <f>61.2345678+2.3*N3-S4</f>
        <v>10.999999890375065</v>
      </c>
    </row>
    <row r="9" spans="1:23" ht="15" thickBot="1" x14ac:dyDescent="0.35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21.999998539068404</v>
      </c>
      <c r="J9" s="1" t="s">
        <v>8</v>
      </c>
      <c r="K9" s="1">
        <v>150</v>
      </c>
    </row>
    <row r="10" spans="1:23" ht="15" thickBot="1" x14ac:dyDescent="0.35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3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3">
      <c r="Q12">
        <v>6</v>
      </c>
      <c r="R12">
        <v>9.92</v>
      </c>
    </row>
    <row r="15" spans="1:23" x14ac:dyDescent="0.3">
      <c r="C15" t="s">
        <v>15</v>
      </c>
      <c r="F15" s="1" t="b">
        <f>AND(D17:G17,O16:O17,V16:W17)</f>
        <v>1</v>
      </c>
    </row>
    <row r="16" spans="1:23" x14ac:dyDescent="0.3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3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3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3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3">
      <c r="K30" s="1">
        <v>194</v>
      </c>
      <c r="L30">
        <f>42*4+39*4+21*4</f>
        <v>408</v>
      </c>
    </row>
    <row r="31" spans="1:23" x14ac:dyDescent="0.3">
      <c r="K31" s="1">
        <v>183</v>
      </c>
    </row>
    <row r="32" spans="1:23" x14ac:dyDescent="0.3">
      <c r="K32" s="1">
        <v>96</v>
      </c>
    </row>
    <row r="33" spans="11:14" x14ac:dyDescent="0.3">
      <c r="K33" s="1">
        <f>SUM(K30:K32)</f>
        <v>473</v>
      </c>
      <c r="L33" s="1">
        <f>L30</f>
        <v>408</v>
      </c>
    </row>
    <row r="34" spans="11:14" x14ac:dyDescent="0.3">
      <c r="K34" s="1">
        <f>K33*0.95</f>
        <v>449.34999999999997</v>
      </c>
      <c r="L34" s="1">
        <f>L33*0.95</f>
        <v>387.59999999999997</v>
      </c>
    </row>
    <row r="35" spans="11:14" x14ac:dyDescent="0.3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3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3">
      <c r="N37">
        <f>N36-N35</f>
        <v>49</v>
      </c>
    </row>
    <row r="38" spans="11:14" x14ac:dyDescent="0.3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 xr:uid="{00000000-0002-0000-2F00-000000000000}">
      <formula1>OpenSolverResult</formula1>
    </dataValidation>
    <dataValidation type="list" allowBlank="1" showInputMessage="1" showErrorMessage="1" sqref="A4" xr:uid="{00000000-0002-0000-2F00-000001000000}">
      <formula1>ModelType</formula1>
    </dataValidation>
    <dataValidation type="list" allowBlank="1" showInputMessage="1" showErrorMessage="1" sqref="A2" xr:uid="{00000000-0002-0000-2F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InfModel"/>
  <dimension ref="A1:J21"/>
  <sheetViews>
    <sheetView topLeftCell="A10"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62" t="s">
        <v>203</v>
      </c>
      <c r="C1" t="s">
        <v>27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</row>
    <row r="4" spans="1:10" ht="15" thickBot="1" x14ac:dyDescent="0.35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3">
      <c r="A5" s="62" t="s">
        <v>209</v>
      </c>
      <c r="D5" s="1">
        <v>1</v>
      </c>
      <c r="E5" s="1">
        <v>8.9884656743115785E+307</v>
      </c>
      <c r="F5" s="1">
        <v>8.9884656743115785E+307</v>
      </c>
      <c r="H5"/>
      <c r="I5"/>
      <c r="J5"/>
    </row>
    <row r="6" spans="1:10" ht="15" thickBot="1" x14ac:dyDescent="0.35">
      <c r="A6" s="63" t="b">
        <v>1</v>
      </c>
    </row>
    <row r="7" spans="1:10" x14ac:dyDescent="0.3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 t="e">
        <f>SUMPRODUCT($D$5:$F$5,D7:F7)</f>
        <v>#NUM!</v>
      </c>
    </row>
    <row r="8" spans="1:10" x14ac:dyDescent="0.3">
      <c r="A8" s="64" t="s">
        <v>27</v>
      </c>
    </row>
    <row r="9" spans="1:10" ht="15" thickBot="1" x14ac:dyDescent="0.35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 t="e">
        <f>SUMPRODUCT($D$5:$F$5,D9:F9)+5*P8</f>
        <v>#NUM!</v>
      </c>
      <c r="I9" s="1" t="s">
        <v>8</v>
      </c>
      <c r="J9" s="1">
        <v>60</v>
      </c>
    </row>
    <row r="10" spans="1:10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 t="e">
        <f>SUMPRODUCT($D$5:$F$5,D10:F10)</f>
        <v>#NUM!</v>
      </c>
      <c r="I10" s="1" t="s">
        <v>8</v>
      </c>
      <c r="J10" s="1">
        <v>150</v>
      </c>
    </row>
    <row r="11" spans="1:10" x14ac:dyDescent="0.3">
      <c r="D11" s="1">
        <v>21</v>
      </c>
      <c r="E11" s="1">
        <v>22</v>
      </c>
      <c r="F11" s="1">
        <v>-23</v>
      </c>
      <c r="H11" s="1" t="e">
        <f>SUMPRODUCT($D$5:$F$5,D11:F11)</f>
        <v>#NUM!</v>
      </c>
      <c r="I11" s="1" t="s">
        <v>9</v>
      </c>
      <c r="J11" s="1">
        <v>200</v>
      </c>
    </row>
    <row r="12" spans="1:10" x14ac:dyDescent="0.3">
      <c r="D12" s="1">
        <v>19</v>
      </c>
      <c r="E12" s="1">
        <v>34</v>
      </c>
      <c r="F12" s="1">
        <v>-32</v>
      </c>
      <c r="H12" s="1" t="e">
        <f>SUMPRODUCT($D$5:$F$5,D12:F12)</f>
        <v>#NUM!</v>
      </c>
      <c r="I12" s="1" t="s">
        <v>8</v>
      </c>
      <c r="J12" s="1">
        <v>180</v>
      </c>
    </row>
    <row r="16" spans="1:10" x14ac:dyDescent="0.3">
      <c r="C16" s="17" t="s">
        <v>15</v>
      </c>
    </row>
    <row r="17" spans="1:4" x14ac:dyDescent="0.3">
      <c r="C17" t="s">
        <v>28</v>
      </c>
    </row>
    <row r="19" spans="1:4" s="1" customFormat="1" x14ac:dyDescent="0.3">
      <c r="A19" s="60"/>
      <c r="C19" s="17" t="s">
        <v>16</v>
      </c>
    </row>
    <row r="20" spans="1:4" s="1" customFormat="1" x14ac:dyDescent="0.3">
      <c r="A20" s="60"/>
      <c r="C20" t="s">
        <v>28</v>
      </c>
    </row>
    <row r="21" spans="1:4" s="1" customFormat="1" x14ac:dyDescent="0.3">
      <c r="A21" s="60"/>
      <c r="C21"/>
      <c r="D21" s="8"/>
    </row>
  </sheetData>
  <dataConsolidate/>
  <dataValidations count="3">
    <dataValidation type="list" allowBlank="1" showInputMessage="1" showErrorMessage="1" sqref="A8" xr:uid="{00000000-0002-0000-3000-000000000000}">
      <formula1>OpenSolverResult</formula1>
    </dataValidation>
    <dataValidation type="list" allowBlank="1" showInputMessage="1" showErrorMessage="1" sqref="A4" xr:uid="{00000000-0002-0000-3000-000001000000}">
      <formula1>ModelType</formula1>
    </dataValidation>
    <dataValidation type="list" allowBlank="1" showInputMessage="1" showErrorMessage="1" sqref="A2" xr:uid="{00000000-0002-0000-30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IterativeCalc"/>
  <dimension ref="A1:N22"/>
  <sheetViews>
    <sheetView topLeftCell="A7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55" customWidth="1"/>
    <col min="5" max="6" width="5.109375" style="55" customWidth="1"/>
    <col min="7" max="7" width="3.109375" style="55" customWidth="1"/>
    <col min="8" max="8" width="8.33203125" style="55" customWidth="1"/>
    <col min="9" max="9" width="3" style="55" bestFit="1" customWidth="1"/>
    <col min="10" max="10" width="6" style="55" customWidth="1"/>
    <col min="14" max="14" width="8.33203125" bestFit="1" customWidth="1"/>
  </cols>
  <sheetData>
    <row r="1" spans="1:14" x14ac:dyDescent="0.3">
      <c r="A1" s="62" t="s">
        <v>203</v>
      </c>
      <c r="C1" t="s">
        <v>187</v>
      </c>
    </row>
    <row r="2" spans="1:14" ht="15" thickBot="1" x14ac:dyDescent="0.35">
      <c r="A2" s="63" t="s">
        <v>205</v>
      </c>
      <c r="C2" t="s">
        <v>188</v>
      </c>
    </row>
    <row r="3" spans="1:14" x14ac:dyDescent="0.3">
      <c r="A3" s="62" t="s">
        <v>208</v>
      </c>
    </row>
    <row r="4" spans="1:14" ht="15" thickBot="1" x14ac:dyDescent="0.35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3">
      <c r="A5" s="62" t="s">
        <v>209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" thickBot="1" x14ac:dyDescent="0.35">
      <c r="A6" s="63" t="b">
        <f>AND(D18,E18,F18,D22)</f>
        <v>1</v>
      </c>
    </row>
    <row r="7" spans="1:14" x14ac:dyDescent="0.3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3">
      <c r="A8" s="64" t="s">
        <v>200</v>
      </c>
      <c r="M8" s="57" t="s">
        <v>191</v>
      </c>
      <c r="N8" s="57" t="s">
        <v>190</v>
      </c>
    </row>
    <row r="9" spans="1:14" ht="15" thickBot="1" x14ac:dyDescent="0.35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</row>
    <row r="10" spans="1:14" ht="15" thickBot="1" x14ac:dyDescent="0.35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3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3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3">
      <c r="C16" s="17" t="s">
        <v>15</v>
      </c>
    </row>
    <row r="17" spans="1:6" x14ac:dyDescent="0.3">
      <c r="D17" s="55">
        <v>0</v>
      </c>
      <c r="E17" s="55">
        <v>5.294117647058874</v>
      </c>
      <c r="F17" s="55">
        <v>0</v>
      </c>
    </row>
    <row r="18" spans="1:6" x14ac:dyDescent="0.3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3">
      <c r="A20" s="60"/>
      <c r="C20" s="17" t="s">
        <v>16</v>
      </c>
    </row>
    <row r="21" spans="1:6" s="55" customFormat="1" x14ac:dyDescent="0.3">
      <c r="A21" s="60"/>
      <c r="C21"/>
      <c r="D21" s="55">
        <v>15.882352941176622</v>
      </c>
    </row>
    <row r="22" spans="1:6" s="55" customFormat="1" x14ac:dyDescent="0.3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 xr:uid="{00000000-0002-0000-3100-000000000000}">
      <formula1>OpenSolverResult</formula1>
    </dataValidation>
    <dataValidation type="list" allowBlank="1" showInputMessage="1" showErrorMessage="1" sqref="A4" xr:uid="{00000000-0002-0000-3100-000001000000}">
      <formula1>ModelType</formula1>
    </dataValidation>
    <dataValidation type="list" allowBlank="1" showInputMessage="1" showErrorMessage="1" sqref="A2" xr:uid="{00000000-0002-0000-31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NoObj"/>
  <dimension ref="A1:J2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4.88671875" customWidth="1"/>
    <col min="4" max="4" width="7.6640625" style="58" customWidth="1"/>
    <col min="5" max="6" width="5.109375" style="58" customWidth="1"/>
    <col min="7" max="7" width="3.109375" style="58" customWidth="1"/>
    <col min="8" max="8" width="8.33203125" style="58" customWidth="1"/>
    <col min="9" max="9" width="3" style="58" bestFit="1" customWidth="1"/>
    <col min="10" max="10" width="6" style="58" customWidth="1"/>
    <col min="14" max="14" width="8.33203125" bestFit="1" customWidth="1"/>
  </cols>
  <sheetData>
    <row r="1" spans="1:10" x14ac:dyDescent="0.3">
      <c r="A1" s="62" t="s">
        <v>203</v>
      </c>
      <c r="C1" t="s">
        <v>192</v>
      </c>
    </row>
    <row r="2" spans="1:10" ht="15" thickBot="1" x14ac:dyDescent="0.35">
      <c r="A2" s="63" t="s">
        <v>204</v>
      </c>
    </row>
    <row r="3" spans="1:10" x14ac:dyDescent="0.3">
      <c r="A3" s="62" t="s">
        <v>208</v>
      </c>
    </row>
    <row r="4" spans="1:10" ht="15" thickBot="1" x14ac:dyDescent="0.35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3">
      <c r="A5" s="62" t="s">
        <v>209</v>
      </c>
      <c r="D5" s="58">
        <v>0.16646204210013499</v>
      </c>
      <c r="E5" s="58">
        <v>5.22432810456508</v>
      </c>
      <c r="F5" s="134">
        <v>2.4685448597352E-2</v>
      </c>
      <c r="H5"/>
      <c r="I5"/>
      <c r="J5"/>
    </row>
    <row r="6" spans="1:10" ht="15" thickBot="1" x14ac:dyDescent="0.35">
      <c r="A6" s="63" t="b">
        <v>1</v>
      </c>
    </row>
    <row r="7" spans="1:10" x14ac:dyDescent="0.3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3">
      <c r="A8" s="64" t="s">
        <v>200</v>
      </c>
    </row>
    <row r="9" spans="1:10" ht="15" thickBot="1" x14ac:dyDescent="0.35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59.428454954385458</v>
      </c>
      <c r="I9" s="58" t="s">
        <v>8</v>
      </c>
      <c r="J9" s="58">
        <v>60</v>
      </c>
    </row>
    <row r="10" spans="1:10" ht="15" thickBot="1" x14ac:dyDescent="0.35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118.9986865022737</v>
      </c>
      <c r="I10" s="58" t="s">
        <v>8</v>
      </c>
      <c r="J10" s="58">
        <v>150</v>
      </c>
    </row>
    <row r="11" spans="1:10" x14ac:dyDescent="0.3">
      <c r="D11" s="58">
        <v>21</v>
      </c>
      <c r="E11" s="58">
        <v>22</v>
      </c>
      <c r="F11" s="58">
        <v>-23</v>
      </c>
      <c r="H11" s="58">
        <f>SUMPRODUCT($D$5:$F$5,D11:F11)</f>
        <v>117.86315586679549</v>
      </c>
      <c r="I11" s="58" t="s">
        <v>9</v>
      </c>
      <c r="J11" s="58">
        <v>110</v>
      </c>
    </row>
    <row r="12" spans="1:10" x14ac:dyDescent="0.3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3">
      <c r="C16" s="17"/>
    </row>
    <row r="18" spans="1:6" x14ac:dyDescent="0.3">
      <c r="D18" s="8"/>
      <c r="E18" s="8"/>
      <c r="F18" s="8"/>
    </row>
    <row r="20" spans="1:6" s="58" customFormat="1" x14ac:dyDescent="0.3">
      <c r="A20" s="60"/>
      <c r="C20" s="17"/>
    </row>
    <row r="21" spans="1:6" s="58" customFormat="1" x14ac:dyDescent="0.3">
      <c r="A21" s="60"/>
      <c r="C21"/>
    </row>
    <row r="22" spans="1:6" s="58" customFormat="1" x14ac:dyDescent="0.3">
      <c r="A22" s="60"/>
      <c r="C22"/>
      <c r="D22" s="8"/>
    </row>
  </sheetData>
  <dataConsolidate/>
  <dataValidations count="3">
    <dataValidation type="list" allowBlank="1" showInputMessage="1" showErrorMessage="1" sqref="A8" xr:uid="{00000000-0002-0000-3200-000000000000}">
      <formula1>OpenSolverResult</formula1>
    </dataValidation>
    <dataValidation type="list" allowBlank="1" showInputMessage="1" showErrorMessage="1" sqref="A4" xr:uid="{00000000-0002-0000-3200-000001000000}">
      <formula1>ModelType</formula1>
    </dataValidation>
    <dataValidation type="list" allowBlank="1" showInputMessage="1" showErrorMessage="1" sqref="A2" xr:uid="{00000000-0002-0000-32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eekObj"/>
  <dimension ref="A1:O17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" style="83" customWidth="1"/>
    <col min="14" max="14" width="10.6640625" customWidth="1"/>
    <col min="15" max="15" width="11.33203125" customWidth="1"/>
  </cols>
  <sheetData>
    <row r="1" spans="1:15" x14ac:dyDescent="0.3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" thickBot="1" x14ac:dyDescent="0.35">
      <c r="A2" s="63" t="s">
        <v>204</v>
      </c>
      <c r="D2">
        <v>249.99999999014099</v>
      </c>
      <c r="E2">
        <v>100.000000019719</v>
      </c>
      <c r="F2">
        <v>-9.8596188990995903E-9</v>
      </c>
      <c r="L2" t="s">
        <v>323</v>
      </c>
      <c r="M2">
        <v>0</v>
      </c>
      <c r="N2">
        <v>0</v>
      </c>
      <c r="O2">
        <v>166.66666666699999</v>
      </c>
    </row>
    <row r="3" spans="1:15" x14ac:dyDescent="0.3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" thickBot="1" x14ac:dyDescent="0.35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1E+100</v>
      </c>
      <c r="O4">
        <v>500</v>
      </c>
    </row>
    <row r="5" spans="1:15" x14ac:dyDescent="0.3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" thickBot="1" x14ac:dyDescent="0.35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3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3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" thickBot="1" x14ac:dyDescent="0.35">
      <c r="A9" s="63">
        <f>VLOOKUP(A8,OpenSolverResultCodes,2,FALSE)</f>
        <v>0</v>
      </c>
      <c r="F9">
        <v>1</v>
      </c>
      <c r="G9">
        <f>SUMPRODUCT($D$2:$F$2,D9:F9)</f>
        <v>-9.8596188990995903E-9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" thickBot="1" x14ac:dyDescent="0.35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3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3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3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3">
      <c r="G16" t="s">
        <v>349</v>
      </c>
    </row>
    <row r="17" spans="7:7" x14ac:dyDescent="0.3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 xr:uid="{00000000-0002-0000-3300-000000000000}">
      <formula1>OpenSolverResult</formula1>
    </dataValidation>
    <dataValidation type="list" allowBlank="1" showInputMessage="1" showErrorMessage="1" sqref="A4" xr:uid="{00000000-0002-0000-3300-000001000000}">
      <formula1>ModelType</formula1>
    </dataValidation>
    <dataValidation type="list" allowBlank="1" showInputMessage="1" showErrorMessage="1" sqref="A2" xr:uid="{00000000-0002-0000-33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eekObjInf"/>
  <dimension ref="A1:O13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" style="83" customWidth="1"/>
    <col min="14" max="14" width="10.6640625" customWidth="1"/>
    <col min="15" max="15" width="11.33203125" customWidth="1"/>
  </cols>
  <sheetData>
    <row r="1" spans="1:15" x14ac:dyDescent="0.3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" thickBot="1" x14ac:dyDescent="0.35">
      <c r="A2" s="63" t="s">
        <v>204</v>
      </c>
      <c r="D2">
        <v>0</v>
      </c>
      <c r="E2">
        <v>350</v>
      </c>
      <c r="F2" s="80">
        <v>0</v>
      </c>
    </row>
    <row r="3" spans="1:15" x14ac:dyDescent="0.3">
      <c r="A3" s="62" t="s">
        <v>208</v>
      </c>
    </row>
    <row r="4" spans="1:15" ht="15" thickBot="1" x14ac:dyDescent="0.35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3">
      <c r="A5" s="62" t="s">
        <v>209</v>
      </c>
      <c r="N5" s="80"/>
    </row>
    <row r="6" spans="1:15" ht="15" thickBot="1" x14ac:dyDescent="0.35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3">
      <c r="A7" s="62" t="s">
        <v>210</v>
      </c>
      <c r="E7">
        <v>1</v>
      </c>
      <c r="G7">
        <f>SUMPRODUCT($D$2:$F$2,D7:F7)</f>
        <v>350</v>
      </c>
      <c r="H7" t="s">
        <v>9</v>
      </c>
      <c r="I7">
        <v>100</v>
      </c>
    </row>
    <row r="8" spans="1:15" x14ac:dyDescent="0.3">
      <c r="A8" s="64" t="s">
        <v>27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N8" s="80"/>
      <c r="O8" s="80"/>
    </row>
    <row r="9" spans="1:15" ht="15" thickBot="1" x14ac:dyDescent="0.35">
      <c r="A9" s="63">
        <f>VLOOKUP(A8,OpenSolverResultCodes,2,FALSE)</f>
        <v>5</v>
      </c>
      <c r="F9">
        <v>1</v>
      </c>
      <c r="G9">
        <f>SUMPRODUCT($D$2:$F$2,D9:F9)</f>
        <v>0</v>
      </c>
      <c r="H9" t="s">
        <v>8</v>
      </c>
      <c r="I9">
        <v>72</v>
      </c>
      <c r="N9" s="80"/>
      <c r="O9" s="80"/>
    </row>
    <row r="10" spans="1:15" ht="15" thickBot="1" x14ac:dyDescent="0.35">
      <c r="A10" s="156" t="str">
        <f>HYPERLINK("[OpenSolver Tester.xlsm]Results!A1", "&lt;- Results")</f>
        <v>&lt;- Results</v>
      </c>
      <c r="N10" s="80"/>
      <c r="O10" s="80"/>
    </row>
    <row r="11" spans="1:15" x14ac:dyDescent="0.3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3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3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 xr:uid="{00000000-0002-0000-3400-000000000000}">
      <formula1>TestType</formula1>
    </dataValidation>
    <dataValidation type="list" allowBlank="1" showInputMessage="1" showErrorMessage="1" sqref="A4" xr:uid="{00000000-0002-0000-3400-000001000000}">
      <formula1>ModelType</formula1>
    </dataValidation>
    <dataValidation type="list" allowBlank="1" showInputMessage="1" showErrorMessage="1" sqref="A8" xr:uid="{00000000-0002-0000-34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DiffSheetObj"/>
  <dimension ref="A1:O13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" style="83" customWidth="1"/>
    <col min="14" max="14" width="10.6640625" customWidth="1"/>
    <col min="15" max="15" width="11.33203125" customWidth="1"/>
  </cols>
  <sheetData>
    <row r="1" spans="1:15" x14ac:dyDescent="0.3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" thickBot="1" x14ac:dyDescent="0.35">
      <c r="A2" s="63" t="s">
        <v>204</v>
      </c>
      <c r="D2">
        <v>250.00000100989999</v>
      </c>
      <c r="E2">
        <v>99.999999000066694</v>
      </c>
      <c r="F2" s="80">
        <v>-9.9666834785239205E-9</v>
      </c>
      <c r="L2" t="s">
        <v>323</v>
      </c>
      <c r="M2">
        <v>0</v>
      </c>
      <c r="N2">
        <v>21.6</v>
      </c>
      <c r="O2">
        <v>0</v>
      </c>
    </row>
    <row r="3" spans="1:15" x14ac:dyDescent="0.3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" thickBot="1" x14ac:dyDescent="0.35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3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" thickBot="1" x14ac:dyDescent="0.35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3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3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" thickBot="1" x14ac:dyDescent="0.35">
      <c r="A9" s="63">
        <f>VLOOKUP(A8,OpenSolverResultCodes,2,FALSE)</f>
        <v>0</v>
      </c>
      <c r="F9">
        <v>1</v>
      </c>
      <c r="G9">
        <f>SUMPRODUCT($D$2:$F$2,D9:F9)</f>
        <v>-9.9666834785239205E-9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" thickBot="1" x14ac:dyDescent="0.35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3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3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3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 xr:uid="{00000000-0002-0000-3500-000000000000}">
      <formula1>TestType</formula1>
    </dataValidation>
    <dataValidation type="list" allowBlank="1" showInputMessage="1" showErrorMessage="1" sqref="A4" xr:uid="{00000000-0002-0000-3500-000001000000}">
      <formula1>ModelType</formula1>
    </dataValidation>
    <dataValidation type="list" allowBlank="1" showInputMessage="1" showErrorMessage="1" sqref="A8" xr:uid="{00000000-0002-0000-3500-000002000000}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NamedRanges"/>
  <dimension ref="A1:K16"/>
  <sheetViews>
    <sheetView topLeftCell="A4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4.109375" style="65" customWidth="1"/>
  </cols>
  <sheetData>
    <row r="1" spans="1:11" x14ac:dyDescent="0.3">
      <c r="A1" s="62" t="s">
        <v>203</v>
      </c>
    </row>
    <row r="2" spans="1:11" ht="15" thickBot="1" x14ac:dyDescent="0.35">
      <c r="A2" s="63" t="s">
        <v>204</v>
      </c>
    </row>
    <row r="3" spans="1:11" x14ac:dyDescent="0.3">
      <c r="A3" s="62" t="s">
        <v>208</v>
      </c>
      <c r="F3" t="s">
        <v>217</v>
      </c>
      <c r="G3" t="s">
        <v>218</v>
      </c>
      <c r="H3" t="s">
        <v>219</v>
      </c>
    </row>
    <row r="4" spans="1:11" ht="15" thickBot="1" x14ac:dyDescent="0.35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3">
      <c r="A5" s="62" t="s">
        <v>209</v>
      </c>
    </row>
    <row r="6" spans="1:11" ht="15" thickBot="1" x14ac:dyDescent="0.35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3">
      <c r="A7" s="62" t="s">
        <v>210</v>
      </c>
    </row>
    <row r="8" spans="1:11" x14ac:dyDescent="0.3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" thickBot="1" x14ac:dyDescent="0.35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" thickBot="1" x14ac:dyDescent="0.35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3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3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3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3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3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 xr:uid="{00000000-0002-0000-3600-000000000000}">
      <formula1>OpenSolverResult</formula1>
    </dataValidation>
    <dataValidation type="list" allowBlank="1" showInputMessage="1" showErrorMessage="1" sqref="A4:B4" xr:uid="{00000000-0002-0000-3600-000001000000}">
      <formula1>ModelType</formula1>
    </dataValidation>
    <dataValidation type="list" allowBlank="1" showInputMessage="1" showErrorMessage="1" sqref="A2:B2" xr:uid="{00000000-0002-0000-3600-000002000000}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QuickSolve"/>
  <dimension ref="A1:T20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33203125" customWidth="1"/>
    <col min="3" max="3" width="12" customWidth="1"/>
    <col min="4" max="4" width="7.332031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</cols>
  <sheetData>
    <row r="1" spans="1:20" x14ac:dyDescent="0.3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" thickBot="1" x14ac:dyDescent="0.35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3">
      <c r="A3" s="62" t="s">
        <v>208</v>
      </c>
      <c r="D3" s="1" t="s">
        <v>1</v>
      </c>
      <c r="E3" s="1" t="s">
        <v>2</v>
      </c>
      <c r="F3" s="1" t="s">
        <v>3</v>
      </c>
    </row>
    <row r="4" spans="1:20" ht="15" thickBot="1" x14ac:dyDescent="0.35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3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" thickBot="1" x14ac:dyDescent="0.35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3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3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" thickBot="1" x14ac:dyDescent="0.35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" thickBot="1" x14ac:dyDescent="0.35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3">
      <c r="O11" t="s">
        <v>120</v>
      </c>
    </row>
    <row r="12" spans="1:20" x14ac:dyDescent="0.3">
      <c r="O12" t="s">
        <v>121</v>
      </c>
    </row>
    <row r="14" spans="1:20" x14ac:dyDescent="0.3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3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3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3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3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3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 xr:uid="{00000000-0002-0000-3700-000000000000}">
      <formula1>TestType</formula1>
    </dataValidation>
    <dataValidation type="list" allowBlank="1" showInputMessage="1" showErrorMessage="1" sqref="A4" xr:uid="{00000000-0002-0000-3700-000001000000}">
      <formula1>ModelType</formula1>
    </dataValidation>
    <dataValidation type="list" allowBlank="1" showInputMessage="1" showErrorMessage="1" sqref="A8" xr:uid="{00000000-0002-0000-37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olverParameters"/>
  <dimension ref="A1:Y24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" customWidth="1"/>
    <col min="3" max="3" width="13.6640625" bestFit="1" customWidth="1"/>
  </cols>
  <sheetData>
    <row r="1" spans="1:25" x14ac:dyDescent="0.3">
      <c r="A1" s="62" t="s">
        <v>203</v>
      </c>
      <c r="C1" t="s">
        <v>123</v>
      </c>
    </row>
    <row r="2" spans="1:25" ht="15" thickBot="1" x14ac:dyDescent="0.35">
      <c r="A2" s="63" t="s">
        <v>205</v>
      </c>
      <c r="C2" t="s">
        <v>124</v>
      </c>
    </row>
    <row r="3" spans="1:25" x14ac:dyDescent="0.3">
      <c r="A3" s="62" t="s">
        <v>208</v>
      </c>
    </row>
    <row r="4" spans="1:25" ht="15" thickBot="1" x14ac:dyDescent="0.35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3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432</v>
      </c>
      <c r="Y5">
        <v>1.0000000000000001E-5</v>
      </c>
    </row>
    <row r="6" spans="1:25" ht="15" thickBot="1" x14ac:dyDescent="0.35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3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3">
      <c r="A8" s="64"/>
    </row>
    <row r="9" spans="1:25" ht="15" thickBot="1" x14ac:dyDescent="0.35">
      <c r="A9" s="63" t="e">
        <f>VLOOKUP(A8,OpenSolverResultCodes,2,FALSE)</f>
        <v>#N/A</v>
      </c>
    </row>
    <row r="10" spans="1:25" ht="15" thickBot="1" x14ac:dyDescent="0.35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3">
      <c r="D11" s="30"/>
      <c r="E11" s="30"/>
      <c r="F11" s="30"/>
      <c r="G11" s="30"/>
      <c r="H11" s="30"/>
      <c r="I11" s="30"/>
      <c r="J11" s="30"/>
    </row>
    <row r="12" spans="1:25" x14ac:dyDescent="0.3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3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3">
      <c r="D14" s="30"/>
      <c r="E14" s="30"/>
      <c r="F14" s="30"/>
      <c r="G14" s="30"/>
      <c r="H14" s="30"/>
      <c r="I14" s="30"/>
      <c r="J14" s="30"/>
    </row>
    <row r="15" spans="1:25" x14ac:dyDescent="0.3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3">
      <c r="D16" s="30"/>
      <c r="E16" s="30"/>
      <c r="F16" s="30"/>
      <c r="G16" s="30"/>
      <c r="H16" s="30"/>
      <c r="I16" s="30"/>
      <c r="J16" s="30"/>
    </row>
    <row r="17" spans="3:10" x14ac:dyDescent="0.3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3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3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3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3">
      <c r="D21" s="30"/>
      <c r="E21" s="30"/>
      <c r="F21" s="30"/>
      <c r="G21" s="30"/>
      <c r="H21" s="30"/>
      <c r="I21" s="30"/>
      <c r="J21" s="30"/>
    </row>
    <row r="22" spans="3:10" x14ac:dyDescent="0.3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3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3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 xr:uid="{00000000-0002-0000-3800-000000000000}">
      <formula1>OpenSolverResult</formula1>
    </dataValidation>
    <dataValidation type="list" allowBlank="1" showInputMessage="1" showErrorMessage="1" sqref="A4" xr:uid="{00000000-0002-0000-3800-000001000000}">
      <formula1>ModelType</formula1>
    </dataValidation>
    <dataValidation type="list" allowBlank="1" showInputMessage="1" showErrorMessage="1" sqref="A2" xr:uid="{00000000-0002-0000-3800-000002000000}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Warmstart"/>
  <dimension ref="A1:UH25"/>
  <sheetViews>
    <sheetView zoomScale="140"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" customWidth="1"/>
    <col min="3" max="3" width="9.33203125" style="83" customWidth="1"/>
    <col min="4" max="550" width="2.109375" style="83" customWidth="1"/>
    <col min="551" max="551" width="2.109375" style="83" bestFit="1" customWidth="1"/>
    <col min="552" max="552" width="4.109375" style="83" bestFit="1" customWidth="1"/>
    <col min="553" max="553" width="3.109375" style="83" bestFit="1" customWidth="1"/>
    <col min="554" max="554" width="6.33203125" style="83" bestFit="1" customWidth="1"/>
    <col min="555" max="16384" width="8.88671875" style="83"/>
  </cols>
  <sheetData>
    <row r="1" spans="1:554" x14ac:dyDescent="0.3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1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1</v>
      </c>
      <c r="CH1" s="180">
        <v>1</v>
      </c>
      <c r="CI1" s="180">
        <v>0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0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0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0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1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1</v>
      </c>
      <c r="IZ1" s="180">
        <v>1</v>
      </c>
      <c r="JA1" s="180">
        <v>0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0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0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1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1</v>
      </c>
      <c r="PR1" s="180">
        <v>1</v>
      </c>
      <c r="PS1" s="180">
        <v>0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0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0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1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" thickBot="1" x14ac:dyDescent="0.35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3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" thickBot="1" x14ac:dyDescent="0.35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99.980035420082217</v>
      </c>
      <c r="UG4" s="106" t="s">
        <v>8</v>
      </c>
      <c r="UH4" s="106">
        <v>100</v>
      </c>
    </row>
    <row r="5" spans="1:554" x14ac:dyDescent="0.3">
      <c r="A5" s="62" t="s">
        <v>209</v>
      </c>
    </row>
    <row r="6" spans="1:554" ht="15" thickBot="1" x14ac:dyDescent="0.35">
      <c r="A6" s="63" t="b">
        <f>C13</f>
        <v>1</v>
      </c>
    </row>
    <row r="7" spans="1:554" x14ac:dyDescent="0.3">
      <c r="A7" s="62" t="s">
        <v>210</v>
      </c>
    </row>
    <row r="8" spans="1:554" x14ac:dyDescent="0.3">
      <c r="A8" s="64"/>
    </row>
    <row r="9" spans="1:554" ht="15" thickBot="1" x14ac:dyDescent="0.35">
      <c r="A9" s="63" t="e">
        <f>VLOOKUP(A8,OpenSolverResultCodes,2,FALSE)</f>
        <v>#N/A</v>
      </c>
      <c r="D9" s="83" t="s">
        <v>410</v>
      </c>
    </row>
    <row r="10" spans="1:554" ht="15" thickBot="1" x14ac:dyDescent="0.35">
      <c r="A10" s="156" t="str">
        <f>HYPERLINK("[OpenSolver Tester.xlsm]Results!A1", "&lt;- Results")</f>
        <v>&lt;- Results</v>
      </c>
      <c r="C10" s="124" t="s">
        <v>257</v>
      </c>
    </row>
    <row r="11" spans="1:554" x14ac:dyDescent="0.3">
      <c r="C11" s="183">
        <f>UF2</f>
        <v>141.84283229677362</v>
      </c>
      <c r="D11" s="83" t="s">
        <v>411</v>
      </c>
    </row>
    <row r="12" spans="1:554" x14ac:dyDescent="0.3">
      <c r="C12" s="183">
        <v>141.84283229677362</v>
      </c>
      <c r="D12" s="83" t="s">
        <v>412</v>
      </c>
    </row>
    <row r="13" spans="1:554" x14ac:dyDescent="0.3">
      <c r="C13" s="181" t="b">
        <f>ABS(C12-C11)&lt;0.000001</f>
        <v>1</v>
      </c>
    </row>
    <row r="15" spans="1:554" x14ac:dyDescent="0.3">
      <c r="D15" s="83" t="s">
        <v>413</v>
      </c>
    </row>
    <row r="16" spans="1:554" x14ac:dyDescent="0.3">
      <c r="D16" s="83" t="s">
        <v>414</v>
      </c>
    </row>
    <row r="17" spans="3:4" x14ac:dyDescent="0.3">
      <c r="D17" s="83" t="s">
        <v>415</v>
      </c>
    </row>
    <row r="20" spans="3:4" x14ac:dyDescent="0.3">
      <c r="C20" s="83" t="s">
        <v>417</v>
      </c>
      <c r="D20" s="83">
        <v>0</v>
      </c>
    </row>
    <row r="21" spans="3:4" x14ac:dyDescent="0.3">
      <c r="C21"/>
    </row>
    <row r="22" spans="3:4" ht="15" thickBot="1" x14ac:dyDescent="0.35">
      <c r="C22"/>
    </row>
    <row r="23" spans="3:4" ht="15" thickBot="1" x14ac:dyDescent="0.35">
      <c r="C23" s="182">
        <v>2</v>
      </c>
      <c r="D23" s="83" t="s">
        <v>416</v>
      </c>
    </row>
    <row r="24" spans="3:4" ht="15" thickBot="1" x14ac:dyDescent="0.35">
      <c r="C24" s="182">
        <v>0</v>
      </c>
      <c r="D24" s="83" t="s">
        <v>418</v>
      </c>
    </row>
    <row r="25" spans="3:4" x14ac:dyDescent="0.3">
      <c r="C25" s="83">
        <f>SUM(C23:C24)</f>
        <v>2</v>
      </c>
    </row>
  </sheetData>
  <dataValidations count="3">
    <dataValidation type="list" allowBlank="1" showInputMessage="1" showErrorMessage="1" sqref="A2" xr:uid="{00000000-0002-0000-3900-000000000000}">
      <formula1>TestType</formula1>
    </dataValidation>
    <dataValidation type="list" allowBlank="1" showInputMessage="1" showErrorMessage="1" sqref="A4" xr:uid="{00000000-0002-0000-3900-000001000000}">
      <formula1>ModelType</formula1>
    </dataValidation>
    <dataValidation type="list" allowBlank="1" showInputMessage="1" showErrorMessage="1" sqref="A8" xr:uid="{00000000-0002-0000-3900-000002000000}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ensitivity"/>
  <dimension ref="A1:P15"/>
  <sheetViews>
    <sheetView topLeftCell="A4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.33203125" customWidth="1"/>
  </cols>
  <sheetData>
    <row r="1" spans="1:16" x14ac:dyDescent="0.3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" thickBot="1" x14ac:dyDescent="0.35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3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" thickBot="1" x14ac:dyDescent="0.35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3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" thickBot="1" x14ac:dyDescent="0.35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400</v>
      </c>
      <c r="L6">
        <v>0</v>
      </c>
      <c r="M6">
        <v>0</v>
      </c>
      <c r="N6">
        <v>0</v>
      </c>
    </row>
    <row r="7" spans="1:16" x14ac:dyDescent="0.3">
      <c r="A7" s="62" t="s">
        <v>210</v>
      </c>
      <c r="C7" t="s">
        <v>221</v>
      </c>
    </row>
    <row r="8" spans="1:16" x14ac:dyDescent="0.3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" thickBot="1" x14ac:dyDescent="0.35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" thickBot="1" x14ac:dyDescent="0.35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356</v>
      </c>
      <c r="L10">
        <v>0</v>
      </c>
      <c r="M10">
        <v>1.0000001000000001</v>
      </c>
      <c r="N10">
        <v>1E+100</v>
      </c>
      <c r="P10" s="80"/>
    </row>
    <row r="11" spans="1:16" x14ac:dyDescent="0.3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1.0000001000000001</v>
      </c>
    </row>
    <row r="13" spans="1:16" x14ac:dyDescent="0.3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3">
      <c r="D14" s="79">
        <v>0</v>
      </c>
      <c r="E14" s="79">
        <v>4</v>
      </c>
      <c r="F14" s="79">
        <v>3</v>
      </c>
      <c r="G14" s="79">
        <v>10</v>
      </c>
    </row>
    <row r="15" spans="1:16" x14ac:dyDescent="0.3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 xr:uid="{00000000-0002-0000-3A00-000000000000}">
      <formula1>TestType</formula1>
    </dataValidation>
    <dataValidation type="list" allowBlank="1" showInputMessage="1" showErrorMessage="1" sqref="A4" xr:uid="{00000000-0002-0000-3A00-000001000000}">
      <formula1>ModelType</formula1>
    </dataValidation>
    <dataValidation type="list" allowBlank="1" showInputMessage="1" showErrorMessage="1" sqref="A8" xr:uid="{00000000-0002-0000-3A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ensitivityNames"/>
  <dimension ref="A1:W44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" style="83" customWidth="1"/>
  </cols>
  <sheetData>
    <row r="1" spans="1:23" x14ac:dyDescent="0.3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" thickBot="1" x14ac:dyDescent="0.35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3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" thickBot="1" x14ac:dyDescent="0.35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3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" thickBot="1" x14ac:dyDescent="0.35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3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3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" thickBot="1" x14ac:dyDescent="0.35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" thickBot="1" x14ac:dyDescent="0.35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3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3">
      <c r="T12" t="s">
        <v>394</v>
      </c>
      <c r="U12">
        <v>5</v>
      </c>
      <c r="V12">
        <v>0</v>
      </c>
      <c r="W12">
        <v>200</v>
      </c>
    </row>
    <row r="13" spans="1:23" x14ac:dyDescent="0.3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3">
      <c r="C14" t="s">
        <v>249</v>
      </c>
      <c r="D14" s="160">
        <v>100</v>
      </c>
      <c r="E14" s="160">
        <v>99.999993509999825</v>
      </c>
      <c r="F14" s="160">
        <v>0</v>
      </c>
      <c r="G14" s="160">
        <v>0</v>
      </c>
      <c r="H14" s="160">
        <v>0</v>
      </c>
      <c r="I14">
        <f>SUM(D14:H14)</f>
        <v>199.99999350999983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3">
      <c r="C15" t="s">
        <v>250</v>
      </c>
      <c r="D15" s="160">
        <v>0</v>
      </c>
      <c r="E15" s="160">
        <v>2.9800047542083539E-6</v>
      </c>
      <c r="F15" s="160">
        <v>200</v>
      </c>
      <c r="G15" s="160">
        <v>100</v>
      </c>
      <c r="H15" s="160">
        <v>0</v>
      </c>
      <c r="I15">
        <f>SUM(D15:H15)</f>
        <v>300.00000298000475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3">
      <c r="C16" t="s">
        <v>251</v>
      </c>
      <c r="D16" s="160">
        <v>0</v>
      </c>
      <c r="E16" s="160">
        <v>200.00000350999545</v>
      </c>
      <c r="F16" s="160">
        <v>0</v>
      </c>
      <c r="G16" s="160">
        <v>0</v>
      </c>
      <c r="H16" s="160">
        <v>150</v>
      </c>
      <c r="I16">
        <f>SUM(D16:H16)</f>
        <v>350.00000350999545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3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399</v>
      </c>
      <c r="U17">
        <v>0</v>
      </c>
      <c r="V17">
        <v>150</v>
      </c>
      <c r="W17">
        <v>1E+100</v>
      </c>
    </row>
    <row r="18" spans="3:23" x14ac:dyDescent="0.3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3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3">
      <c r="C20" t="s">
        <v>0</v>
      </c>
      <c r="D20">
        <f>SUMPRODUCT(D9:H11,D14:H16)</f>
        <v>13249.999900000044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3">
      <c r="J21">
        <v>99999.999999990003</v>
      </c>
      <c r="T21" t="s">
        <v>380</v>
      </c>
      <c r="U21">
        <v>10</v>
      </c>
      <c r="V21">
        <v>0</v>
      </c>
      <c r="W21">
        <v>100</v>
      </c>
    </row>
    <row r="22" spans="3:23" x14ac:dyDescent="0.3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3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3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3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3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3">
      <c r="T28" t="s">
        <v>326</v>
      </c>
      <c r="U28" t="s">
        <v>327</v>
      </c>
      <c r="V28" t="s">
        <v>321</v>
      </c>
      <c r="W28" t="s">
        <v>322</v>
      </c>
    </row>
    <row r="29" spans="3:23" x14ac:dyDescent="0.3">
      <c r="T29" t="s">
        <v>361</v>
      </c>
      <c r="U29">
        <v>0</v>
      </c>
      <c r="V29">
        <v>0</v>
      </c>
      <c r="W29">
        <v>0</v>
      </c>
    </row>
    <row r="30" spans="3:23" x14ac:dyDescent="0.3">
      <c r="T30" t="s">
        <v>362</v>
      </c>
      <c r="U30">
        <v>0</v>
      </c>
      <c r="V30">
        <v>35.000000100000001</v>
      </c>
      <c r="W30">
        <v>1E+100</v>
      </c>
    </row>
    <row r="31" spans="3:23" x14ac:dyDescent="0.3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3">
      <c r="T32" t="s">
        <v>364</v>
      </c>
      <c r="U32">
        <v>0</v>
      </c>
      <c r="V32">
        <v>1E+100</v>
      </c>
      <c r="W32">
        <v>15.000000099999999</v>
      </c>
    </row>
    <row r="33" spans="20:23" x14ac:dyDescent="0.3">
      <c r="T33" t="s">
        <v>365</v>
      </c>
      <c r="U33">
        <v>0</v>
      </c>
      <c r="V33">
        <v>1E+100</v>
      </c>
      <c r="W33">
        <v>10.000000099999999</v>
      </c>
    </row>
    <row r="34" spans="20:23" x14ac:dyDescent="0.3">
      <c r="T34" t="s">
        <v>366</v>
      </c>
      <c r="U34">
        <v>0</v>
      </c>
      <c r="V34">
        <v>1E+100</v>
      </c>
      <c r="W34">
        <v>25.000000100000001</v>
      </c>
    </row>
    <row r="35" spans="20:23" x14ac:dyDescent="0.3">
      <c r="T35" t="s">
        <v>367</v>
      </c>
      <c r="U35">
        <v>0</v>
      </c>
      <c r="V35">
        <v>1E+100</v>
      </c>
      <c r="W35">
        <v>35.000000100000001</v>
      </c>
    </row>
    <row r="36" spans="20:23" x14ac:dyDescent="0.3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3">
      <c r="T37" t="s">
        <v>369</v>
      </c>
      <c r="U37">
        <v>0</v>
      </c>
      <c r="V37">
        <v>5.0000001000000003</v>
      </c>
      <c r="W37">
        <v>1E+100</v>
      </c>
    </row>
    <row r="38" spans="20:23" x14ac:dyDescent="0.3">
      <c r="T38" t="s">
        <v>370</v>
      </c>
      <c r="U38">
        <v>0</v>
      </c>
      <c r="V38">
        <v>5.0000001000000003</v>
      </c>
      <c r="W38">
        <v>1E+100</v>
      </c>
    </row>
    <row r="39" spans="20:23" x14ac:dyDescent="0.3">
      <c r="T39" t="s">
        <v>371</v>
      </c>
      <c r="U39">
        <v>0</v>
      </c>
      <c r="V39">
        <v>1E+100</v>
      </c>
      <c r="W39">
        <v>5.0000001000000003</v>
      </c>
    </row>
    <row r="40" spans="20:23" x14ac:dyDescent="0.3">
      <c r="T40" t="s">
        <v>372</v>
      </c>
      <c r="U40">
        <v>0</v>
      </c>
      <c r="V40">
        <v>1E+100</v>
      </c>
      <c r="W40">
        <v>55.000000100000001</v>
      </c>
    </row>
    <row r="41" spans="20:23" x14ac:dyDescent="0.3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3">
      <c r="T42" t="s">
        <v>374</v>
      </c>
      <c r="U42">
        <v>0</v>
      </c>
      <c r="V42">
        <v>1E+100</v>
      </c>
      <c r="W42">
        <v>5.0000001000000003</v>
      </c>
    </row>
    <row r="43" spans="20:23" x14ac:dyDescent="0.3">
      <c r="T43" t="s">
        <v>375</v>
      </c>
      <c r="U43">
        <v>0</v>
      </c>
      <c r="V43">
        <v>1E+100</v>
      </c>
      <c r="W43">
        <v>5.0000001000000003</v>
      </c>
    </row>
    <row r="44" spans="20:23" x14ac:dyDescent="0.3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 xr:uid="{00000000-0002-0000-3B00-000000000000}">
      <formula1>TestType</formula1>
    </dataValidation>
    <dataValidation type="list" allowBlank="1" showInputMessage="1" showErrorMessage="1" sqref="A4" xr:uid="{00000000-0002-0000-3B00-000001000000}">
      <formula1>ModelType</formula1>
    </dataValidation>
    <dataValidation type="list" allowBlank="1" showInputMessage="1" showErrorMessage="1" sqref="A8" xr:uid="{00000000-0002-0000-3B00-000002000000}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NonLinSimple"/>
  <dimension ref="A1:L20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88671875" customWidth="1"/>
  </cols>
  <sheetData>
    <row r="1" spans="1:12" x14ac:dyDescent="0.3">
      <c r="A1" s="62" t="s">
        <v>203</v>
      </c>
      <c r="C1" t="s">
        <v>82</v>
      </c>
    </row>
    <row r="2" spans="1:12" ht="15" thickBot="1" x14ac:dyDescent="0.35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3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2" ht="15" thickBot="1" x14ac:dyDescent="0.35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3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" thickBot="1" x14ac:dyDescent="0.35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3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3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-4.7322420733340891E-7</v>
      </c>
      <c r="I8" s="1" t="s">
        <v>8</v>
      </c>
      <c r="J8" s="1">
        <v>150</v>
      </c>
      <c r="L8" t="s">
        <v>83</v>
      </c>
    </row>
    <row r="9" spans="1:12" ht="15" thickBot="1" x14ac:dyDescent="0.35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" thickBot="1" x14ac:dyDescent="0.35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3">
      <c r="D11" s="1"/>
      <c r="E11" s="1"/>
      <c r="F11" s="1"/>
      <c r="G11" s="1"/>
      <c r="H11" s="1"/>
      <c r="I11" s="1"/>
      <c r="J11" s="1"/>
    </row>
    <row r="12" spans="1:12" x14ac:dyDescent="0.3">
      <c r="D12" s="1"/>
      <c r="E12" s="1"/>
      <c r="F12" s="1"/>
      <c r="G12" s="1"/>
      <c r="H12" s="1"/>
      <c r="I12" s="1"/>
      <c r="J12" s="1"/>
    </row>
    <row r="13" spans="1:12" x14ac:dyDescent="0.3">
      <c r="D13" s="1"/>
      <c r="E13" s="1"/>
      <c r="F13" s="1"/>
      <c r="G13" s="1"/>
      <c r="H13" s="1"/>
      <c r="I13" s="1"/>
      <c r="J13" s="1"/>
    </row>
    <row r="14" spans="1:12" x14ac:dyDescent="0.3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3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3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3">
      <c r="D17" s="1"/>
      <c r="E17" s="1"/>
      <c r="F17" s="1"/>
      <c r="G17" s="1"/>
      <c r="H17" s="1"/>
      <c r="I17" s="1"/>
      <c r="J17" s="1"/>
    </row>
    <row r="18" spans="3:10" x14ac:dyDescent="0.3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3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3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 xr:uid="{00000000-0002-0000-3C00-000000000000}">
      <formula1>OpenSolverResult</formula1>
    </dataValidation>
    <dataValidation type="list" allowBlank="1" showInputMessage="1" showErrorMessage="1" sqref="A4" xr:uid="{00000000-0002-0000-3C00-000001000000}">
      <formula1>ModelType</formula1>
    </dataValidation>
    <dataValidation type="list" allowBlank="1" showInputMessage="1" showErrorMessage="1" sqref="A2" xr:uid="{00000000-0002-0000-3C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NonLinLarge"/>
  <dimension ref="A1:O139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.33203125" style="65" customWidth="1"/>
  </cols>
  <sheetData>
    <row r="1" spans="1:15" x14ac:dyDescent="0.3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" thickBot="1" x14ac:dyDescent="0.35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" thickBot="1" x14ac:dyDescent="0.35">
      <c r="A3" s="62" t="s">
        <v>208</v>
      </c>
      <c r="D3" s="31">
        <v>2.6182822510485799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" thickBot="1" x14ac:dyDescent="0.35">
      <c r="A4" s="63" t="s">
        <v>207</v>
      </c>
      <c r="D4" s="31"/>
      <c r="E4" s="31"/>
      <c r="F4" s="31"/>
      <c r="G4" s="31"/>
      <c r="O4" s="8"/>
    </row>
    <row r="5" spans="1:15" x14ac:dyDescent="0.3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27.421607784624076</v>
      </c>
      <c r="I5" s="31"/>
      <c r="J5" s="31"/>
      <c r="M5" s="135"/>
      <c r="N5" s="135"/>
      <c r="O5" s="135"/>
    </row>
    <row r="6" spans="1:15" ht="15" thickBot="1" x14ac:dyDescent="0.35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3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26.182822510485799</v>
      </c>
      <c r="I7" s="31" t="s">
        <v>8</v>
      </c>
      <c r="J7" s="31">
        <v>60</v>
      </c>
      <c r="M7" s="135"/>
      <c r="N7" s="135"/>
      <c r="O7" s="135"/>
    </row>
    <row r="8" spans="1:15" x14ac:dyDescent="0.3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" thickBot="1" x14ac:dyDescent="0.35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198.94736814129658</v>
      </c>
      <c r="I9" s="31" t="s">
        <v>9</v>
      </c>
      <c r="J9" s="31">
        <v>110</v>
      </c>
    </row>
    <row r="10" spans="1:15" ht="15" thickBot="1" x14ac:dyDescent="0.35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198.94736814129658</v>
      </c>
      <c r="I10" s="31" t="s">
        <v>9</v>
      </c>
      <c r="J10" s="31">
        <v>110</v>
      </c>
    </row>
    <row r="11" spans="1:15" x14ac:dyDescent="0.3">
      <c r="D11" s="31">
        <v>21</v>
      </c>
      <c r="E11" s="31">
        <v>22</v>
      </c>
      <c r="F11" s="31">
        <v>-23</v>
      </c>
      <c r="G11" s="31"/>
      <c r="H11" s="31">
        <f t="shared" si="0"/>
        <v>198.94736814129658</v>
      </c>
      <c r="I11" s="31" t="s">
        <v>9</v>
      </c>
      <c r="J11" s="31">
        <v>110</v>
      </c>
    </row>
    <row r="12" spans="1:15" x14ac:dyDescent="0.3">
      <c r="D12" s="31">
        <v>21</v>
      </c>
      <c r="E12" s="31">
        <v>22</v>
      </c>
      <c r="F12" s="31">
        <v>-23</v>
      </c>
      <c r="G12" s="31"/>
      <c r="H12" s="31">
        <f t="shared" si="0"/>
        <v>198.94736814129658</v>
      </c>
      <c r="I12" s="31" t="s">
        <v>9</v>
      </c>
      <c r="J12" s="31">
        <v>110</v>
      </c>
    </row>
    <row r="13" spans="1:15" x14ac:dyDescent="0.3">
      <c r="D13" s="31">
        <v>21</v>
      </c>
      <c r="E13" s="31">
        <v>22</v>
      </c>
      <c r="F13" s="31">
        <v>-23</v>
      </c>
      <c r="G13" s="31"/>
      <c r="H13" s="31">
        <f t="shared" si="0"/>
        <v>198.94736814129658</v>
      </c>
      <c r="I13" s="31" t="s">
        <v>9</v>
      </c>
      <c r="J13" s="31">
        <v>110</v>
      </c>
    </row>
    <row r="14" spans="1:15" x14ac:dyDescent="0.3">
      <c r="D14" s="31">
        <v>21</v>
      </c>
      <c r="E14" s="31">
        <v>22</v>
      </c>
      <c r="F14" s="31">
        <v>-23</v>
      </c>
      <c r="G14" s="31"/>
      <c r="H14" s="31">
        <f t="shared" si="0"/>
        <v>198.94736814129658</v>
      </c>
      <c r="I14" s="31" t="s">
        <v>9</v>
      </c>
      <c r="J14" s="31">
        <v>110</v>
      </c>
    </row>
    <row r="15" spans="1:15" x14ac:dyDescent="0.3">
      <c r="D15" s="31">
        <v>21</v>
      </c>
      <c r="E15" s="31">
        <v>22</v>
      </c>
      <c r="F15" s="31">
        <v>-23</v>
      </c>
      <c r="G15" s="31"/>
      <c r="H15" s="31">
        <f t="shared" si="0"/>
        <v>198.94736814129658</v>
      </c>
      <c r="I15" s="31" t="s">
        <v>9</v>
      </c>
      <c r="J15" s="31">
        <v>110</v>
      </c>
    </row>
    <row r="16" spans="1:15" x14ac:dyDescent="0.3">
      <c r="D16" s="31">
        <v>21</v>
      </c>
      <c r="E16" s="31">
        <v>22</v>
      </c>
      <c r="F16" s="31">
        <v>-23</v>
      </c>
      <c r="G16" s="31"/>
      <c r="H16" s="31">
        <f t="shared" si="0"/>
        <v>198.94736814129658</v>
      </c>
      <c r="I16" s="31" t="s">
        <v>9</v>
      </c>
      <c r="J16" s="31">
        <v>110</v>
      </c>
      <c r="M16" s="135"/>
      <c r="N16" s="135"/>
      <c r="O16" s="135"/>
    </row>
    <row r="17" spans="4:15" x14ac:dyDescent="0.3">
      <c r="D17" s="31">
        <v>21</v>
      </c>
      <c r="E17" s="31">
        <v>22</v>
      </c>
      <c r="F17" s="31">
        <v>-23</v>
      </c>
      <c r="G17" s="31"/>
      <c r="H17" s="31">
        <f t="shared" si="0"/>
        <v>198.94736814129658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3">
      <c r="D18" s="31">
        <v>21</v>
      </c>
      <c r="E18" s="31">
        <v>22</v>
      </c>
      <c r="F18" s="31">
        <v>-23</v>
      </c>
      <c r="G18" s="31"/>
      <c r="H18" s="31">
        <f t="shared" si="0"/>
        <v>198.94736814129658</v>
      </c>
      <c r="I18" s="31" t="s">
        <v>9</v>
      </c>
      <c r="J18" s="31">
        <v>110</v>
      </c>
      <c r="N18" s="135"/>
      <c r="O18" s="135"/>
    </row>
    <row r="19" spans="4:15" x14ac:dyDescent="0.3">
      <c r="D19" s="31">
        <v>21</v>
      </c>
      <c r="E19" s="31">
        <v>22</v>
      </c>
      <c r="F19" s="31">
        <v>-23</v>
      </c>
      <c r="G19" s="31"/>
      <c r="H19" s="31">
        <f t="shared" si="0"/>
        <v>198.94736814129658</v>
      </c>
      <c r="I19" s="31" t="s">
        <v>9</v>
      </c>
      <c r="J19" s="31">
        <v>110</v>
      </c>
      <c r="N19" s="135"/>
      <c r="O19" s="135"/>
    </row>
    <row r="20" spans="4:15" x14ac:dyDescent="0.3">
      <c r="D20" s="31">
        <v>21</v>
      </c>
      <c r="E20" s="31">
        <v>22</v>
      </c>
      <c r="F20" s="31">
        <v>-23</v>
      </c>
      <c r="G20" s="31"/>
      <c r="H20" s="31">
        <f t="shared" si="0"/>
        <v>198.94736814129658</v>
      </c>
      <c r="I20" s="31" t="s">
        <v>9</v>
      </c>
      <c r="J20" s="31">
        <v>110</v>
      </c>
    </row>
    <row r="21" spans="4:15" x14ac:dyDescent="0.3">
      <c r="D21" s="31">
        <v>21</v>
      </c>
      <c r="E21" s="31">
        <v>22</v>
      </c>
      <c r="F21" s="31">
        <v>-23</v>
      </c>
      <c r="G21" s="31"/>
      <c r="H21" s="31">
        <f t="shared" si="0"/>
        <v>198.94736814129658</v>
      </c>
      <c r="I21" s="31" t="s">
        <v>9</v>
      </c>
      <c r="J21" s="31">
        <v>110</v>
      </c>
    </row>
    <row r="22" spans="4:15" x14ac:dyDescent="0.3">
      <c r="D22" s="31">
        <v>21</v>
      </c>
      <c r="E22" s="31">
        <v>22</v>
      </c>
      <c r="F22" s="31">
        <v>-23</v>
      </c>
      <c r="G22" s="31"/>
      <c r="H22" s="31">
        <f t="shared" si="0"/>
        <v>198.94736814129658</v>
      </c>
      <c r="I22" s="31" t="s">
        <v>9</v>
      </c>
      <c r="J22" s="31">
        <v>110</v>
      </c>
    </row>
    <row r="23" spans="4:15" x14ac:dyDescent="0.3">
      <c r="D23" s="31">
        <v>21</v>
      </c>
      <c r="E23" s="31">
        <v>22</v>
      </c>
      <c r="F23" s="31">
        <v>-23</v>
      </c>
      <c r="G23" s="31"/>
      <c r="H23" s="31">
        <f t="shared" si="0"/>
        <v>198.94736814129658</v>
      </c>
      <c r="I23" s="31" t="s">
        <v>9</v>
      </c>
      <c r="J23" s="31">
        <v>110</v>
      </c>
    </row>
    <row r="24" spans="4:15" x14ac:dyDescent="0.3">
      <c r="D24" s="31">
        <v>21</v>
      </c>
      <c r="E24" s="31">
        <v>22</v>
      </c>
      <c r="F24" s="31">
        <v>-23</v>
      </c>
      <c r="G24" s="31"/>
      <c r="H24" s="31">
        <f t="shared" si="0"/>
        <v>198.94736814129658</v>
      </c>
      <c r="I24" s="31" t="s">
        <v>9</v>
      </c>
      <c r="J24" s="31">
        <v>110</v>
      </c>
    </row>
    <row r="25" spans="4:15" x14ac:dyDescent="0.3">
      <c r="D25" s="31">
        <v>21</v>
      </c>
      <c r="E25" s="31">
        <v>22</v>
      </c>
      <c r="F25" s="31">
        <v>-23</v>
      </c>
      <c r="G25" s="31"/>
      <c r="H25" s="31">
        <f t="shared" si="0"/>
        <v>198.94736814129658</v>
      </c>
      <c r="I25" s="31" t="s">
        <v>9</v>
      </c>
      <c r="J25" s="31">
        <v>110</v>
      </c>
    </row>
    <row r="26" spans="4:15" x14ac:dyDescent="0.3">
      <c r="D26" s="31">
        <v>21</v>
      </c>
      <c r="E26" s="31">
        <v>22</v>
      </c>
      <c r="F26" s="31">
        <v>-23</v>
      </c>
      <c r="G26" s="31"/>
      <c r="H26" s="31">
        <f t="shared" si="0"/>
        <v>198.94736814129658</v>
      </c>
      <c r="I26" s="31" t="s">
        <v>9</v>
      </c>
      <c r="J26" s="31">
        <v>110</v>
      </c>
    </row>
    <row r="27" spans="4:15" x14ac:dyDescent="0.3">
      <c r="D27" s="31">
        <v>21</v>
      </c>
      <c r="E27" s="31">
        <v>22</v>
      </c>
      <c r="F27" s="31">
        <v>-23</v>
      </c>
      <c r="G27" s="31"/>
      <c r="H27" s="31">
        <f t="shared" si="0"/>
        <v>198.94736814129658</v>
      </c>
      <c r="I27" s="31" t="s">
        <v>9</v>
      </c>
      <c r="J27" s="31">
        <v>110</v>
      </c>
    </row>
    <row r="28" spans="4:15" x14ac:dyDescent="0.3">
      <c r="D28" s="31">
        <v>21</v>
      </c>
      <c r="E28" s="31">
        <v>22</v>
      </c>
      <c r="F28" s="31">
        <v>-23</v>
      </c>
      <c r="G28" s="31"/>
      <c r="H28" s="31">
        <f t="shared" si="0"/>
        <v>198.94736814129658</v>
      </c>
      <c r="I28" s="31" t="s">
        <v>9</v>
      </c>
      <c r="J28" s="31">
        <v>110</v>
      </c>
    </row>
    <row r="29" spans="4:15" x14ac:dyDescent="0.3">
      <c r="D29" s="31">
        <v>21</v>
      </c>
      <c r="E29" s="31">
        <v>22</v>
      </c>
      <c r="F29" s="31">
        <v>-23</v>
      </c>
      <c r="G29" s="31"/>
      <c r="H29" s="31">
        <f t="shared" si="0"/>
        <v>198.94736814129658</v>
      </c>
      <c r="I29" s="31" t="s">
        <v>9</v>
      </c>
      <c r="J29" s="31">
        <v>110</v>
      </c>
    </row>
    <row r="30" spans="4:15" x14ac:dyDescent="0.3">
      <c r="D30" s="31">
        <v>21</v>
      </c>
      <c r="E30" s="31">
        <v>22</v>
      </c>
      <c r="F30" s="31">
        <v>-23</v>
      </c>
      <c r="G30" s="31"/>
      <c r="H30" s="31">
        <f t="shared" si="0"/>
        <v>198.94736814129658</v>
      </c>
      <c r="I30" s="31" t="s">
        <v>9</v>
      </c>
      <c r="J30" s="31">
        <v>110</v>
      </c>
    </row>
    <row r="31" spans="4:15" x14ac:dyDescent="0.3">
      <c r="D31" s="31">
        <v>21</v>
      </c>
      <c r="E31" s="31">
        <v>22</v>
      </c>
      <c r="F31" s="31">
        <v>-23</v>
      </c>
      <c r="G31" s="31"/>
      <c r="H31" s="31">
        <f t="shared" si="0"/>
        <v>198.94736814129658</v>
      </c>
      <c r="I31" s="31" t="s">
        <v>9</v>
      </c>
      <c r="J31" s="31">
        <v>110</v>
      </c>
    </row>
    <row r="32" spans="4:15" x14ac:dyDescent="0.3">
      <c r="D32" s="31">
        <v>21</v>
      </c>
      <c r="E32" s="31">
        <v>22</v>
      </c>
      <c r="F32" s="31">
        <v>-23</v>
      </c>
      <c r="G32" s="31"/>
      <c r="H32" s="31">
        <f t="shared" si="0"/>
        <v>198.94736814129658</v>
      </c>
      <c r="I32" s="31" t="s">
        <v>9</v>
      </c>
      <c r="J32" s="31">
        <v>110</v>
      </c>
    </row>
    <row r="33" spans="4:10" x14ac:dyDescent="0.3">
      <c r="D33" s="31">
        <v>21</v>
      </c>
      <c r="E33" s="31">
        <v>22</v>
      </c>
      <c r="F33" s="31">
        <v>-23</v>
      </c>
      <c r="G33" s="31"/>
      <c r="H33" s="31">
        <f t="shared" si="0"/>
        <v>198.94736814129658</v>
      </c>
      <c r="I33" s="31" t="s">
        <v>9</v>
      </c>
      <c r="J33" s="31">
        <v>110</v>
      </c>
    </row>
    <row r="34" spans="4:10" x14ac:dyDescent="0.3">
      <c r="D34" s="31">
        <v>21</v>
      </c>
      <c r="E34" s="31">
        <v>22</v>
      </c>
      <c r="F34" s="31">
        <v>-23</v>
      </c>
      <c r="G34" s="31"/>
      <c r="H34" s="31">
        <f t="shared" si="0"/>
        <v>198.94736814129658</v>
      </c>
      <c r="I34" s="31" t="s">
        <v>9</v>
      </c>
      <c r="J34" s="31">
        <v>110</v>
      </c>
    </row>
    <row r="35" spans="4:10" x14ac:dyDescent="0.3">
      <c r="D35" s="31">
        <v>21</v>
      </c>
      <c r="E35" s="31">
        <v>22</v>
      </c>
      <c r="F35" s="31">
        <v>-23</v>
      </c>
      <c r="G35" s="31"/>
      <c r="H35" s="31">
        <f t="shared" si="0"/>
        <v>198.94736814129658</v>
      </c>
      <c r="I35" s="31" t="s">
        <v>9</v>
      </c>
      <c r="J35" s="31">
        <v>110</v>
      </c>
    </row>
    <row r="36" spans="4:10" x14ac:dyDescent="0.3">
      <c r="D36" s="31">
        <v>21</v>
      </c>
      <c r="E36" s="31">
        <v>22</v>
      </c>
      <c r="F36" s="31">
        <v>-23</v>
      </c>
      <c r="G36" s="31"/>
      <c r="H36" s="31">
        <f t="shared" si="0"/>
        <v>198.94736814129658</v>
      </c>
      <c r="I36" s="31" t="s">
        <v>9</v>
      </c>
      <c r="J36" s="31">
        <v>110</v>
      </c>
    </row>
    <row r="37" spans="4:10" x14ac:dyDescent="0.3">
      <c r="D37" s="31">
        <v>21</v>
      </c>
      <c r="E37" s="31">
        <v>22</v>
      </c>
      <c r="F37" s="31">
        <v>-23</v>
      </c>
      <c r="G37" s="31"/>
      <c r="H37" s="31">
        <f t="shared" si="0"/>
        <v>198.94736814129658</v>
      </c>
      <c r="I37" s="31" t="s">
        <v>9</v>
      </c>
      <c r="J37" s="31">
        <v>110</v>
      </c>
    </row>
    <row r="38" spans="4:10" x14ac:dyDescent="0.3">
      <c r="D38" s="31">
        <v>21</v>
      </c>
      <c r="E38" s="31">
        <v>22</v>
      </c>
      <c r="F38" s="31">
        <v>-23</v>
      </c>
      <c r="G38" s="31"/>
      <c r="H38" s="31">
        <f t="shared" si="0"/>
        <v>198.94736814129658</v>
      </c>
      <c r="I38" s="31" t="s">
        <v>9</v>
      </c>
      <c r="J38" s="31">
        <v>110</v>
      </c>
    </row>
    <row r="39" spans="4:10" x14ac:dyDescent="0.3">
      <c r="D39" s="31">
        <v>21</v>
      </c>
      <c r="E39" s="31">
        <v>22</v>
      </c>
      <c r="F39" s="31">
        <v>-23</v>
      </c>
      <c r="G39" s="31"/>
      <c r="H39" s="31">
        <f t="shared" si="0"/>
        <v>198.94736814129658</v>
      </c>
      <c r="I39" s="31" t="s">
        <v>9</v>
      </c>
      <c r="J39" s="31">
        <v>110</v>
      </c>
    </row>
    <row r="40" spans="4:10" x14ac:dyDescent="0.3">
      <c r="D40" s="31">
        <v>21</v>
      </c>
      <c r="E40" s="31">
        <v>22</v>
      </c>
      <c r="F40" s="31">
        <v>-23</v>
      </c>
      <c r="G40" s="31"/>
      <c r="H40" s="31">
        <f t="shared" si="0"/>
        <v>198.94736814129658</v>
      </c>
      <c r="I40" s="31" t="s">
        <v>9</v>
      </c>
      <c r="J40" s="31">
        <v>110</v>
      </c>
    </row>
    <row r="41" spans="4:10" x14ac:dyDescent="0.3">
      <c r="D41" s="31">
        <v>21</v>
      </c>
      <c r="E41" s="31">
        <v>22</v>
      </c>
      <c r="F41" s="31">
        <v>-23</v>
      </c>
      <c r="G41" s="31"/>
      <c r="H41" s="31">
        <f t="shared" si="0"/>
        <v>198.94736814129658</v>
      </c>
      <c r="I41" s="31" t="s">
        <v>9</v>
      </c>
      <c r="J41" s="31">
        <v>110</v>
      </c>
    </row>
    <row r="42" spans="4:10" x14ac:dyDescent="0.3">
      <c r="D42" s="31">
        <v>21</v>
      </c>
      <c r="E42" s="31">
        <v>22</v>
      </c>
      <c r="F42" s="31">
        <v>-23</v>
      </c>
      <c r="G42" s="31"/>
      <c r="H42" s="31">
        <f t="shared" si="0"/>
        <v>198.94736814129658</v>
      </c>
      <c r="I42" s="31" t="s">
        <v>9</v>
      </c>
      <c r="J42" s="31">
        <v>110</v>
      </c>
    </row>
    <row r="43" spans="4:10" x14ac:dyDescent="0.3">
      <c r="D43" s="31">
        <v>21</v>
      </c>
      <c r="E43" s="31">
        <v>22</v>
      </c>
      <c r="F43" s="31">
        <v>-23</v>
      </c>
      <c r="G43" s="31"/>
      <c r="H43" s="31">
        <f t="shared" si="0"/>
        <v>198.94736814129658</v>
      </c>
      <c r="I43" s="31" t="s">
        <v>9</v>
      </c>
      <c r="J43" s="31">
        <v>110</v>
      </c>
    </row>
    <row r="44" spans="4:10" x14ac:dyDescent="0.3">
      <c r="D44" s="31">
        <v>21</v>
      </c>
      <c r="E44" s="31">
        <v>22</v>
      </c>
      <c r="F44" s="31">
        <v>-23</v>
      </c>
      <c r="G44" s="31"/>
      <c r="H44" s="31">
        <f t="shared" si="0"/>
        <v>198.94736814129658</v>
      </c>
      <c r="I44" s="31" t="s">
        <v>9</v>
      </c>
      <c r="J44" s="31">
        <v>110</v>
      </c>
    </row>
    <row r="45" spans="4:10" x14ac:dyDescent="0.3">
      <c r="D45" s="31">
        <v>21</v>
      </c>
      <c r="E45" s="31">
        <v>22</v>
      </c>
      <c r="F45" s="31">
        <v>-23</v>
      </c>
      <c r="G45" s="31"/>
      <c r="H45" s="31">
        <f t="shared" si="0"/>
        <v>198.94736814129658</v>
      </c>
      <c r="I45" s="31" t="s">
        <v>9</v>
      </c>
      <c r="J45" s="31">
        <v>110</v>
      </c>
    </row>
    <row r="46" spans="4:10" x14ac:dyDescent="0.3">
      <c r="D46" s="31">
        <v>21</v>
      </c>
      <c r="E46" s="31">
        <v>22</v>
      </c>
      <c r="F46" s="31">
        <v>-23</v>
      </c>
      <c r="G46" s="31"/>
      <c r="H46" s="31">
        <f t="shared" si="0"/>
        <v>198.94736814129658</v>
      </c>
      <c r="I46" s="31" t="s">
        <v>9</v>
      </c>
      <c r="J46" s="31">
        <v>110</v>
      </c>
    </row>
    <row r="47" spans="4:10" x14ac:dyDescent="0.3">
      <c r="D47" s="31">
        <v>21</v>
      </c>
      <c r="E47" s="31">
        <v>22</v>
      </c>
      <c r="F47" s="31">
        <v>-23</v>
      </c>
      <c r="G47" s="31"/>
      <c r="H47" s="31">
        <f t="shared" si="0"/>
        <v>198.94736814129658</v>
      </c>
      <c r="I47" s="31" t="s">
        <v>9</v>
      </c>
      <c r="J47" s="31">
        <v>110</v>
      </c>
    </row>
    <row r="48" spans="4:10" x14ac:dyDescent="0.3">
      <c r="D48" s="31">
        <v>21</v>
      </c>
      <c r="E48" s="31">
        <v>22</v>
      </c>
      <c r="F48" s="31">
        <v>-23</v>
      </c>
      <c r="G48" s="31"/>
      <c r="H48" s="31">
        <f t="shared" si="0"/>
        <v>198.94736814129658</v>
      </c>
      <c r="I48" s="31" t="s">
        <v>9</v>
      </c>
      <c r="J48" s="31">
        <v>110</v>
      </c>
    </row>
    <row r="49" spans="4:10" x14ac:dyDescent="0.3">
      <c r="D49" s="31">
        <v>21</v>
      </c>
      <c r="E49" s="31">
        <v>22</v>
      </c>
      <c r="F49" s="31">
        <v>-23</v>
      </c>
      <c r="G49" s="31"/>
      <c r="H49" s="31">
        <f t="shared" si="0"/>
        <v>198.94736814129658</v>
      </c>
      <c r="I49" s="31" t="s">
        <v>9</v>
      </c>
      <c r="J49" s="31">
        <v>110</v>
      </c>
    </row>
    <row r="50" spans="4:10" x14ac:dyDescent="0.3">
      <c r="D50" s="31">
        <v>21</v>
      </c>
      <c r="E50" s="31">
        <v>22</v>
      </c>
      <c r="F50" s="31">
        <v>-23</v>
      </c>
      <c r="G50" s="31"/>
      <c r="H50" s="31">
        <f t="shared" si="0"/>
        <v>198.94736814129658</v>
      </c>
      <c r="I50" s="31" t="s">
        <v>9</v>
      </c>
      <c r="J50" s="31">
        <v>110</v>
      </c>
    </row>
    <row r="51" spans="4:10" x14ac:dyDescent="0.3">
      <c r="D51" s="31">
        <v>21</v>
      </c>
      <c r="E51" s="31">
        <v>22</v>
      </c>
      <c r="F51" s="31">
        <v>-23</v>
      </c>
      <c r="G51" s="31"/>
      <c r="H51" s="31">
        <f t="shared" si="0"/>
        <v>198.94736814129658</v>
      </c>
      <c r="I51" s="31" t="s">
        <v>9</v>
      </c>
      <c r="J51" s="31">
        <v>110</v>
      </c>
    </row>
    <row r="52" spans="4:10" x14ac:dyDescent="0.3">
      <c r="D52" s="31">
        <v>21</v>
      </c>
      <c r="E52" s="31">
        <v>22</v>
      </c>
      <c r="F52" s="31">
        <v>-23</v>
      </c>
      <c r="G52" s="31"/>
      <c r="H52" s="31">
        <f t="shared" si="0"/>
        <v>198.94736814129658</v>
      </c>
      <c r="I52" s="31" t="s">
        <v>9</v>
      </c>
      <c r="J52" s="31">
        <v>110</v>
      </c>
    </row>
    <row r="53" spans="4:10" x14ac:dyDescent="0.3">
      <c r="D53" s="31">
        <v>21</v>
      </c>
      <c r="E53" s="31">
        <v>22</v>
      </c>
      <c r="F53" s="31">
        <v>-23</v>
      </c>
      <c r="G53" s="31"/>
      <c r="H53" s="31">
        <f t="shared" si="0"/>
        <v>198.94736814129658</v>
      </c>
      <c r="I53" s="31" t="s">
        <v>9</v>
      </c>
      <c r="J53" s="31">
        <v>110</v>
      </c>
    </row>
    <row r="54" spans="4:10" x14ac:dyDescent="0.3">
      <c r="D54" s="31">
        <v>21</v>
      </c>
      <c r="E54" s="31">
        <v>22</v>
      </c>
      <c r="F54" s="31">
        <v>-23</v>
      </c>
      <c r="G54" s="31"/>
      <c r="H54" s="31">
        <f t="shared" si="0"/>
        <v>198.94736814129658</v>
      </c>
      <c r="I54" s="31" t="s">
        <v>9</v>
      </c>
      <c r="J54" s="31">
        <v>110</v>
      </c>
    </row>
    <row r="55" spans="4:10" x14ac:dyDescent="0.3">
      <c r="D55" s="31">
        <v>21</v>
      </c>
      <c r="E55" s="31">
        <v>22</v>
      </c>
      <c r="F55" s="31">
        <v>-23</v>
      </c>
      <c r="G55" s="31"/>
      <c r="H55" s="31">
        <f t="shared" si="0"/>
        <v>198.94736814129658</v>
      </c>
      <c r="I55" s="31" t="s">
        <v>9</v>
      </c>
      <c r="J55" s="31">
        <v>110</v>
      </c>
    </row>
    <row r="56" spans="4:10" x14ac:dyDescent="0.3">
      <c r="D56" s="31">
        <v>21</v>
      </c>
      <c r="E56" s="31">
        <v>22</v>
      </c>
      <c r="F56" s="31">
        <v>-23</v>
      </c>
      <c r="G56" s="31"/>
      <c r="H56" s="31">
        <f t="shared" si="0"/>
        <v>198.94736814129658</v>
      </c>
      <c r="I56" s="31" t="s">
        <v>9</v>
      </c>
      <c r="J56" s="31">
        <v>110</v>
      </c>
    </row>
    <row r="57" spans="4:10" x14ac:dyDescent="0.3">
      <c r="D57" s="31">
        <v>21</v>
      </c>
      <c r="E57" s="31">
        <v>22</v>
      </c>
      <c r="F57" s="31">
        <v>-23</v>
      </c>
      <c r="G57" s="31"/>
      <c r="H57" s="31">
        <f t="shared" si="0"/>
        <v>198.94736814129658</v>
      </c>
      <c r="I57" s="31" t="s">
        <v>9</v>
      </c>
      <c r="J57" s="31">
        <v>110</v>
      </c>
    </row>
    <row r="58" spans="4:10" x14ac:dyDescent="0.3">
      <c r="D58" s="31">
        <v>21</v>
      </c>
      <c r="E58" s="31">
        <v>22</v>
      </c>
      <c r="F58" s="31">
        <v>-23</v>
      </c>
      <c r="G58" s="31"/>
      <c r="H58" s="31">
        <f t="shared" si="0"/>
        <v>198.94736814129658</v>
      </c>
      <c r="I58" s="31" t="s">
        <v>9</v>
      </c>
      <c r="J58" s="31">
        <v>110</v>
      </c>
    </row>
    <row r="59" spans="4:10" x14ac:dyDescent="0.3">
      <c r="D59" s="31">
        <v>21</v>
      </c>
      <c r="E59" s="31">
        <v>22</v>
      </c>
      <c r="F59" s="31">
        <v>-23</v>
      </c>
      <c r="G59" s="31"/>
      <c r="H59" s="31">
        <f t="shared" si="0"/>
        <v>198.94736814129658</v>
      </c>
      <c r="I59" s="31" t="s">
        <v>9</v>
      </c>
      <c r="J59" s="31">
        <v>110</v>
      </c>
    </row>
    <row r="60" spans="4:10" x14ac:dyDescent="0.3">
      <c r="D60" s="31">
        <v>21</v>
      </c>
      <c r="E60" s="31">
        <v>22</v>
      </c>
      <c r="F60" s="31">
        <v>-23</v>
      </c>
      <c r="G60" s="31"/>
      <c r="H60" s="31">
        <f t="shared" si="0"/>
        <v>198.94736814129658</v>
      </c>
      <c r="I60" s="31" t="s">
        <v>9</v>
      </c>
      <c r="J60" s="31">
        <v>110</v>
      </c>
    </row>
    <row r="61" spans="4:10" x14ac:dyDescent="0.3">
      <c r="D61" s="31">
        <v>21</v>
      </c>
      <c r="E61" s="31">
        <v>22</v>
      </c>
      <c r="F61" s="31">
        <v>-23</v>
      </c>
      <c r="G61" s="31"/>
      <c r="H61" s="31">
        <f t="shared" si="0"/>
        <v>198.94736814129658</v>
      </c>
      <c r="I61" s="31" t="s">
        <v>9</v>
      </c>
      <c r="J61" s="31">
        <v>110</v>
      </c>
    </row>
    <row r="62" spans="4:10" x14ac:dyDescent="0.3">
      <c r="D62" s="31">
        <v>21</v>
      </c>
      <c r="E62" s="31">
        <v>22</v>
      </c>
      <c r="F62" s="31">
        <v>-23</v>
      </c>
      <c r="G62" s="31"/>
      <c r="H62" s="31">
        <f t="shared" si="0"/>
        <v>198.94736814129658</v>
      </c>
      <c r="I62" s="31" t="s">
        <v>9</v>
      </c>
      <c r="J62" s="31">
        <v>110</v>
      </c>
    </row>
    <row r="63" spans="4:10" x14ac:dyDescent="0.3">
      <c r="D63" s="31">
        <v>21</v>
      </c>
      <c r="E63" s="31">
        <v>22</v>
      </c>
      <c r="F63" s="31">
        <v>-23</v>
      </c>
      <c r="G63" s="31"/>
      <c r="H63" s="31">
        <f t="shared" si="0"/>
        <v>198.94736814129658</v>
      </c>
      <c r="I63" s="31" t="s">
        <v>9</v>
      </c>
      <c r="J63" s="31">
        <v>110</v>
      </c>
    </row>
    <row r="64" spans="4:10" x14ac:dyDescent="0.3">
      <c r="D64" s="31">
        <v>21</v>
      </c>
      <c r="E64" s="31">
        <v>22</v>
      </c>
      <c r="F64" s="31">
        <v>-23</v>
      </c>
      <c r="G64" s="31"/>
      <c r="H64" s="31">
        <f t="shared" si="0"/>
        <v>198.94736814129658</v>
      </c>
      <c r="I64" s="31" t="s">
        <v>9</v>
      </c>
      <c r="J64" s="31">
        <v>110</v>
      </c>
    </row>
    <row r="65" spans="4:10" x14ac:dyDescent="0.3">
      <c r="D65" s="31">
        <v>21</v>
      </c>
      <c r="E65" s="31">
        <v>22</v>
      </c>
      <c r="F65" s="31">
        <v>-23</v>
      </c>
      <c r="G65" s="31"/>
      <c r="H65" s="31">
        <f t="shared" si="0"/>
        <v>198.94736814129658</v>
      </c>
      <c r="I65" s="31" t="s">
        <v>9</v>
      </c>
      <c r="J65" s="31">
        <v>110</v>
      </c>
    </row>
    <row r="66" spans="4:10" x14ac:dyDescent="0.3">
      <c r="D66" s="31">
        <v>21</v>
      </c>
      <c r="E66" s="31">
        <v>22</v>
      </c>
      <c r="F66" s="31">
        <v>-23</v>
      </c>
      <c r="G66" s="31"/>
      <c r="H66" s="31">
        <f t="shared" si="0"/>
        <v>198.94736814129658</v>
      </c>
      <c r="I66" s="31" t="s">
        <v>9</v>
      </c>
      <c r="J66" s="31">
        <v>110</v>
      </c>
    </row>
    <row r="67" spans="4:10" x14ac:dyDescent="0.3">
      <c r="D67" s="31">
        <v>21</v>
      </c>
      <c r="E67" s="31">
        <v>22</v>
      </c>
      <c r="F67" s="31">
        <v>-23</v>
      </c>
      <c r="G67" s="31"/>
      <c r="H67" s="31">
        <f t="shared" si="0"/>
        <v>198.94736814129658</v>
      </c>
      <c r="I67" s="31" t="s">
        <v>9</v>
      </c>
      <c r="J67" s="31">
        <v>110</v>
      </c>
    </row>
    <row r="68" spans="4:10" x14ac:dyDescent="0.3">
      <c r="D68" s="31">
        <v>21</v>
      </c>
      <c r="E68" s="31">
        <v>22</v>
      </c>
      <c r="F68" s="31">
        <v>-23</v>
      </c>
      <c r="G68" s="31"/>
      <c r="H68" s="31">
        <f t="shared" si="0"/>
        <v>198.94736814129658</v>
      </c>
      <c r="I68" s="31" t="s">
        <v>9</v>
      </c>
      <c r="J68" s="31">
        <v>110</v>
      </c>
    </row>
    <row r="69" spans="4:10" x14ac:dyDescent="0.3">
      <c r="D69" s="31">
        <v>21</v>
      </c>
      <c r="E69" s="31">
        <v>22</v>
      </c>
      <c r="F69" s="31">
        <v>-23</v>
      </c>
      <c r="G69" s="31"/>
      <c r="H69" s="31">
        <f t="shared" si="0"/>
        <v>198.94736814129658</v>
      </c>
      <c r="I69" s="31" t="s">
        <v>9</v>
      </c>
      <c r="J69" s="31">
        <v>110</v>
      </c>
    </row>
    <row r="70" spans="4:10" x14ac:dyDescent="0.3">
      <c r="D70" s="31">
        <v>21</v>
      </c>
      <c r="E70" s="31">
        <v>22</v>
      </c>
      <c r="F70" s="31">
        <v>-23</v>
      </c>
      <c r="G70" s="31"/>
      <c r="H70" s="31">
        <f t="shared" si="0"/>
        <v>198.94736814129658</v>
      </c>
      <c r="I70" s="31" t="s">
        <v>9</v>
      </c>
      <c r="J70" s="31">
        <v>110</v>
      </c>
    </row>
    <row r="71" spans="4:10" x14ac:dyDescent="0.3">
      <c r="D71" s="31">
        <v>21</v>
      </c>
      <c r="E71" s="31">
        <v>22</v>
      </c>
      <c r="F71" s="31">
        <v>-23</v>
      </c>
      <c r="G71" s="31"/>
      <c r="H71" s="31">
        <f t="shared" si="0"/>
        <v>198.94736814129658</v>
      </c>
      <c r="I71" s="31" t="s">
        <v>9</v>
      </c>
      <c r="J71" s="31">
        <v>110</v>
      </c>
    </row>
    <row r="72" spans="4:10" x14ac:dyDescent="0.3">
      <c r="D72" s="31">
        <v>21</v>
      </c>
      <c r="E72" s="31">
        <v>22</v>
      </c>
      <c r="F72" s="31">
        <v>-23</v>
      </c>
      <c r="G72" s="31"/>
      <c r="H72" s="31">
        <f t="shared" si="0"/>
        <v>198.94736814129658</v>
      </c>
      <c r="I72" s="31" t="s">
        <v>9</v>
      </c>
      <c r="J72" s="31">
        <v>110</v>
      </c>
    </row>
    <row r="73" spans="4:10" x14ac:dyDescent="0.3">
      <c r="D73" s="31">
        <v>19</v>
      </c>
      <c r="E73" s="31">
        <v>34</v>
      </c>
      <c r="F73" s="31">
        <v>-32</v>
      </c>
      <c r="G73" s="31"/>
      <c r="H73" s="31">
        <f t="shared" si="0"/>
        <v>179.99999974688737</v>
      </c>
      <c r="I73" s="31" t="s">
        <v>10</v>
      </c>
      <c r="J73" s="31">
        <v>180</v>
      </c>
    </row>
    <row r="74" spans="4:10" x14ac:dyDescent="0.3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-1264.6303272564642</v>
      </c>
      <c r="I74" s="31" t="s">
        <v>8</v>
      </c>
      <c r="J74" s="31">
        <v>150</v>
      </c>
    </row>
    <row r="75" spans="4:10" x14ac:dyDescent="0.3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198.94736814129658</v>
      </c>
      <c r="I75" s="31" t="s">
        <v>9</v>
      </c>
      <c r="J75" s="31">
        <v>110</v>
      </c>
    </row>
    <row r="76" spans="4:10" x14ac:dyDescent="0.3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198.94736814129658</v>
      </c>
      <c r="I76" s="31" t="s">
        <v>9</v>
      </c>
      <c r="J76" s="31">
        <v>110</v>
      </c>
    </row>
    <row r="77" spans="4:10" x14ac:dyDescent="0.3">
      <c r="D77" s="31">
        <v>21</v>
      </c>
      <c r="E77" s="31">
        <v>22</v>
      </c>
      <c r="F77" s="31">
        <v>-23</v>
      </c>
      <c r="G77" s="31"/>
      <c r="H77" s="31">
        <f t="shared" si="1"/>
        <v>198.94736814129658</v>
      </c>
      <c r="I77" s="31" t="s">
        <v>9</v>
      </c>
      <c r="J77" s="31">
        <v>110</v>
      </c>
    </row>
    <row r="78" spans="4:10" x14ac:dyDescent="0.3">
      <c r="D78" s="31">
        <v>21</v>
      </c>
      <c r="E78" s="31">
        <v>22</v>
      </c>
      <c r="F78" s="31">
        <v>-23</v>
      </c>
      <c r="G78" s="31"/>
      <c r="H78" s="31">
        <f t="shared" si="1"/>
        <v>198.94736814129658</v>
      </c>
      <c r="I78" s="31" t="s">
        <v>9</v>
      </c>
      <c r="J78" s="31">
        <v>110</v>
      </c>
    </row>
    <row r="79" spans="4:10" x14ac:dyDescent="0.3">
      <c r="D79" s="31">
        <v>21</v>
      </c>
      <c r="E79" s="31">
        <v>22</v>
      </c>
      <c r="F79" s="31">
        <v>-23</v>
      </c>
      <c r="G79" s="31"/>
      <c r="H79" s="31">
        <f t="shared" si="1"/>
        <v>198.94736814129658</v>
      </c>
      <c r="I79" s="31" t="s">
        <v>9</v>
      </c>
      <c r="J79" s="31">
        <v>110</v>
      </c>
    </row>
    <row r="80" spans="4:10" x14ac:dyDescent="0.3">
      <c r="D80" s="31">
        <v>21</v>
      </c>
      <c r="E80" s="31">
        <v>22</v>
      </c>
      <c r="F80" s="31">
        <v>-23</v>
      </c>
      <c r="G80" s="31"/>
      <c r="H80" s="31">
        <f t="shared" si="1"/>
        <v>198.94736814129658</v>
      </c>
      <c r="I80" s="31" t="s">
        <v>9</v>
      </c>
      <c r="J80" s="31">
        <v>110</v>
      </c>
    </row>
    <row r="81" spans="4:10" x14ac:dyDescent="0.3">
      <c r="D81" s="31">
        <v>21</v>
      </c>
      <c r="E81" s="31">
        <v>22</v>
      </c>
      <c r="F81" s="31">
        <v>-23</v>
      </c>
      <c r="G81" s="31"/>
      <c r="H81" s="31">
        <f t="shared" si="1"/>
        <v>198.94736814129658</v>
      </c>
      <c r="I81" s="31" t="s">
        <v>9</v>
      </c>
      <c r="J81" s="31">
        <v>110</v>
      </c>
    </row>
    <row r="82" spans="4:10" x14ac:dyDescent="0.3">
      <c r="D82" s="31">
        <v>21</v>
      </c>
      <c r="E82" s="31">
        <v>22</v>
      </c>
      <c r="F82" s="31">
        <v>-23</v>
      </c>
      <c r="G82" s="31"/>
      <c r="H82" s="31">
        <f t="shared" si="1"/>
        <v>198.94736814129658</v>
      </c>
      <c r="I82" s="31" t="s">
        <v>9</v>
      </c>
      <c r="J82" s="31">
        <v>110</v>
      </c>
    </row>
    <row r="83" spans="4:10" x14ac:dyDescent="0.3">
      <c r="D83" s="31">
        <v>21</v>
      </c>
      <c r="E83" s="31">
        <v>22</v>
      </c>
      <c r="F83" s="31">
        <v>-23</v>
      </c>
      <c r="G83" s="31"/>
      <c r="H83" s="31">
        <f t="shared" si="1"/>
        <v>198.94736814129658</v>
      </c>
      <c r="I83" s="31" t="s">
        <v>9</v>
      </c>
      <c r="J83" s="31">
        <v>110</v>
      </c>
    </row>
    <row r="84" spans="4:10" x14ac:dyDescent="0.3">
      <c r="D84" s="31">
        <v>21</v>
      </c>
      <c r="E84" s="31">
        <v>22</v>
      </c>
      <c r="F84" s="31">
        <v>-23</v>
      </c>
      <c r="G84" s="31"/>
      <c r="H84" s="31">
        <f t="shared" si="1"/>
        <v>198.94736814129658</v>
      </c>
      <c r="I84" s="31" t="s">
        <v>9</v>
      </c>
      <c r="J84" s="31">
        <v>110</v>
      </c>
    </row>
    <row r="85" spans="4:10" x14ac:dyDescent="0.3">
      <c r="D85" s="31">
        <v>21</v>
      </c>
      <c r="E85" s="31">
        <v>22</v>
      </c>
      <c r="F85" s="31">
        <v>-23</v>
      </c>
      <c r="G85" s="31"/>
      <c r="H85" s="31">
        <f t="shared" si="1"/>
        <v>198.94736814129658</v>
      </c>
      <c r="I85" s="31" t="s">
        <v>9</v>
      </c>
      <c r="J85" s="31">
        <v>110</v>
      </c>
    </row>
    <row r="86" spans="4:10" x14ac:dyDescent="0.3">
      <c r="D86" s="31">
        <v>21</v>
      </c>
      <c r="E86" s="31">
        <v>22</v>
      </c>
      <c r="F86" s="31">
        <v>-23</v>
      </c>
      <c r="G86" s="31"/>
      <c r="H86" s="31">
        <f t="shared" si="1"/>
        <v>198.94736814129658</v>
      </c>
      <c r="I86" s="31" t="s">
        <v>9</v>
      </c>
      <c r="J86" s="31">
        <v>110</v>
      </c>
    </row>
    <row r="87" spans="4:10" x14ac:dyDescent="0.3">
      <c r="D87" s="31">
        <v>21</v>
      </c>
      <c r="E87" s="31">
        <v>22</v>
      </c>
      <c r="F87" s="31">
        <v>-23</v>
      </c>
      <c r="G87" s="31"/>
      <c r="H87" s="31">
        <f t="shared" si="1"/>
        <v>198.94736814129658</v>
      </c>
      <c r="I87" s="31" t="s">
        <v>9</v>
      </c>
      <c r="J87" s="31">
        <v>110</v>
      </c>
    </row>
    <row r="88" spans="4:10" x14ac:dyDescent="0.3">
      <c r="D88" s="31">
        <v>21</v>
      </c>
      <c r="E88" s="31">
        <v>22</v>
      </c>
      <c r="F88" s="31">
        <v>-23</v>
      </c>
      <c r="G88" s="31"/>
      <c r="H88" s="31">
        <f t="shared" si="1"/>
        <v>198.94736814129658</v>
      </c>
      <c r="I88" s="31" t="s">
        <v>9</v>
      </c>
      <c r="J88" s="31">
        <v>110</v>
      </c>
    </row>
    <row r="89" spans="4:10" x14ac:dyDescent="0.3">
      <c r="D89" s="31">
        <v>21</v>
      </c>
      <c r="E89" s="31">
        <v>22</v>
      </c>
      <c r="F89" s="31">
        <v>-23</v>
      </c>
      <c r="G89" s="31"/>
      <c r="H89" s="31">
        <f t="shared" si="1"/>
        <v>198.94736814129658</v>
      </c>
      <c r="I89" s="31" t="s">
        <v>9</v>
      </c>
      <c r="J89" s="31">
        <v>110</v>
      </c>
    </row>
    <row r="90" spans="4:10" x14ac:dyDescent="0.3">
      <c r="D90" s="31">
        <v>21</v>
      </c>
      <c r="E90" s="31">
        <v>22</v>
      </c>
      <c r="F90" s="31">
        <v>-23</v>
      </c>
      <c r="G90" s="31"/>
      <c r="H90" s="31">
        <f t="shared" si="1"/>
        <v>198.94736814129658</v>
      </c>
      <c r="I90" s="31" t="s">
        <v>9</v>
      </c>
      <c r="J90" s="31">
        <v>110</v>
      </c>
    </row>
    <row r="91" spans="4:10" x14ac:dyDescent="0.3">
      <c r="D91" s="31">
        <v>21</v>
      </c>
      <c r="E91" s="31">
        <v>22</v>
      </c>
      <c r="F91" s="31">
        <v>-23</v>
      </c>
      <c r="G91" s="31"/>
      <c r="H91" s="31">
        <f t="shared" si="1"/>
        <v>198.94736814129658</v>
      </c>
      <c r="I91" s="31" t="s">
        <v>9</v>
      </c>
      <c r="J91" s="31">
        <v>110</v>
      </c>
    </row>
    <row r="92" spans="4:10" x14ac:dyDescent="0.3">
      <c r="D92" s="31">
        <v>21</v>
      </c>
      <c r="E92" s="31">
        <v>22</v>
      </c>
      <c r="F92" s="31">
        <v>-23</v>
      </c>
      <c r="G92" s="31"/>
      <c r="H92" s="31">
        <f t="shared" si="1"/>
        <v>198.94736814129658</v>
      </c>
      <c r="I92" s="31" t="s">
        <v>9</v>
      </c>
      <c r="J92" s="31">
        <v>110</v>
      </c>
    </row>
    <row r="93" spans="4:10" x14ac:dyDescent="0.3">
      <c r="D93" s="31">
        <v>21</v>
      </c>
      <c r="E93" s="31">
        <v>22</v>
      </c>
      <c r="F93" s="31">
        <v>-23</v>
      </c>
      <c r="G93" s="31"/>
      <c r="H93" s="31">
        <f t="shared" si="1"/>
        <v>198.94736814129658</v>
      </c>
      <c r="I93" s="31" t="s">
        <v>9</v>
      </c>
      <c r="J93" s="31">
        <v>110</v>
      </c>
    </row>
    <row r="94" spans="4:10" x14ac:dyDescent="0.3">
      <c r="D94" s="31">
        <v>21</v>
      </c>
      <c r="E94" s="31">
        <v>22</v>
      </c>
      <c r="F94" s="31">
        <v>-23</v>
      </c>
      <c r="G94" s="31"/>
      <c r="H94" s="31">
        <f t="shared" si="1"/>
        <v>198.94736814129658</v>
      </c>
      <c r="I94" s="31" t="s">
        <v>9</v>
      </c>
      <c r="J94" s="31">
        <v>110</v>
      </c>
    </row>
    <row r="95" spans="4:10" x14ac:dyDescent="0.3">
      <c r="D95" s="31">
        <v>21</v>
      </c>
      <c r="E95" s="31">
        <v>22</v>
      </c>
      <c r="F95" s="31">
        <v>-23</v>
      </c>
      <c r="G95" s="31"/>
      <c r="H95" s="31">
        <f t="shared" si="1"/>
        <v>198.94736814129658</v>
      </c>
      <c r="I95" s="31" t="s">
        <v>9</v>
      </c>
      <c r="J95" s="31">
        <v>110</v>
      </c>
    </row>
    <row r="96" spans="4:10" x14ac:dyDescent="0.3">
      <c r="D96" s="31">
        <v>21</v>
      </c>
      <c r="E96" s="31">
        <v>22</v>
      </c>
      <c r="F96" s="31">
        <v>-23</v>
      </c>
      <c r="G96" s="31"/>
      <c r="H96" s="31">
        <f t="shared" si="1"/>
        <v>198.94736814129658</v>
      </c>
      <c r="I96" s="31" t="s">
        <v>9</v>
      </c>
      <c r="J96" s="31">
        <v>110</v>
      </c>
    </row>
    <row r="97" spans="4:10" x14ac:dyDescent="0.3">
      <c r="D97" s="31">
        <v>21</v>
      </c>
      <c r="E97" s="31">
        <v>22</v>
      </c>
      <c r="F97" s="31">
        <v>-23</v>
      </c>
      <c r="G97" s="31"/>
      <c r="H97" s="31">
        <f t="shared" si="1"/>
        <v>198.94736814129658</v>
      </c>
      <c r="I97" s="31" t="s">
        <v>9</v>
      </c>
      <c r="J97" s="31">
        <v>110</v>
      </c>
    </row>
    <row r="98" spans="4:10" x14ac:dyDescent="0.3">
      <c r="D98" s="31">
        <v>21</v>
      </c>
      <c r="E98" s="31">
        <v>22</v>
      </c>
      <c r="F98" s="31">
        <v>-23</v>
      </c>
      <c r="G98" s="31"/>
      <c r="H98" s="31">
        <f t="shared" si="1"/>
        <v>198.94736814129658</v>
      </c>
      <c r="I98" s="31" t="s">
        <v>9</v>
      </c>
      <c r="J98" s="31">
        <v>110</v>
      </c>
    </row>
    <row r="99" spans="4:10" x14ac:dyDescent="0.3">
      <c r="D99" s="31">
        <v>21</v>
      </c>
      <c r="E99" s="31">
        <v>22</v>
      </c>
      <c r="F99" s="31">
        <v>-23</v>
      </c>
      <c r="G99" s="31"/>
      <c r="H99" s="31">
        <f t="shared" si="1"/>
        <v>198.94736814129658</v>
      </c>
      <c r="I99" s="31" t="s">
        <v>9</v>
      </c>
      <c r="J99" s="31">
        <v>110</v>
      </c>
    </row>
    <row r="100" spans="4:10" x14ac:dyDescent="0.3">
      <c r="D100" s="31">
        <v>21</v>
      </c>
      <c r="E100" s="31">
        <v>22</v>
      </c>
      <c r="F100" s="31">
        <v>-23</v>
      </c>
      <c r="G100" s="31"/>
      <c r="H100" s="31">
        <f t="shared" si="1"/>
        <v>198.94736814129658</v>
      </c>
      <c r="I100" s="31" t="s">
        <v>9</v>
      </c>
      <c r="J100" s="31">
        <v>110</v>
      </c>
    </row>
    <row r="101" spans="4:10" x14ac:dyDescent="0.3">
      <c r="D101" s="31">
        <v>21</v>
      </c>
      <c r="E101" s="31">
        <v>22</v>
      </c>
      <c r="F101" s="31">
        <v>-23</v>
      </c>
      <c r="G101" s="31"/>
      <c r="H101" s="31">
        <f t="shared" si="1"/>
        <v>198.94736814129658</v>
      </c>
      <c r="I101" s="31" t="s">
        <v>9</v>
      </c>
      <c r="J101" s="31">
        <v>110</v>
      </c>
    </row>
    <row r="102" spans="4:10" x14ac:dyDescent="0.3">
      <c r="D102" s="31">
        <v>21</v>
      </c>
      <c r="E102" s="31">
        <v>22</v>
      </c>
      <c r="F102" s="31">
        <v>-23</v>
      </c>
      <c r="G102" s="31"/>
      <c r="H102" s="31">
        <f t="shared" si="1"/>
        <v>198.94736814129658</v>
      </c>
      <c r="I102" s="31" t="s">
        <v>9</v>
      </c>
      <c r="J102" s="31">
        <v>110</v>
      </c>
    </row>
    <row r="103" spans="4:10" x14ac:dyDescent="0.3">
      <c r="D103" s="31">
        <v>21</v>
      </c>
      <c r="E103" s="31">
        <v>22</v>
      </c>
      <c r="F103" s="31">
        <v>-23</v>
      </c>
      <c r="G103" s="31"/>
      <c r="H103" s="31">
        <f t="shared" si="1"/>
        <v>198.94736814129658</v>
      </c>
      <c r="I103" s="31" t="s">
        <v>9</v>
      </c>
      <c r="J103" s="31">
        <v>110</v>
      </c>
    </row>
    <row r="104" spans="4:10" x14ac:dyDescent="0.3">
      <c r="D104" s="31">
        <v>21</v>
      </c>
      <c r="E104" s="31">
        <v>22</v>
      </c>
      <c r="F104" s="31">
        <v>-23</v>
      </c>
      <c r="G104" s="31"/>
      <c r="H104" s="31">
        <f t="shared" si="1"/>
        <v>198.94736814129658</v>
      </c>
      <c r="I104" s="31" t="s">
        <v>9</v>
      </c>
      <c r="J104" s="31">
        <v>110</v>
      </c>
    </row>
    <row r="105" spans="4:10" x14ac:dyDescent="0.3">
      <c r="D105" s="31">
        <v>21</v>
      </c>
      <c r="E105" s="31">
        <v>22</v>
      </c>
      <c r="F105" s="31">
        <v>-23</v>
      </c>
      <c r="G105" s="31"/>
      <c r="H105" s="31">
        <f t="shared" si="1"/>
        <v>198.94736814129658</v>
      </c>
      <c r="I105" s="31" t="s">
        <v>9</v>
      </c>
      <c r="J105" s="31">
        <v>110</v>
      </c>
    </row>
    <row r="106" spans="4:10" x14ac:dyDescent="0.3">
      <c r="D106" s="31">
        <v>21</v>
      </c>
      <c r="E106" s="31">
        <v>22</v>
      </c>
      <c r="F106" s="31">
        <v>-23</v>
      </c>
      <c r="G106" s="31"/>
      <c r="H106" s="31">
        <f t="shared" si="1"/>
        <v>198.94736814129658</v>
      </c>
      <c r="I106" s="31" t="s">
        <v>9</v>
      </c>
      <c r="J106" s="31">
        <v>110</v>
      </c>
    </row>
    <row r="107" spans="4:10" x14ac:dyDescent="0.3">
      <c r="D107" s="31">
        <v>21</v>
      </c>
      <c r="E107" s="31">
        <v>22</v>
      </c>
      <c r="F107" s="31">
        <v>-23</v>
      </c>
      <c r="G107" s="31"/>
      <c r="H107" s="31">
        <f t="shared" si="1"/>
        <v>198.94736814129658</v>
      </c>
      <c r="I107" s="31" t="s">
        <v>9</v>
      </c>
      <c r="J107" s="31">
        <v>110</v>
      </c>
    </row>
    <row r="108" spans="4:10" x14ac:dyDescent="0.3">
      <c r="D108" s="31">
        <v>21</v>
      </c>
      <c r="E108" s="31">
        <v>22</v>
      </c>
      <c r="F108" s="31">
        <v>-23</v>
      </c>
      <c r="G108" s="31"/>
      <c r="H108" s="31">
        <f t="shared" si="1"/>
        <v>198.94736814129658</v>
      </c>
      <c r="I108" s="31" t="s">
        <v>9</v>
      </c>
      <c r="J108" s="31">
        <v>110</v>
      </c>
    </row>
    <row r="109" spans="4:10" x14ac:dyDescent="0.3">
      <c r="D109" s="31">
        <v>21</v>
      </c>
      <c r="E109" s="31">
        <v>22</v>
      </c>
      <c r="F109" s="31">
        <v>-23</v>
      </c>
      <c r="G109" s="31"/>
      <c r="H109" s="31">
        <f t="shared" si="1"/>
        <v>198.94736814129658</v>
      </c>
      <c r="I109" s="31" t="s">
        <v>9</v>
      </c>
      <c r="J109" s="31">
        <v>110</v>
      </c>
    </row>
    <row r="110" spans="4:10" x14ac:dyDescent="0.3">
      <c r="D110" s="31">
        <v>21</v>
      </c>
      <c r="E110" s="31">
        <v>22</v>
      </c>
      <c r="F110" s="31">
        <v>-23</v>
      </c>
      <c r="G110" s="31"/>
      <c r="H110" s="31">
        <f t="shared" si="1"/>
        <v>198.94736814129658</v>
      </c>
      <c r="I110" s="31" t="s">
        <v>9</v>
      </c>
      <c r="J110" s="31">
        <v>110</v>
      </c>
    </row>
    <row r="111" spans="4:10" x14ac:dyDescent="0.3">
      <c r="D111" s="31">
        <v>21</v>
      </c>
      <c r="E111" s="31">
        <v>22</v>
      </c>
      <c r="F111" s="31">
        <v>-23</v>
      </c>
      <c r="G111" s="31"/>
      <c r="H111" s="31">
        <f t="shared" si="1"/>
        <v>198.94736814129658</v>
      </c>
      <c r="I111" s="31" t="s">
        <v>9</v>
      </c>
      <c r="J111" s="31">
        <v>110</v>
      </c>
    </row>
    <row r="112" spans="4:10" x14ac:dyDescent="0.3">
      <c r="D112" s="31">
        <v>21</v>
      </c>
      <c r="E112" s="31">
        <v>22</v>
      </c>
      <c r="F112" s="31">
        <v>-23</v>
      </c>
      <c r="G112" s="31"/>
      <c r="H112" s="31">
        <f t="shared" si="1"/>
        <v>198.94736814129658</v>
      </c>
      <c r="I112" s="31" t="s">
        <v>9</v>
      </c>
      <c r="J112" s="31">
        <v>110</v>
      </c>
    </row>
    <row r="113" spans="4:10" x14ac:dyDescent="0.3">
      <c r="D113" s="31">
        <v>21</v>
      </c>
      <c r="E113" s="31">
        <v>22</v>
      </c>
      <c r="F113" s="31">
        <v>-23</v>
      </c>
      <c r="G113" s="31"/>
      <c r="H113" s="31">
        <f t="shared" si="1"/>
        <v>198.94736814129658</v>
      </c>
      <c r="I113" s="31" t="s">
        <v>9</v>
      </c>
      <c r="J113" s="31">
        <v>110</v>
      </c>
    </row>
    <row r="114" spans="4:10" x14ac:dyDescent="0.3">
      <c r="D114" s="31">
        <v>21</v>
      </c>
      <c r="E114" s="31">
        <v>22</v>
      </c>
      <c r="F114" s="31">
        <v>-23</v>
      </c>
      <c r="G114" s="31"/>
      <c r="H114" s="31">
        <f t="shared" si="1"/>
        <v>198.94736814129658</v>
      </c>
      <c r="I114" s="31" t="s">
        <v>9</v>
      </c>
      <c r="J114" s="31">
        <v>110</v>
      </c>
    </row>
    <row r="115" spans="4:10" x14ac:dyDescent="0.3">
      <c r="D115" s="31">
        <v>21</v>
      </c>
      <c r="E115" s="31">
        <v>22</v>
      </c>
      <c r="F115" s="31">
        <v>-23</v>
      </c>
      <c r="G115" s="31"/>
      <c r="H115" s="31">
        <f t="shared" si="1"/>
        <v>198.94736814129658</v>
      </c>
      <c r="I115" s="31" t="s">
        <v>9</v>
      </c>
      <c r="J115" s="31">
        <v>110</v>
      </c>
    </row>
    <row r="116" spans="4:10" x14ac:dyDescent="0.3">
      <c r="D116" s="31">
        <v>21</v>
      </c>
      <c r="E116" s="31">
        <v>22</v>
      </c>
      <c r="F116" s="31">
        <v>-23</v>
      </c>
      <c r="G116" s="31"/>
      <c r="H116" s="31">
        <f t="shared" si="1"/>
        <v>198.94736814129658</v>
      </c>
      <c r="I116" s="31" t="s">
        <v>9</v>
      </c>
      <c r="J116" s="31">
        <v>110</v>
      </c>
    </row>
    <row r="117" spans="4:10" x14ac:dyDescent="0.3">
      <c r="D117" s="31">
        <v>21</v>
      </c>
      <c r="E117" s="31">
        <v>22</v>
      </c>
      <c r="F117" s="31">
        <v>-23</v>
      </c>
      <c r="G117" s="31"/>
      <c r="H117" s="31">
        <f t="shared" si="1"/>
        <v>198.94736814129658</v>
      </c>
      <c r="I117" s="31" t="s">
        <v>9</v>
      </c>
      <c r="J117" s="31">
        <v>110</v>
      </c>
    </row>
    <row r="118" spans="4:10" x14ac:dyDescent="0.3">
      <c r="D118" s="31">
        <v>21</v>
      </c>
      <c r="E118" s="31">
        <v>22</v>
      </c>
      <c r="F118" s="31">
        <v>-23</v>
      </c>
      <c r="G118" s="31"/>
      <c r="H118" s="31">
        <f t="shared" si="1"/>
        <v>198.94736814129658</v>
      </c>
      <c r="I118" s="31" t="s">
        <v>9</v>
      </c>
      <c r="J118" s="31">
        <v>110</v>
      </c>
    </row>
    <row r="119" spans="4:10" x14ac:dyDescent="0.3">
      <c r="D119" s="31">
        <v>21</v>
      </c>
      <c r="E119" s="31">
        <v>22</v>
      </c>
      <c r="F119" s="31">
        <v>-23</v>
      </c>
      <c r="G119" s="31"/>
      <c r="H119" s="31">
        <f t="shared" si="1"/>
        <v>198.94736814129658</v>
      </c>
      <c r="I119" s="31" t="s">
        <v>9</v>
      </c>
      <c r="J119" s="31">
        <v>110</v>
      </c>
    </row>
    <row r="120" spans="4:10" x14ac:dyDescent="0.3">
      <c r="D120" s="31">
        <v>21</v>
      </c>
      <c r="E120" s="31">
        <v>22</v>
      </c>
      <c r="F120" s="31">
        <v>-23</v>
      </c>
      <c r="G120" s="31"/>
      <c r="H120" s="31">
        <f t="shared" si="1"/>
        <v>198.94736814129658</v>
      </c>
      <c r="I120" s="31" t="s">
        <v>9</v>
      </c>
      <c r="J120" s="31">
        <v>110</v>
      </c>
    </row>
    <row r="121" spans="4:10" x14ac:dyDescent="0.3">
      <c r="D121" s="31">
        <v>21</v>
      </c>
      <c r="E121" s="31">
        <v>22</v>
      </c>
      <c r="F121" s="31">
        <v>-23</v>
      </c>
      <c r="G121" s="31"/>
      <c r="H121" s="31">
        <f t="shared" si="1"/>
        <v>198.94736814129658</v>
      </c>
      <c r="I121" s="31" t="s">
        <v>9</v>
      </c>
      <c r="J121" s="31">
        <v>110</v>
      </c>
    </row>
    <row r="122" spans="4:10" x14ac:dyDescent="0.3">
      <c r="D122" s="31">
        <v>21</v>
      </c>
      <c r="E122" s="31">
        <v>22</v>
      </c>
      <c r="F122" s="31">
        <v>-23</v>
      </c>
      <c r="G122" s="31"/>
      <c r="H122" s="31">
        <f t="shared" si="1"/>
        <v>198.94736814129658</v>
      </c>
      <c r="I122" s="31" t="s">
        <v>9</v>
      </c>
      <c r="J122" s="31">
        <v>110</v>
      </c>
    </row>
    <row r="123" spans="4:10" x14ac:dyDescent="0.3">
      <c r="D123" s="31">
        <v>21</v>
      </c>
      <c r="E123" s="31">
        <v>22</v>
      </c>
      <c r="F123" s="31">
        <v>-23</v>
      </c>
      <c r="G123" s="31"/>
      <c r="H123" s="31">
        <f t="shared" si="1"/>
        <v>198.94736814129658</v>
      </c>
      <c r="I123" s="31" t="s">
        <v>9</v>
      </c>
      <c r="J123" s="31">
        <v>110</v>
      </c>
    </row>
    <row r="124" spans="4:10" x14ac:dyDescent="0.3">
      <c r="D124" s="31">
        <v>21</v>
      </c>
      <c r="E124" s="31">
        <v>22</v>
      </c>
      <c r="F124" s="31">
        <v>-23</v>
      </c>
      <c r="G124" s="31"/>
      <c r="H124" s="31">
        <f t="shared" si="1"/>
        <v>198.94736814129658</v>
      </c>
      <c r="I124" s="31" t="s">
        <v>9</v>
      </c>
      <c r="J124" s="31">
        <v>110</v>
      </c>
    </row>
    <row r="125" spans="4:10" x14ac:dyDescent="0.3">
      <c r="D125" s="31">
        <v>21</v>
      </c>
      <c r="E125" s="31">
        <v>22</v>
      </c>
      <c r="F125" s="31">
        <v>-23</v>
      </c>
      <c r="G125" s="31"/>
      <c r="H125" s="31">
        <f t="shared" si="1"/>
        <v>198.94736814129658</v>
      </c>
      <c r="I125" s="31" t="s">
        <v>9</v>
      </c>
      <c r="J125" s="31">
        <v>110</v>
      </c>
    </row>
    <row r="126" spans="4:10" x14ac:dyDescent="0.3">
      <c r="D126" s="31">
        <v>21</v>
      </c>
      <c r="E126" s="31">
        <v>22</v>
      </c>
      <c r="F126" s="31">
        <v>-23</v>
      </c>
      <c r="G126" s="31"/>
      <c r="H126" s="31">
        <f t="shared" si="1"/>
        <v>198.94736814129658</v>
      </c>
      <c r="I126" s="31" t="s">
        <v>9</v>
      </c>
      <c r="J126" s="31">
        <v>110</v>
      </c>
    </row>
    <row r="127" spans="4:10" x14ac:dyDescent="0.3">
      <c r="D127" s="31">
        <v>21</v>
      </c>
      <c r="E127" s="31">
        <v>22</v>
      </c>
      <c r="F127" s="31">
        <v>-23</v>
      </c>
      <c r="G127" s="31"/>
      <c r="H127" s="31">
        <f t="shared" si="1"/>
        <v>198.94736814129658</v>
      </c>
      <c r="I127" s="31" t="s">
        <v>9</v>
      </c>
      <c r="J127" s="31">
        <v>110</v>
      </c>
    </row>
    <row r="128" spans="4:10" x14ac:dyDescent="0.3">
      <c r="D128" s="31">
        <v>21</v>
      </c>
      <c r="E128" s="31">
        <v>22</v>
      </c>
      <c r="F128" s="31">
        <v>-23</v>
      </c>
      <c r="G128" s="31"/>
      <c r="H128" s="31">
        <f t="shared" si="1"/>
        <v>198.94736814129658</v>
      </c>
      <c r="I128" s="31" t="s">
        <v>9</v>
      </c>
      <c r="J128" s="31">
        <v>110</v>
      </c>
    </row>
    <row r="129" spans="4:10" x14ac:dyDescent="0.3">
      <c r="D129" s="31">
        <v>21</v>
      </c>
      <c r="E129" s="31">
        <v>22</v>
      </c>
      <c r="F129" s="31">
        <v>-23</v>
      </c>
      <c r="G129" s="31"/>
      <c r="H129" s="31">
        <f t="shared" si="1"/>
        <v>198.94736814129658</v>
      </c>
      <c r="I129" s="31" t="s">
        <v>9</v>
      </c>
      <c r="J129" s="31">
        <v>110</v>
      </c>
    </row>
    <row r="130" spans="4:10" x14ac:dyDescent="0.3">
      <c r="D130" s="31">
        <v>21</v>
      </c>
      <c r="E130" s="31">
        <v>22</v>
      </c>
      <c r="F130" s="31">
        <v>-23</v>
      </c>
      <c r="G130" s="31"/>
      <c r="H130" s="31">
        <f t="shared" si="1"/>
        <v>198.94736814129658</v>
      </c>
      <c r="I130" s="31" t="s">
        <v>9</v>
      </c>
      <c r="J130" s="31">
        <v>110</v>
      </c>
    </row>
    <row r="131" spans="4:10" x14ac:dyDescent="0.3">
      <c r="D131" s="31">
        <v>21</v>
      </c>
      <c r="E131" s="31">
        <v>22</v>
      </c>
      <c r="F131" s="31">
        <v>-23</v>
      </c>
      <c r="G131" s="31"/>
      <c r="H131" s="31">
        <f t="shared" si="1"/>
        <v>198.94736814129658</v>
      </c>
      <c r="I131" s="31" t="s">
        <v>9</v>
      </c>
      <c r="J131" s="31">
        <v>110</v>
      </c>
    </row>
    <row r="132" spans="4:10" x14ac:dyDescent="0.3">
      <c r="D132" s="31">
        <v>21</v>
      </c>
      <c r="E132" s="31">
        <v>22</v>
      </c>
      <c r="F132" s="31">
        <v>-23</v>
      </c>
      <c r="G132" s="31"/>
      <c r="H132" s="31">
        <f t="shared" si="1"/>
        <v>198.94736814129658</v>
      </c>
      <c r="I132" s="31" t="s">
        <v>9</v>
      </c>
      <c r="J132" s="31">
        <v>110</v>
      </c>
    </row>
    <row r="133" spans="4:10" x14ac:dyDescent="0.3">
      <c r="D133" s="31">
        <v>21</v>
      </c>
      <c r="E133" s="31">
        <v>22</v>
      </c>
      <c r="F133" s="31">
        <v>-23</v>
      </c>
      <c r="G133" s="31"/>
      <c r="H133" s="31">
        <f t="shared" si="1"/>
        <v>198.94736814129658</v>
      </c>
      <c r="I133" s="31" t="s">
        <v>9</v>
      </c>
      <c r="J133" s="31">
        <v>110</v>
      </c>
    </row>
    <row r="134" spans="4:10" x14ac:dyDescent="0.3">
      <c r="D134" s="31">
        <v>21</v>
      </c>
      <c r="E134" s="31">
        <v>22</v>
      </c>
      <c r="F134" s="31">
        <v>-23</v>
      </c>
      <c r="G134" s="31"/>
      <c r="H134" s="31">
        <f t="shared" si="1"/>
        <v>198.94736814129658</v>
      </c>
      <c r="I134" s="31" t="s">
        <v>9</v>
      </c>
      <c r="J134" s="31">
        <v>110</v>
      </c>
    </row>
    <row r="135" spans="4:10" x14ac:dyDescent="0.3">
      <c r="D135" s="31">
        <v>21</v>
      </c>
      <c r="E135" s="31">
        <v>22</v>
      </c>
      <c r="F135" s="31">
        <v>-23</v>
      </c>
      <c r="G135" s="31"/>
      <c r="H135" s="31">
        <f t="shared" si="1"/>
        <v>198.94736814129658</v>
      </c>
      <c r="I135" s="31" t="s">
        <v>9</v>
      </c>
      <c r="J135" s="31">
        <v>110</v>
      </c>
    </row>
    <row r="136" spans="4:10" x14ac:dyDescent="0.3">
      <c r="D136" s="31">
        <v>21</v>
      </c>
      <c r="E136" s="31">
        <v>22</v>
      </c>
      <c r="F136" s="31">
        <v>-23</v>
      </c>
      <c r="G136" s="31"/>
      <c r="H136" s="31">
        <f t="shared" si="1"/>
        <v>198.94736814129658</v>
      </c>
      <c r="I136" s="31" t="s">
        <v>9</v>
      </c>
      <c r="J136" s="31">
        <v>110</v>
      </c>
    </row>
    <row r="137" spans="4:10" x14ac:dyDescent="0.3">
      <c r="D137" s="31">
        <v>21</v>
      </c>
      <c r="E137" s="31">
        <v>22</v>
      </c>
      <c r="F137" s="31">
        <v>-23</v>
      </c>
      <c r="G137" s="31"/>
      <c r="H137" s="31">
        <f t="shared" si="1"/>
        <v>198.94736814129658</v>
      </c>
      <c r="I137" s="31" t="s">
        <v>9</v>
      </c>
      <c r="J137" s="31">
        <v>110</v>
      </c>
    </row>
    <row r="138" spans="4:10" x14ac:dyDescent="0.3">
      <c r="D138" s="31">
        <v>21</v>
      </c>
      <c r="E138" s="31">
        <v>22</v>
      </c>
      <c r="F138" s="31">
        <v>-23</v>
      </c>
      <c r="G138" s="31"/>
      <c r="H138" s="31">
        <f t="shared" si="1"/>
        <v>198.94736814129658</v>
      </c>
      <c r="I138" s="31" t="s">
        <v>9</v>
      </c>
      <c r="J138" s="31">
        <v>110</v>
      </c>
    </row>
    <row r="139" spans="4:10" x14ac:dyDescent="0.3">
      <c r="D139" s="31">
        <v>19</v>
      </c>
      <c r="E139" s="31">
        <v>34</v>
      </c>
      <c r="F139" s="31">
        <v>-32</v>
      </c>
      <c r="G139" s="31"/>
      <c r="H139" s="31">
        <f t="shared" si="1"/>
        <v>179.99999974688737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 xr:uid="{00000000-0002-0000-3D00-000000000000}">
      <formula1>TestType</formula1>
    </dataValidation>
    <dataValidation type="list" allowBlank="1" showInputMessage="1" showErrorMessage="1" sqref="A4:B4" xr:uid="{00000000-0002-0000-3D00-000001000000}">
      <formula1>ModelType</formula1>
    </dataValidation>
    <dataValidation type="list" allowBlank="1" showInputMessage="1" showErrorMessage="1" sqref="A8:B8" xr:uid="{00000000-0002-0000-3D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NonLinObj"/>
  <dimension ref="A1:J20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.33203125" style="65" customWidth="1"/>
  </cols>
  <sheetData>
    <row r="1" spans="1:10" x14ac:dyDescent="0.3">
      <c r="A1" s="62" t="s">
        <v>203</v>
      </c>
      <c r="C1" t="s">
        <v>80</v>
      </c>
    </row>
    <row r="2" spans="1:10" ht="15" thickBot="1" x14ac:dyDescent="0.35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3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" thickBot="1" x14ac:dyDescent="0.35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3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" thickBot="1" x14ac:dyDescent="0.35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3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3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" thickBot="1" x14ac:dyDescent="0.35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" thickBot="1" x14ac:dyDescent="0.35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3">
      <c r="D11" s="1"/>
      <c r="E11" s="1"/>
      <c r="F11" s="1"/>
      <c r="G11" s="1"/>
      <c r="H11" s="1"/>
      <c r="I11" s="1"/>
      <c r="J11" s="1"/>
    </row>
    <row r="12" spans="1:10" x14ac:dyDescent="0.3">
      <c r="D12" s="1"/>
      <c r="E12" s="1"/>
      <c r="F12" s="1"/>
      <c r="G12" s="1"/>
      <c r="H12" s="1"/>
      <c r="I12" s="1"/>
      <c r="J12" s="1"/>
    </row>
    <row r="13" spans="1:10" x14ac:dyDescent="0.3">
      <c r="D13" s="1"/>
      <c r="E13" s="1"/>
      <c r="F13" s="1"/>
      <c r="G13" s="1"/>
      <c r="H13" s="1"/>
      <c r="I13" s="1"/>
      <c r="J13" s="1"/>
    </row>
    <row r="14" spans="1:10" x14ac:dyDescent="0.3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3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3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3">
      <c r="D17" s="1"/>
      <c r="E17" s="1"/>
      <c r="F17" s="1"/>
      <c r="G17" s="1"/>
      <c r="H17" s="1"/>
      <c r="I17" s="1"/>
      <c r="J17" s="1"/>
    </row>
    <row r="18" spans="3:10" x14ac:dyDescent="0.3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3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3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 xr:uid="{00000000-0002-0000-3E00-000000000000}">
      <formula1>TestType</formula1>
    </dataValidation>
    <dataValidation type="list" allowBlank="1" showInputMessage="1" showErrorMessage="1" sqref="A4:B4" xr:uid="{00000000-0002-0000-3E00-000001000000}">
      <formula1>ModelType</formula1>
    </dataValidation>
    <dataValidation type="list" allowBlank="1" showInputMessage="1" showErrorMessage="1" sqref="A8:B8" xr:uid="{00000000-0002-0000-3E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NonLinPruning"/>
  <dimension ref="A1:O87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.88671875" customWidth="1"/>
    <col min="15" max="15" width="9.109375" customWidth="1"/>
  </cols>
  <sheetData>
    <row r="1" spans="1:15" x14ac:dyDescent="0.3">
      <c r="A1" s="62" t="s">
        <v>203</v>
      </c>
      <c r="C1" t="s">
        <v>227</v>
      </c>
    </row>
    <row r="2" spans="1:15" ht="15" thickBot="1" x14ac:dyDescent="0.35">
      <c r="A2" s="63" t="s">
        <v>204</v>
      </c>
    </row>
    <row r="3" spans="1:15" x14ac:dyDescent="0.3">
      <c r="A3" s="62" t="s">
        <v>208</v>
      </c>
    </row>
    <row r="4" spans="1:15" ht="15" thickBot="1" x14ac:dyDescent="0.35">
      <c r="A4" s="63" t="s">
        <v>207</v>
      </c>
    </row>
    <row r="5" spans="1:15" x14ac:dyDescent="0.3">
      <c r="A5" s="62" t="s">
        <v>209</v>
      </c>
      <c r="D5">
        <v>30.261893787498799</v>
      </c>
      <c r="E5">
        <v>0.66089750096883304</v>
      </c>
    </row>
    <row r="6" spans="1:15" ht="15" thickBot="1" x14ac:dyDescent="0.35">
      <c r="A6" s="63" t="b">
        <f>AND(F22)</f>
        <v>1</v>
      </c>
      <c r="F6">
        <f>D5^2*E5^2</f>
        <v>400.000399149788</v>
      </c>
    </row>
    <row r="7" spans="1:15" x14ac:dyDescent="0.3">
      <c r="A7" s="62" t="s">
        <v>210</v>
      </c>
    </row>
    <row r="8" spans="1:15" x14ac:dyDescent="0.3">
      <c r="A8" s="64" t="s">
        <v>200</v>
      </c>
      <c r="F8">
        <f>D5*E5</f>
        <v>20.000009978742209</v>
      </c>
      <c r="G8" t="s">
        <v>8</v>
      </c>
      <c r="H8">
        <v>20</v>
      </c>
    </row>
    <row r="9" spans="1:15" ht="15" thickBot="1" x14ac:dyDescent="0.35">
      <c r="A9" s="63">
        <f>VLOOKUP(A8,OpenSolverResultCodes,2,FALSE)</f>
        <v>0</v>
      </c>
      <c r="F9">
        <f>E5+D5</f>
        <v>30.922791288467632</v>
      </c>
      <c r="H9">
        <v>40</v>
      </c>
    </row>
    <row r="10" spans="1:15" ht="15" thickBot="1" x14ac:dyDescent="0.35">
      <c r="A10" s="156" t="str">
        <f>HYPERLINK("[OpenSolver Tester.xlsm]Results!A1", "&lt;- Results")</f>
        <v>&lt;- Results</v>
      </c>
      <c r="F10">
        <f>D5</f>
        <v>30.261893787498799</v>
      </c>
      <c r="G10" t="s">
        <v>9</v>
      </c>
      <c r="H10">
        <v>0</v>
      </c>
    </row>
    <row r="11" spans="1:15" x14ac:dyDescent="0.3">
      <c r="F11">
        <f>E5</f>
        <v>0.66089750096883304</v>
      </c>
      <c r="H11">
        <v>0</v>
      </c>
    </row>
    <row r="12" spans="1:15" x14ac:dyDescent="0.3">
      <c r="F12">
        <f>E5*D5+E5+D5</f>
        <v>50.922801267209842</v>
      </c>
      <c r="G12" t="s">
        <v>8</v>
      </c>
      <c r="H12">
        <v>60</v>
      </c>
      <c r="I12" t="s">
        <v>307</v>
      </c>
    </row>
    <row r="13" spans="1:15" x14ac:dyDescent="0.3">
      <c r="F13">
        <f>E5+D5*E5+D5</f>
        <v>50.922801267209842</v>
      </c>
      <c r="G13" t="s">
        <v>8</v>
      </c>
      <c r="H13">
        <v>60</v>
      </c>
      <c r="I13" t="s">
        <v>308</v>
      </c>
    </row>
    <row r="14" spans="1:15" x14ac:dyDescent="0.3">
      <c r="F14">
        <f>E5+D5+E5*D5</f>
        <v>50.922801267209842</v>
      </c>
      <c r="G14" t="s">
        <v>8</v>
      </c>
      <c r="H14">
        <v>60</v>
      </c>
      <c r="I14" t="s">
        <v>309</v>
      </c>
    </row>
    <row r="15" spans="1:15" ht="15.75" customHeight="1" x14ac:dyDescent="0.3">
      <c r="F15">
        <f>E5*D5-E5-D5</f>
        <v>-10.922781309725423</v>
      </c>
      <c r="G15" t="s">
        <v>8</v>
      </c>
      <c r="H15">
        <v>0</v>
      </c>
      <c r="O15" s="81"/>
    </row>
    <row r="16" spans="1:15" x14ac:dyDescent="0.3">
      <c r="F16">
        <f>E5-D5*E5+D5</f>
        <v>10.922781309725423</v>
      </c>
      <c r="G16" t="s">
        <v>8</v>
      </c>
      <c r="H16">
        <v>60</v>
      </c>
      <c r="O16" s="81"/>
    </row>
    <row r="17" spans="6:15" x14ac:dyDescent="0.3">
      <c r="F17">
        <f>E5-D5+E5*D5</f>
        <v>-9.6009863077877569</v>
      </c>
      <c r="G17" t="s">
        <v>8</v>
      </c>
      <c r="H17">
        <v>0</v>
      </c>
      <c r="O17" s="81"/>
    </row>
    <row r="18" spans="6:15" x14ac:dyDescent="0.3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3">
      <c r="O19" s="81"/>
    </row>
    <row r="20" spans="6:15" x14ac:dyDescent="0.3">
      <c r="F20" t="s">
        <v>230</v>
      </c>
      <c r="O20" s="81"/>
    </row>
    <row r="21" spans="6:15" x14ac:dyDescent="0.3">
      <c r="F21" s="79">
        <v>400</v>
      </c>
      <c r="O21" s="81"/>
    </row>
    <row r="22" spans="6:15" x14ac:dyDescent="0.3">
      <c r="F22" s="8" t="b">
        <f>ABS(F6-F21)/(1+ABS(F21))&lt;=0.000001</f>
        <v>1</v>
      </c>
      <c r="O22" s="81"/>
    </row>
    <row r="23" spans="6:15" x14ac:dyDescent="0.3">
      <c r="O23" s="81"/>
    </row>
    <row r="24" spans="6:15" x14ac:dyDescent="0.3">
      <c r="O24" s="81"/>
    </row>
    <row r="25" spans="6:15" x14ac:dyDescent="0.3">
      <c r="O25" s="81"/>
    </row>
    <row r="26" spans="6:15" x14ac:dyDescent="0.3">
      <c r="J26" t="e">
        <f>solve</f>
        <v>#NAME?</v>
      </c>
      <c r="O26" s="81"/>
    </row>
    <row r="27" spans="6:15" x14ac:dyDescent="0.3">
      <c r="O27" s="81"/>
    </row>
    <row r="28" spans="6:15" x14ac:dyDescent="0.3">
      <c r="O28" s="81"/>
    </row>
    <row r="29" spans="6:15" x14ac:dyDescent="0.3">
      <c r="O29" s="81"/>
    </row>
    <row r="30" spans="6:15" x14ac:dyDescent="0.3">
      <c r="O30" s="81"/>
    </row>
    <row r="31" spans="6:15" x14ac:dyDescent="0.3">
      <c r="O31" s="81"/>
    </row>
    <row r="32" spans="6:15" x14ac:dyDescent="0.3">
      <c r="O32" s="81"/>
    </row>
    <row r="33" spans="15:15" x14ac:dyDescent="0.3">
      <c r="O33" s="81"/>
    </row>
    <row r="34" spans="15:15" x14ac:dyDescent="0.3">
      <c r="O34" s="81"/>
    </row>
    <row r="35" spans="15:15" x14ac:dyDescent="0.3">
      <c r="O35" s="81"/>
    </row>
    <row r="36" spans="15:15" x14ac:dyDescent="0.3">
      <c r="O36" s="81"/>
    </row>
    <row r="37" spans="15:15" x14ac:dyDescent="0.3">
      <c r="O37" s="81"/>
    </row>
    <row r="38" spans="15:15" x14ac:dyDescent="0.3">
      <c r="O38" s="81"/>
    </row>
    <row r="39" spans="15:15" x14ac:dyDescent="0.3">
      <c r="O39" s="81"/>
    </row>
    <row r="40" spans="15:15" x14ac:dyDescent="0.3">
      <c r="O40" s="81"/>
    </row>
    <row r="41" spans="15:15" x14ac:dyDescent="0.3">
      <c r="O41" s="81"/>
    </row>
    <row r="42" spans="15:15" x14ac:dyDescent="0.3">
      <c r="O42" s="81"/>
    </row>
    <row r="43" spans="15:15" x14ac:dyDescent="0.3">
      <c r="O43" s="81"/>
    </row>
    <row r="44" spans="15:15" x14ac:dyDescent="0.3">
      <c r="O44" s="81"/>
    </row>
    <row r="45" spans="15:15" x14ac:dyDescent="0.3">
      <c r="O45" s="81"/>
    </row>
    <row r="46" spans="15:15" x14ac:dyDescent="0.3">
      <c r="O46" s="81"/>
    </row>
    <row r="47" spans="15:15" x14ac:dyDescent="0.3">
      <c r="O47" s="81"/>
    </row>
    <row r="48" spans="15:15" x14ac:dyDescent="0.3">
      <c r="O48" s="81"/>
    </row>
    <row r="49" spans="15:15" x14ac:dyDescent="0.3">
      <c r="O49" s="81"/>
    </row>
    <row r="50" spans="15:15" x14ac:dyDescent="0.3">
      <c r="O50" s="81"/>
    </row>
    <row r="51" spans="15:15" x14ac:dyDescent="0.3">
      <c r="O51" s="81"/>
    </row>
    <row r="52" spans="15:15" x14ac:dyDescent="0.3">
      <c r="O52" s="81"/>
    </row>
    <row r="53" spans="15:15" x14ac:dyDescent="0.3">
      <c r="O53" s="81"/>
    </row>
    <row r="54" spans="15:15" x14ac:dyDescent="0.3">
      <c r="O54" s="81"/>
    </row>
    <row r="55" spans="15:15" x14ac:dyDescent="0.3">
      <c r="O55" s="81"/>
    </row>
    <row r="56" spans="15:15" x14ac:dyDescent="0.3">
      <c r="O56" s="81"/>
    </row>
    <row r="57" spans="15:15" x14ac:dyDescent="0.3">
      <c r="O57" s="81"/>
    </row>
    <row r="58" spans="15:15" x14ac:dyDescent="0.3">
      <c r="O58" s="81"/>
    </row>
    <row r="59" spans="15:15" x14ac:dyDescent="0.3">
      <c r="O59" s="81"/>
    </row>
    <row r="60" spans="15:15" x14ac:dyDescent="0.3">
      <c r="O60" s="81"/>
    </row>
    <row r="61" spans="15:15" x14ac:dyDescent="0.3">
      <c r="O61" s="81"/>
    </row>
    <row r="62" spans="15:15" x14ac:dyDescent="0.3">
      <c r="O62" s="81"/>
    </row>
    <row r="63" spans="15:15" x14ac:dyDescent="0.3">
      <c r="O63" s="81"/>
    </row>
    <row r="64" spans="15:15" x14ac:dyDescent="0.3">
      <c r="O64" s="81"/>
    </row>
    <row r="65" spans="15:15" x14ac:dyDescent="0.3">
      <c r="O65" s="81"/>
    </row>
    <row r="66" spans="15:15" x14ac:dyDescent="0.3">
      <c r="O66" s="81"/>
    </row>
    <row r="67" spans="15:15" x14ac:dyDescent="0.3">
      <c r="O67" s="81"/>
    </row>
    <row r="68" spans="15:15" x14ac:dyDescent="0.3">
      <c r="O68" s="81"/>
    </row>
    <row r="69" spans="15:15" x14ac:dyDescent="0.3">
      <c r="O69" s="81"/>
    </row>
    <row r="70" spans="15:15" x14ac:dyDescent="0.3">
      <c r="O70" s="81"/>
    </row>
    <row r="71" spans="15:15" x14ac:dyDescent="0.3">
      <c r="O71" s="81"/>
    </row>
    <row r="72" spans="15:15" x14ac:dyDescent="0.3">
      <c r="O72" s="81"/>
    </row>
    <row r="73" spans="15:15" x14ac:dyDescent="0.3">
      <c r="O73" s="81"/>
    </row>
    <row r="74" spans="15:15" x14ac:dyDescent="0.3">
      <c r="O74" s="81"/>
    </row>
    <row r="75" spans="15:15" x14ac:dyDescent="0.3">
      <c r="O75" s="81"/>
    </row>
    <row r="76" spans="15:15" x14ac:dyDescent="0.3">
      <c r="O76" s="81"/>
    </row>
    <row r="77" spans="15:15" x14ac:dyDescent="0.3">
      <c r="O77" s="81"/>
    </row>
    <row r="78" spans="15:15" x14ac:dyDescent="0.3">
      <c r="O78" s="81"/>
    </row>
    <row r="79" spans="15:15" x14ac:dyDescent="0.3">
      <c r="O79" s="81"/>
    </row>
    <row r="80" spans="15:15" x14ac:dyDescent="0.3">
      <c r="O80" s="81"/>
    </row>
    <row r="81" spans="15:15" x14ac:dyDescent="0.3">
      <c r="O81" s="81"/>
    </row>
    <row r="82" spans="15:15" x14ac:dyDescent="0.3">
      <c r="O82" s="81"/>
    </row>
    <row r="83" spans="15:15" x14ac:dyDescent="0.3">
      <c r="O83" s="81"/>
    </row>
    <row r="84" spans="15:15" x14ac:dyDescent="0.3">
      <c r="O84" s="81"/>
    </row>
    <row r="85" spans="15:15" x14ac:dyDescent="0.3">
      <c r="O85" s="81"/>
    </row>
    <row r="86" spans="15:15" x14ac:dyDescent="0.3">
      <c r="O86" s="81"/>
    </row>
    <row r="87" spans="15:15" x14ac:dyDescent="0.3">
      <c r="O87" s="81"/>
    </row>
  </sheetData>
  <dataConsolidate/>
  <dataValidations disablePrompts="1" count="3">
    <dataValidation type="list" allowBlank="1" showInputMessage="1" showErrorMessage="1" sqref="A2" xr:uid="{00000000-0002-0000-3F00-000000000000}">
      <formula1>TestType</formula1>
    </dataValidation>
    <dataValidation type="list" allowBlank="1" showInputMessage="1" showErrorMessage="1" sqref="A4" xr:uid="{00000000-0002-0000-3F00-000001000000}">
      <formula1>ModelType</formula1>
    </dataValidation>
    <dataValidation type="list" allowBlank="1" showInputMessage="1" showErrorMessage="1" sqref="A8" xr:uid="{00000000-0002-0000-3F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NonLinMinMax"/>
  <dimension ref="A1:I12"/>
  <sheetViews>
    <sheetView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" customWidth="1"/>
  </cols>
  <sheetData>
    <row r="1" spans="1:9" x14ac:dyDescent="0.3">
      <c r="A1" s="62" t="s">
        <v>203</v>
      </c>
    </row>
    <row r="2" spans="1:9" ht="15" thickBot="1" x14ac:dyDescent="0.35">
      <c r="A2" s="63" t="s">
        <v>204</v>
      </c>
    </row>
    <row r="3" spans="1:9" x14ac:dyDescent="0.3">
      <c r="A3" s="62" t="s">
        <v>208</v>
      </c>
      <c r="D3" t="s">
        <v>217</v>
      </c>
      <c r="E3" t="s">
        <v>218</v>
      </c>
      <c r="F3" t="s">
        <v>219</v>
      </c>
    </row>
    <row r="4" spans="1:9" ht="15" thickBot="1" x14ac:dyDescent="0.35">
      <c r="A4" s="63" t="s">
        <v>207</v>
      </c>
      <c r="D4">
        <v>2</v>
      </c>
      <c r="E4">
        <v>0</v>
      </c>
      <c r="F4">
        <v>25</v>
      </c>
    </row>
    <row r="5" spans="1:9" x14ac:dyDescent="0.3">
      <c r="A5" s="62" t="s">
        <v>209</v>
      </c>
    </row>
    <row r="6" spans="1:9" ht="15" thickBot="1" x14ac:dyDescent="0.35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3">
      <c r="A7" s="62" t="s">
        <v>210</v>
      </c>
      <c r="C7" t="s">
        <v>221</v>
      </c>
    </row>
    <row r="8" spans="1:9" x14ac:dyDescent="0.3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" thickBot="1" x14ac:dyDescent="0.35">
      <c r="A9" s="63">
        <f>VLOOKUP(A8,OpenSolverResultCodes,2,FALSE)</f>
        <v>0</v>
      </c>
    </row>
    <row r="10" spans="1:9" ht="15" thickBot="1" x14ac:dyDescent="0.35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3">
      <c r="D11" s="146">
        <v>2</v>
      </c>
      <c r="E11" s="146">
        <v>0</v>
      </c>
      <c r="F11" s="146"/>
      <c r="G11" s="146">
        <v>16</v>
      </c>
    </row>
    <row r="12" spans="1:9" x14ac:dyDescent="0.3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 xr:uid="{00000000-0002-0000-4000-000000000000}">
      <formula1>OpenSolverResult</formula1>
    </dataValidation>
    <dataValidation type="list" allowBlank="1" showInputMessage="1" showErrorMessage="1" sqref="A4" xr:uid="{00000000-0002-0000-4000-000001000000}">
      <formula1>ModelType</formula1>
    </dataValidation>
    <dataValidation type="list" allowBlank="1" showInputMessage="1" showErrorMessage="1" sqref="A2" xr:uid="{00000000-0002-0000-40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NonLinConstraints"/>
  <dimension ref="A1:K30"/>
  <sheetViews>
    <sheetView topLeftCell="A4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3" style="65" customWidth="1"/>
  </cols>
  <sheetData>
    <row r="1" spans="1:11" x14ac:dyDescent="0.3">
      <c r="A1" s="62" t="s">
        <v>203</v>
      </c>
    </row>
    <row r="2" spans="1:11" ht="15" thickBot="1" x14ac:dyDescent="0.35">
      <c r="A2" s="63" t="s">
        <v>204</v>
      </c>
    </row>
    <row r="3" spans="1:11" x14ac:dyDescent="0.3">
      <c r="A3" s="62" t="s">
        <v>208</v>
      </c>
    </row>
    <row r="4" spans="1:11" ht="15" thickBot="1" x14ac:dyDescent="0.35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3">
      <c r="A5" s="62" t="s">
        <v>209</v>
      </c>
      <c r="D5">
        <v>3.13254578046506</v>
      </c>
      <c r="E5">
        <v>3.1325457804905898</v>
      </c>
      <c r="F5">
        <v>3.13254578046506</v>
      </c>
      <c r="G5">
        <v>3.1325457808433699</v>
      </c>
      <c r="H5">
        <v>0</v>
      </c>
    </row>
    <row r="6" spans="1:11" ht="15" thickBot="1" x14ac:dyDescent="0.35">
      <c r="A6" s="63" t="b">
        <f>AND(I16)</f>
        <v>1</v>
      </c>
      <c r="C6" t="s">
        <v>0</v>
      </c>
      <c r="I6">
        <f>H5</f>
        <v>0</v>
      </c>
    </row>
    <row r="7" spans="1:11" x14ac:dyDescent="0.3">
      <c r="A7" s="62" t="s">
        <v>210</v>
      </c>
      <c r="I7">
        <f>(D5-1)^2+(E5-1)^2+(F5-1)^2+(G5-1)^2+(H5-1)^2-25</f>
        <v>-5.8089939751602557</v>
      </c>
      <c r="J7" t="s">
        <v>8</v>
      </c>
      <c r="K7">
        <v>0</v>
      </c>
    </row>
    <row r="8" spans="1:11" x14ac:dyDescent="0.3">
      <c r="A8" s="64" t="s">
        <v>200</v>
      </c>
      <c r="I8">
        <f>25-((D5+1)^2+(E5+1)^2+(F5+1)^2+(G5+1)^2+(H5+1)^2)</f>
        <v>-44.311738513896046</v>
      </c>
      <c r="J8" t="s">
        <v>8</v>
      </c>
      <c r="K8">
        <v>0</v>
      </c>
    </row>
    <row r="9" spans="1:11" ht="15" thickBot="1" x14ac:dyDescent="0.35">
      <c r="A9" s="63">
        <f>VLOOKUP(A8,OpenSolverResultCodes,2,FALSE)</f>
        <v>0</v>
      </c>
      <c r="I9">
        <f>SUM(D5:H5)+I8</f>
        <v>-31.781555391631965</v>
      </c>
      <c r="J9" t="s">
        <v>8</v>
      </c>
      <c r="K9">
        <v>0</v>
      </c>
    </row>
    <row r="10" spans="1:11" ht="15" thickBot="1" x14ac:dyDescent="0.35">
      <c r="A10" s="156" t="str">
        <f>HYPERLINK("[OpenSolver Tester.xlsm]Results!A1", "&lt;- Results")</f>
        <v>&lt;- Results</v>
      </c>
    </row>
    <row r="14" spans="1:11" x14ac:dyDescent="0.3">
      <c r="D14" s="79"/>
      <c r="E14" s="79"/>
      <c r="F14" s="79"/>
      <c r="I14" s="79" t="s">
        <v>230</v>
      </c>
    </row>
    <row r="15" spans="1:11" x14ac:dyDescent="0.3">
      <c r="D15" s="79"/>
      <c r="E15" s="79"/>
      <c r="F15" s="79"/>
      <c r="G15" s="79"/>
      <c r="H15" s="79"/>
      <c r="I15">
        <v>0</v>
      </c>
    </row>
    <row r="16" spans="1:11" x14ac:dyDescent="0.3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3">
      <c r="E30" s="17"/>
    </row>
  </sheetData>
  <dataConsolidate/>
  <dataValidations count="3">
    <dataValidation type="list" allowBlank="1" showInputMessage="1" showErrorMessage="1" sqref="A2:B2" xr:uid="{00000000-0002-0000-4100-000000000000}">
      <formula1>TestType</formula1>
    </dataValidation>
    <dataValidation type="list" allowBlank="1" showInputMessage="1" showErrorMessage="1" sqref="A4:B4" xr:uid="{00000000-0002-0000-4100-000001000000}">
      <formula1>ModelType</formula1>
    </dataValidation>
    <dataValidation type="list" allowBlank="1" showInputMessage="1" showErrorMessage="1" sqref="A8:B8" xr:uid="{00000000-0002-0000-41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NonLinBinary"/>
  <dimension ref="A1:H21"/>
  <sheetViews>
    <sheetView workbookViewId="0"/>
  </sheetViews>
  <sheetFormatPr defaultColWidth="8.88671875" defaultRowHeight="14.4" x14ac:dyDescent="0.3"/>
  <cols>
    <col min="1" max="1" width="15" style="60" bestFit="1" customWidth="1"/>
    <col min="2" max="2" width="3.109375" customWidth="1"/>
    <col min="3" max="4" width="9.109375" customWidth="1"/>
    <col min="5" max="5" width="5.33203125" customWidth="1"/>
    <col min="6" max="6" width="3.6640625" customWidth="1"/>
    <col min="7" max="7" width="2.88671875" customWidth="1"/>
  </cols>
  <sheetData>
    <row r="1" spans="1:8" x14ac:dyDescent="0.3">
      <c r="A1" s="62" t="s">
        <v>203</v>
      </c>
    </row>
    <row r="2" spans="1:8" ht="15" thickBot="1" x14ac:dyDescent="0.35">
      <c r="A2" s="63" t="s">
        <v>204</v>
      </c>
    </row>
    <row r="3" spans="1:8" x14ac:dyDescent="0.3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" thickBot="1" x14ac:dyDescent="0.35">
      <c r="A4" s="63" t="s">
        <v>207</v>
      </c>
      <c r="C4" s="36">
        <v>0</v>
      </c>
      <c r="D4" s="158">
        <v>0</v>
      </c>
      <c r="E4" s="157"/>
      <c r="G4" s="157"/>
    </row>
    <row r="5" spans="1:8" x14ac:dyDescent="0.3">
      <c r="A5" s="62" t="s">
        <v>209</v>
      </c>
      <c r="C5" s="35"/>
      <c r="D5" s="35"/>
      <c r="E5" s="157"/>
      <c r="F5" s="35"/>
      <c r="G5" s="157"/>
    </row>
    <row r="6" spans="1:8" ht="15" thickBot="1" x14ac:dyDescent="0.35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3">
      <c r="A7" s="62" t="s">
        <v>210</v>
      </c>
      <c r="E7" s="157"/>
      <c r="F7" s="35"/>
      <c r="G7" s="157"/>
    </row>
    <row r="8" spans="1:8" x14ac:dyDescent="0.3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" thickBot="1" x14ac:dyDescent="0.35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" thickBot="1" x14ac:dyDescent="0.35">
      <c r="A10" s="156" t="str">
        <f>HYPERLINK("[OpenSolver Tester.xlsm]Results!A1", "&lt;- Results")</f>
        <v>&lt;- Results</v>
      </c>
    </row>
    <row r="15" spans="1:8" x14ac:dyDescent="0.3">
      <c r="C15" s="17" t="s">
        <v>15</v>
      </c>
      <c r="D15" s="157"/>
      <c r="E15" s="157"/>
      <c r="F15" s="157"/>
    </row>
    <row r="16" spans="1:8" x14ac:dyDescent="0.3">
      <c r="D16" s="157">
        <v>0</v>
      </c>
      <c r="E16" s="157">
        <v>0</v>
      </c>
      <c r="F16" s="157"/>
    </row>
    <row r="17" spans="3:6" x14ac:dyDescent="0.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3">
      <c r="D18" s="157"/>
      <c r="E18" s="157"/>
      <c r="F18" s="157"/>
    </row>
    <row r="19" spans="3:6" x14ac:dyDescent="0.3">
      <c r="C19" s="17" t="s">
        <v>16</v>
      </c>
      <c r="D19" s="157"/>
      <c r="E19" s="157"/>
      <c r="F19" s="157"/>
    </row>
    <row r="20" spans="3:6" x14ac:dyDescent="0.3">
      <c r="D20" s="157">
        <v>7.25</v>
      </c>
      <c r="E20" s="157"/>
      <c r="F20" s="157"/>
    </row>
    <row r="21" spans="3:6" x14ac:dyDescent="0.3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 xr:uid="{00000000-0002-0000-4200-000000000000}">
      <formula1>OpenSolverResult</formula1>
    </dataValidation>
    <dataValidation type="list" allowBlank="1" showInputMessage="1" showErrorMessage="1" sqref="A4:B4" xr:uid="{00000000-0002-0000-4200-000001000000}">
      <formula1>ModelType</formula1>
    </dataValidation>
    <dataValidation type="list" allowBlank="1" showInputMessage="1" showErrorMessage="1" sqref="A2:B2" xr:uid="{00000000-0002-0000-42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NonLin"/>
  <dimension ref="A1:Q44"/>
  <sheetViews>
    <sheetView topLeftCell="A28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2.88671875" customWidth="1"/>
    <col min="3" max="3" width="26.109375" customWidth="1"/>
  </cols>
  <sheetData>
    <row r="1" spans="1:15" x14ac:dyDescent="0.3">
      <c r="A1" s="62" t="s">
        <v>203</v>
      </c>
      <c r="C1" t="s">
        <v>37</v>
      </c>
    </row>
    <row r="2" spans="1:15" ht="41.4" thickBot="1" x14ac:dyDescent="0.35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3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" thickBot="1" x14ac:dyDescent="0.35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3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" thickBot="1" x14ac:dyDescent="0.35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3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3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" thickBot="1" x14ac:dyDescent="0.35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5">
      <c r="A10" s="156" t="str">
        <f>HYPERLINK("[OpenSolver Tester.xlsm]Results!A1", "&lt;- Results")</f>
        <v>&lt;- Results</v>
      </c>
      <c r="C10" s="21"/>
      <c r="D10" s="22">
        <v>134839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3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3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3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3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3">
      <c r="C15" s="21"/>
      <c r="D15" s="22">
        <v>156924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3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3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3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3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3">
      <c r="C20" s="21"/>
      <c r="D20" s="22">
        <v>122549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3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3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3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3">
      <c r="C24" s="21"/>
      <c r="D24" s="22">
        <v>409553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3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3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3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3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3">
      <c r="C29" s="21"/>
      <c r="D29" s="22">
        <v>122402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3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3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3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3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3">
      <c r="C34" s="21"/>
      <c r="D34" s="22">
        <v>93405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3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3">
      <c r="K36">
        <v>4.3499999999999996</v>
      </c>
    </row>
    <row r="37" spans="3:17" x14ac:dyDescent="0.3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3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3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3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3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3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3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3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 xr:uid="{00000000-0002-0000-4300-000000000000}">
      <formula1>OpenSolverResult</formula1>
    </dataValidation>
    <dataValidation type="list" allowBlank="1" showInputMessage="1" showErrorMessage="1" sqref="A4" xr:uid="{00000000-0002-0000-4300-000001000000}">
      <formula1>ModelType</formula1>
    </dataValidation>
    <dataValidation type="list" allowBlank="1" showInputMessage="1" showErrorMessage="1" sqref="A2" xr:uid="{00000000-0002-0000-43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NonLin2"/>
  <dimension ref="A1:H1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60" bestFit="1" customWidth="1"/>
    <col min="2" max="2" width="3.33203125" customWidth="1"/>
    <col min="6" max="6" width="12" bestFit="1" customWidth="1"/>
  </cols>
  <sheetData>
    <row r="1" spans="1:8" x14ac:dyDescent="0.3">
      <c r="A1" s="62" t="s">
        <v>203</v>
      </c>
    </row>
    <row r="2" spans="1:8" ht="15" thickBot="1" x14ac:dyDescent="0.35">
      <c r="A2" s="63" t="s">
        <v>204</v>
      </c>
    </row>
    <row r="3" spans="1:8" x14ac:dyDescent="0.3">
      <c r="A3" s="62" t="s">
        <v>208</v>
      </c>
      <c r="C3" t="s">
        <v>126</v>
      </c>
      <c r="D3" t="s">
        <v>128</v>
      </c>
      <c r="F3" t="s">
        <v>226</v>
      </c>
    </row>
    <row r="4" spans="1:8" ht="15" thickBot="1" x14ac:dyDescent="0.35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3">
      <c r="A5" s="62" t="s">
        <v>209</v>
      </c>
    </row>
    <row r="6" spans="1:8" ht="15" thickBot="1" x14ac:dyDescent="0.35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3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3">
      <c r="A8" s="64" t="s">
        <v>200</v>
      </c>
    </row>
    <row r="9" spans="1:8" ht="15" thickBot="1" x14ac:dyDescent="0.35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" thickBot="1" x14ac:dyDescent="0.35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3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 xr:uid="{00000000-0002-0000-4400-000000000000}">
      <formula1>OpenSolverResult</formula1>
    </dataValidation>
    <dataValidation type="list" allowBlank="1" showInputMessage="1" showErrorMessage="1" sqref="A4" xr:uid="{00000000-0002-0000-4400-000001000000}">
      <formula1>ModelType</formula1>
    </dataValidation>
    <dataValidation type="list" allowBlank="1" showInputMessage="1" showErrorMessage="1" sqref="A2" xr:uid="{00000000-0002-0000-44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NonLin3"/>
  <dimension ref="A1:AS81"/>
  <sheetViews>
    <sheetView showGridLines="0" workbookViewId="0">
      <selection activeCell="E31" sqref="E31"/>
    </sheetView>
  </sheetViews>
  <sheetFormatPr defaultColWidth="8.88671875" defaultRowHeight="14.4" x14ac:dyDescent="0.3"/>
  <cols>
    <col min="1" max="1" width="15" style="60" bestFit="1" customWidth="1"/>
    <col min="2" max="2" width="8.88671875" style="83"/>
    <col min="3" max="3" width="3.6640625" style="83" customWidth="1"/>
    <col min="4" max="4" width="4.109375" style="83" customWidth="1"/>
    <col min="5" max="5" width="1.33203125" style="83" customWidth="1"/>
    <col min="6" max="7" width="12.109375" style="83" customWidth="1"/>
    <col min="8" max="8" width="1.109375" style="83" customWidth="1"/>
    <col min="9" max="13" width="8.88671875" style="83"/>
    <col min="14" max="15" width="5.88671875" style="83" customWidth="1"/>
    <col min="16" max="16" width="6.33203125" style="83" customWidth="1"/>
    <col min="17" max="258" width="8.88671875" style="83"/>
    <col min="259" max="259" width="3.6640625" style="83" customWidth="1"/>
    <col min="260" max="260" width="4.109375" style="83" customWidth="1"/>
    <col min="261" max="261" width="1.33203125" style="83" customWidth="1"/>
    <col min="262" max="263" width="12.109375" style="83" customWidth="1"/>
    <col min="264" max="264" width="1.109375" style="83" customWidth="1"/>
    <col min="265" max="269" width="8.88671875" style="83"/>
    <col min="270" max="271" width="5.88671875" style="83" customWidth="1"/>
    <col min="272" max="272" width="6.33203125" style="83" customWidth="1"/>
    <col min="273" max="514" width="8.88671875" style="83"/>
    <col min="515" max="515" width="3.6640625" style="83" customWidth="1"/>
    <col min="516" max="516" width="4.109375" style="83" customWidth="1"/>
    <col min="517" max="517" width="1.33203125" style="83" customWidth="1"/>
    <col min="518" max="519" width="12.109375" style="83" customWidth="1"/>
    <col min="520" max="520" width="1.109375" style="83" customWidth="1"/>
    <col min="521" max="525" width="8.88671875" style="83"/>
    <col min="526" max="527" width="5.88671875" style="83" customWidth="1"/>
    <col min="528" max="528" width="6.33203125" style="83" customWidth="1"/>
    <col min="529" max="770" width="8.88671875" style="83"/>
    <col min="771" max="771" width="3.6640625" style="83" customWidth="1"/>
    <col min="772" max="772" width="4.109375" style="83" customWidth="1"/>
    <col min="773" max="773" width="1.33203125" style="83" customWidth="1"/>
    <col min="774" max="775" width="12.109375" style="83" customWidth="1"/>
    <col min="776" max="776" width="1.109375" style="83" customWidth="1"/>
    <col min="777" max="781" width="8.88671875" style="83"/>
    <col min="782" max="783" width="5.88671875" style="83" customWidth="1"/>
    <col min="784" max="784" width="6.33203125" style="83" customWidth="1"/>
    <col min="785" max="1026" width="8.88671875" style="83"/>
    <col min="1027" max="1027" width="3.6640625" style="83" customWidth="1"/>
    <col min="1028" max="1028" width="4.109375" style="83" customWidth="1"/>
    <col min="1029" max="1029" width="1.33203125" style="83" customWidth="1"/>
    <col min="1030" max="1031" width="12.109375" style="83" customWidth="1"/>
    <col min="1032" max="1032" width="1.109375" style="83" customWidth="1"/>
    <col min="1033" max="1037" width="8.88671875" style="83"/>
    <col min="1038" max="1039" width="5.88671875" style="83" customWidth="1"/>
    <col min="1040" max="1040" width="6.33203125" style="83" customWidth="1"/>
    <col min="1041" max="1282" width="8.88671875" style="83"/>
    <col min="1283" max="1283" width="3.6640625" style="83" customWidth="1"/>
    <col min="1284" max="1284" width="4.109375" style="83" customWidth="1"/>
    <col min="1285" max="1285" width="1.33203125" style="83" customWidth="1"/>
    <col min="1286" max="1287" width="12.109375" style="83" customWidth="1"/>
    <col min="1288" max="1288" width="1.109375" style="83" customWidth="1"/>
    <col min="1289" max="1293" width="8.88671875" style="83"/>
    <col min="1294" max="1295" width="5.88671875" style="83" customWidth="1"/>
    <col min="1296" max="1296" width="6.33203125" style="83" customWidth="1"/>
    <col min="1297" max="1538" width="8.88671875" style="83"/>
    <col min="1539" max="1539" width="3.6640625" style="83" customWidth="1"/>
    <col min="1540" max="1540" width="4.109375" style="83" customWidth="1"/>
    <col min="1541" max="1541" width="1.33203125" style="83" customWidth="1"/>
    <col min="1542" max="1543" width="12.109375" style="83" customWidth="1"/>
    <col min="1544" max="1544" width="1.109375" style="83" customWidth="1"/>
    <col min="1545" max="1549" width="8.88671875" style="83"/>
    <col min="1550" max="1551" width="5.88671875" style="83" customWidth="1"/>
    <col min="1552" max="1552" width="6.33203125" style="83" customWidth="1"/>
    <col min="1553" max="1794" width="8.88671875" style="83"/>
    <col min="1795" max="1795" width="3.6640625" style="83" customWidth="1"/>
    <col min="1796" max="1796" width="4.109375" style="83" customWidth="1"/>
    <col min="1797" max="1797" width="1.33203125" style="83" customWidth="1"/>
    <col min="1798" max="1799" width="12.109375" style="83" customWidth="1"/>
    <col min="1800" max="1800" width="1.109375" style="83" customWidth="1"/>
    <col min="1801" max="1805" width="8.88671875" style="83"/>
    <col min="1806" max="1807" width="5.88671875" style="83" customWidth="1"/>
    <col min="1808" max="1808" width="6.33203125" style="83" customWidth="1"/>
    <col min="1809" max="2050" width="8.88671875" style="83"/>
    <col min="2051" max="2051" width="3.6640625" style="83" customWidth="1"/>
    <col min="2052" max="2052" width="4.109375" style="83" customWidth="1"/>
    <col min="2053" max="2053" width="1.33203125" style="83" customWidth="1"/>
    <col min="2054" max="2055" width="12.109375" style="83" customWidth="1"/>
    <col min="2056" max="2056" width="1.109375" style="83" customWidth="1"/>
    <col min="2057" max="2061" width="8.88671875" style="83"/>
    <col min="2062" max="2063" width="5.88671875" style="83" customWidth="1"/>
    <col min="2064" max="2064" width="6.33203125" style="83" customWidth="1"/>
    <col min="2065" max="2306" width="8.88671875" style="83"/>
    <col min="2307" max="2307" width="3.6640625" style="83" customWidth="1"/>
    <col min="2308" max="2308" width="4.109375" style="83" customWidth="1"/>
    <col min="2309" max="2309" width="1.33203125" style="83" customWidth="1"/>
    <col min="2310" max="2311" width="12.109375" style="83" customWidth="1"/>
    <col min="2312" max="2312" width="1.109375" style="83" customWidth="1"/>
    <col min="2313" max="2317" width="8.88671875" style="83"/>
    <col min="2318" max="2319" width="5.88671875" style="83" customWidth="1"/>
    <col min="2320" max="2320" width="6.33203125" style="83" customWidth="1"/>
    <col min="2321" max="2562" width="8.88671875" style="83"/>
    <col min="2563" max="2563" width="3.6640625" style="83" customWidth="1"/>
    <col min="2564" max="2564" width="4.109375" style="83" customWidth="1"/>
    <col min="2565" max="2565" width="1.33203125" style="83" customWidth="1"/>
    <col min="2566" max="2567" width="12.109375" style="83" customWidth="1"/>
    <col min="2568" max="2568" width="1.109375" style="83" customWidth="1"/>
    <col min="2569" max="2573" width="8.88671875" style="83"/>
    <col min="2574" max="2575" width="5.88671875" style="83" customWidth="1"/>
    <col min="2576" max="2576" width="6.33203125" style="83" customWidth="1"/>
    <col min="2577" max="2818" width="8.88671875" style="83"/>
    <col min="2819" max="2819" width="3.6640625" style="83" customWidth="1"/>
    <col min="2820" max="2820" width="4.109375" style="83" customWidth="1"/>
    <col min="2821" max="2821" width="1.33203125" style="83" customWidth="1"/>
    <col min="2822" max="2823" width="12.109375" style="83" customWidth="1"/>
    <col min="2824" max="2824" width="1.109375" style="83" customWidth="1"/>
    <col min="2825" max="2829" width="8.88671875" style="83"/>
    <col min="2830" max="2831" width="5.88671875" style="83" customWidth="1"/>
    <col min="2832" max="2832" width="6.33203125" style="83" customWidth="1"/>
    <col min="2833" max="3074" width="8.88671875" style="83"/>
    <col min="3075" max="3075" width="3.6640625" style="83" customWidth="1"/>
    <col min="3076" max="3076" width="4.109375" style="83" customWidth="1"/>
    <col min="3077" max="3077" width="1.33203125" style="83" customWidth="1"/>
    <col min="3078" max="3079" width="12.109375" style="83" customWidth="1"/>
    <col min="3080" max="3080" width="1.109375" style="83" customWidth="1"/>
    <col min="3081" max="3085" width="8.88671875" style="83"/>
    <col min="3086" max="3087" width="5.88671875" style="83" customWidth="1"/>
    <col min="3088" max="3088" width="6.33203125" style="83" customWidth="1"/>
    <col min="3089" max="3330" width="8.88671875" style="83"/>
    <col min="3331" max="3331" width="3.6640625" style="83" customWidth="1"/>
    <col min="3332" max="3332" width="4.109375" style="83" customWidth="1"/>
    <col min="3333" max="3333" width="1.33203125" style="83" customWidth="1"/>
    <col min="3334" max="3335" width="12.109375" style="83" customWidth="1"/>
    <col min="3336" max="3336" width="1.109375" style="83" customWidth="1"/>
    <col min="3337" max="3341" width="8.88671875" style="83"/>
    <col min="3342" max="3343" width="5.88671875" style="83" customWidth="1"/>
    <col min="3344" max="3344" width="6.33203125" style="83" customWidth="1"/>
    <col min="3345" max="3586" width="8.88671875" style="83"/>
    <col min="3587" max="3587" width="3.6640625" style="83" customWidth="1"/>
    <col min="3588" max="3588" width="4.109375" style="83" customWidth="1"/>
    <col min="3589" max="3589" width="1.33203125" style="83" customWidth="1"/>
    <col min="3590" max="3591" width="12.109375" style="83" customWidth="1"/>
    <col min="3592" max="3592" width="1.109375" style="83" customWidth="1"/>
    <col min="3593" max="3597" width="8.88671875" style="83"/>
    <col min="3598" max="3599" width="5.88671875" style="83" customWidth="1"/>
    <col min="3600" max="3600" width="6.33203125" style="83" customWidth="1"/>
    <col min="3601" max="3842" width="8.88671875" style="83"/>
    <col min="3843" max="3843" width="3.6640625" style="83" customWidth="1"/>
    <col min="3844" max="3844" width="4.109375" style="83" customWidth="1"/>
    <col min="3845" max="3845" width="1.33203125" style="83" customWidth="1"/>
    <col min="3846" max="3847" width="12.109375" style="83" customWidth="1"/>
    <col min="3848" max="3848" width="1.109375" style="83" customWidth="1"/>
    <col min="3849" max="3853" width="8.88671875" style="83"/>
    <col min="3854" max="3855" width="5.88671875" style="83" customWidth="1"/>
    <col min="3856" max="3856" width="6.33203125" style="83" customWidth="1"/>
    <col min="3857" max="4098" width="8.88671875" style="83"/>
    <col min="4099" max="4099" width="3.6640625" style="83" customWidth="1"/>
    <col min="4100" max="4100" width="4.109375" style="83" customWidth="1"/>
    <col min="4101" max="4101" width="1.33203125" style="83" customWidth="1"/>
    <col min="4102" max="4103" width="12.109375" style="83" customWidth="1"/>
    <col min="4104" max="4104" width="1.109375" style="83" customWidth="1"/>
    <col min="4105" max="4109" width="8.88671875" style="83"/>
    <col min="4110" max="4111" width="5.88671875" style="83" customWidth="1"/>
    <col min="4112" max="4112" width="6.33203125" style="83" customWidth="1"/>
    <col min="4113" max="4354" width="8.88671875" style="83"/>
    <col min="4355" max="4355" width="3.6640625" style="83" customWidth="1"/>
    <col min="4356" max="4356" width="4.109375" style="83" customWidth="1"/>
    <col min="4357" max="4357" width="1.33203125" style="83" customWidth="1"/>
    <col min="4358" max="4359" width="12.109375" style="83" customWidth="1"/>
    <col min="4360" max="4360" width="1.109375" style="83" customWidth="1"/>
    <col min="4361" max="4365" width="8.88671875" style="83"/>
    <col min="4366" max="4367" width="5.88671875" style="83" customWidth="1"/>
    <col min="4368" max="4368" width="6.33203125" style="83" customWidth="1"/>
    <col min="4369" max="4610" width="8.88671875" style="83"/>
    <col min="4611" max="4611" width="3.6640625" style="83" customWidth="1"/>
    <col min="4612" max="4612" width="4.109375" style="83" customWidth="1"/>
    <col min="4613" max="4613" width="1.33203125" style="83" customWidth="1"/>
    <col min="4614" max="4615" width="12.109375" style="83" customWidth="1"/>
    <col min="4616" max="4616" width="1.109375" style="83" customWidth="1"/>
    <col min="4617" max="4621" width="8.88671875" style="83"/>
    <col min="4622" max="4623" width="5.88671875" style="83" customWidth="1"/>
    <col min="4624" max="4624" width="6.33203125" style="83" customWidth="1"/>
    <col min="4625" max="4866" width="8.88671875" style="83"/>
    <col min="4867" max="4867" width="3.6640625" style="83" customWidth="1"/>
    <col min="4868" max="4868" width="4.109375" style="83" customWidth="1"/>
    <col min="4869" max="4869" width="1.33203125" style="83" customWidth="1"/>
    <col min="4870" max="4871" width="12.109375" style="83" customWidth="1"/>
    <col min="4872" max="4872" width="1.109375" style="83" customWidth="1"/>
    <col min="4873" max="4877" width="8.88671875" style="83"/>
    <col min="4878" max="4879" width="5.88671875" style="83" customWidth="1"/>
    <col min="4880" max="4880" width="6.33203125" style="83" customWidth="1"/>
    <col min="4881" max="5122" width="8.88671875" style="83"/>
    <col min="5123" max="5123" width="3.6640625" style="83" customWidth="1"/>
    <col min="5124" max="5124" width="4.109375" style="83" customWidth="1"/>
    <col min="5125" max="5125" width="1.33203125" style="83" customWidth="1"/>
    <col min="5126" max="5127" width="12.109375" style="83" customWidth="1"/>
    <col min="5128" max="5128" width="1.109375" style="83" customWidth="1"/>
    <col min="5129" max="5133" width="8.88671875" style="83"/>
    <col min="5134" max="5135" width="5.88671875" style="83" customWidth="1"/>
    <col min="5136" max="5136" width="6.33203125" style="83" customWidth="1"/>
    <col min="5137" max="5378" width="8.88671875" style="83"/>
    <col min="5379" max="5379" width="3.6640625" style="83" customWidth="1"/>
    <col min="5380" max="5380" width="4.109375" style="83" customWidth="1"/>
    <col min="5381" max="5381" width="1.33203125" style="83" customWidth="1"/>
    <col min="5382" max="5383" width="12.109375" style="83" customWidth="1"/>
    <col min="5384" max="5384" width="1.109375" style="83" customWidth="1"/>
    <col min="5385" max="5389" width="8.88671875" style="83"/>
    <col min="5390" max="5391" width="5.88671875" style="83" customWidth="1"/>
    <col min="5392" max="5392" width="6.33203125" style="83" customWidth="1"/>
    <col min="5393" max="5634" width="8.88671875" style="83"/>
    <col min="5635" max="5635" width="3.6640625" style="83" customWidth="1"/>
    <col min="5636" max="5636" width="4.109375" style="83" customWidth="1"/>
    <col min="5637" max="5637" width="1.33203125" style="83" customWidth="1"/>
    <col min="5638" max="5639" width="12.109375" style="83" customWidth="1"/>
    <col min="5640" max="5640" width="1.109375" style="83" customWidth="1"/>
    <col min="5641" max="5645" width="8.88671875" style="83"/>
    <col min="5646" max="5647" width="5.88671875" style="83" customWidth="1"/>
    <col min="5648" max="5648" width="6.33203125" style="83" customWidth="1"/>
    <col min="5649" max="5890" width="8.88671875" style="83"/>
    <col min="5891" max="5891" width="3.6640625" style="83" customWidth="1"/>
    <col min="5892" max="5892" width="4.109375" style="83" customWidth="1"/>
    <col min="5893" max="5893" width="1.33203125" style="83" customWidth="1"/>
    <col min="5894" max="5895" width="12.109375" style="83" customWidth="1"/>
    <col min="5896" max="5896" width="1.109375" style="83" customWidth="1"/>
    <col min="5897" max="5901" width="8.88671875" style="83"/>
    <col min="5902" max="5903" width="5.88671875" style="83" customWidth="1"/>
    <col min="5904" max="5904" width="6.33203125" style="83" customWidth="1"/>
    <col min="5905" max="6146" width="8.88671875" style="83"/>
    <col min="6147" max="6147" width="3.6640625" style="83" customWidth="1"/>
    <col min="6148" max="6148" width="4.109375" style="83" customWidth="1"/>
    <col min="6149" max="6149" width="1.33203125" style="83" customWidth="1"/>
    <col min="6150" max="6151" width="12.109375" style="83" customWidth="1"/>
    <col min="6152" max="6152" width="1.109375" style="83" customWidth="1"/>
    <col min="6153" max="6157" width="8.88671875" style="83"/>
    <col min="6158" max="6159" width="5.88671875" style="83" customWidth="1"/>
    <col min="6160" max="6160" width="6.33203125" style="83" customWidth="1"/>
    <col min="6161" max="6402" width="8.88671875" style="83"/>
    <col min="6403" max="6403" width="3.6640625" style="83" customWidth="1"/>
    <col min="6404" max="6404" width="4.109375" style="83" customWidth="1"/>
    <col min="6405" max="6405" width="1.33203125" style="83" customWidth="1"/>
    <col min="6406" max="6407" width="12.109375" style="83" customWidth="1"/>
    <col min="6408" max="6408" width="1.109375" style="83" customWidth="1"/>
    <col min="6409" max="6413" width="8.88671875" style="83"/>
    <col min="6414" max="6415" width="5.88671875" style="83" customWidth="1"/>
    <col min="6416" max="6416" width="6.33203125" style="83" customWidth="1"/>
    <col min="6417" max="6658" width="8.88671875" style="83"/>
    <col min="6659" max="6659" width="3.6640625" style="83" customWidth="1"/>
    <col min="6660" max="6660" width="4.109375" style="83" customWidth="1"/>
    <col min="6661" max="6661" width="1.33203125" style="83" customWidth="1"/>
    <col min="6662" max="6663" width="12.109375" style="83" customWidth="1"/>
    <col min="6664" max="6664" width="1.109375" style="83" customWidth="1"/>
    <col min="6665" max="6669" width="8.88671875" style="83"/>
    <col min="6670" max="6671" width="5.88671875" style="83" customWidth="1"/>
    <col min="6672" max="6672" width="6.33203125" style="83" customWidth="1"/>
    <col min="6673" max="6914" width="8.88671875" style="83"/>
    <col min="6915" max="6915" width="3.6640625" style="83" customWidth="1"/>
    <col min="6916" max="6916" width="4.109375" style="83" customWidth="1"/>
    <col min="6917" max="6917" width="1.33203125" style="83" customWidth="1"/>
    <col min="6918" max="6919" width="12.109375" style="83" customWidth="1"/>
    <col min="6920" max="6920" width="1.109375" style="83" customWidth="1"/>
    <col min="6921" max="6925" width="8.88671875" style="83"/>
    <col min="6926" max="6927" width="5.88671875" style="83" customWidth="1"/>
    <col min="6928" max="6928" width="6.33203125" style="83" customWidth="1"/>
    <col min="6929" max="7170" width="8.88671875" style="83"/>
    <col min="7171" max="7171" width="3.6640625" style="83" customWidth="1"/>
    <col min="7172" max="7172" width="4.109375" style="83" customWidth="1"/>
    <col min="7173" max="7173" width="1.33203125" style="83" customWidth="1"/>
    <col min="7174" max="7175" width="12.109375" style="83" customWidth="1"/>
    <col min="7176" max="7176" width="1.109375" style="83" customWidth="1"/>
    <col min="7177" max="7181" width="8.88671875" style="83"/>
    <col min="7182" max="7183" width="5.88671875" style="83" customWidth="1"/>
    <col min="7184" max="7184" width="6.33203125" style="83" customWidth="1"/>
    <col min="7185" max="7426" width="8.88671875" style="83"/>
    <col min="7427" max="7427" width="3.6640625" style="83" customWidth="1"/>
    <col min="7428" max="7428" width="4.109375" style="83" customWidth="1"/>
    <col min="7429" max="7429" width="1.33203125" style="83" customWidth="1"/>
    <col min="7430" max="7431" width="12.109375" style="83" customWidth="1"/>
    <col min="7432" max="7432" width="1.109375" style="83" customWidth="1"/>
    <col min="7433" max="7437" width="8.88671875" style="83"/>
    <col min="7438" max="7439" width="5.88671875" style="83" customWidth="1"/>
    <col min="7440" max="7440" width="6.33203125" style="83" customWidth="1"/>
    <col min="7441" max="7682" width="8.88671875" style="83"/>
    <col min="7683" max="7683" width="3.6640625" style="83" customWidth="1"/>
    <col min="7684" max="7684" width="4.109375" style="83" customWidth="1"/>
    <col min="7685" max="7685" width="1.33203125" style="83" customWidth="1"/>
    <col min="7686" max="7687" width="12.109375" style="83" customWidth="1"/>
    <col min="7688" max="7688" width="1.109375" style="83" customWidth="1"/>
    <col min="7689" max="7693" width="8.88671875" style="83"/>
    <col min="7694" max="7695" width="5.88671875" style="83" customWidth="1"/>
    <col min="7696" max="7696" width="6.33203125" style="83" customWidth="1"/>
    <col min="7697" max="7938" width="8.88671875" style="83"/>
    <col min="7939" max="7939" width="3.6640625" style="83" customWidth="1"/>
    <col min="7940" max="7940" width="4.109375" style="83" customWidth="1"/>
    <col min="7941" max="7941" width="1.33203125" style="83" customWidth="1"/>
    <col min="7942" max="7943" width="12.109375" style="83" customWidth="1"/>
    <col min="7944" max="7944" width="1.109375" style="83" customWidth="1"/>
    <col min="7945" max="7949" width="8.88671875" style="83"/>
    <col min="7950" max="7951" width="5.88671875" style="83" customWidth="1"/>
    <col min="7952" max="7952" width="6.33203125" style="83" customWidth="1"/>
    <col min="7953" max="8194" width="8.88671875" style="83"/>
    <col min="8195" max="8195" width="3.6640625" style="83" customWidth="1"/>
    <col min="8196" max="8196" width="4.109375" style="83" customWidth="1"/>
    <col min="8197" max="8197" width="1.33203125" style="83" customWidth="1"/>
    <col min="8198" max="8199" width="12.109375" style="83" customWidth="1"/>
    <col min="8200" max="8200" width="1.109375" style="83" customWidth="1"/>
    <col min="8201" max="8205" width="8.88671875" style="83"/>
    <col min="8206" max="8207" width="5.88671875" style="83" customWidth="1"/>
    <col min="8208" max="8208" width="6.33203125" style="83" customWidth="1"/>
    <col min="8209" max="8450" width="8.88671875" style="83"/>
    <col min="8451" max="8451" width="3.6640625" style="83" customWidth="1"/>
    <col min="8452" max="8452" width="4.109375" style="83" customWidth="1"/>
    <col min="8453" max="8453" width="1.33203125" style="83" customWidth="1"/>
    <col min="8454" max="8455" width="12.109375" style="83" customWidth="1"/>
    <col min="8456" max="8456" width="1.109375" style="83" customWidth="1"/>
    <col min="8457" max="8461" width="8.88671875" style="83"/>
    <col min="8462" max="8463" width="5.88671875" style="83" customWidth="1"/>
    <col min="8464" max="8464" width="6.33203125" style="83" customWidth="1"/>
    <col min="8465" max="8706" width="8.88671875" style="83"/>
    <col min="8707" max="8707" width="3.6640625" style="83" customWidth="1"/>
    <col min="8708" max="8708" width="4.109375" style="83" customWidth="1"/>
    <col min="8709" max="8709" width="1.33203125" style="83" customWidth="1"/>
    <col min="8710" max="8711" width="12.109375" style="83" customWidth="1"/>
    <col min="8712" max="8712" width="1.109375" style="83" customWidth="1"/>
    <col min="8713" max="8717" width="8.88671875" style="83"/>
    <col min="8718" max="8719" width="5.88671875" style="83" customWidth="1"/>
    <col min="8720" max="8720" width="6.33203125" style="83" customWidth="1"/>
    <col min="8721" max="8962" width="8.88671875" style="83"/>
    <col min="8963" max="8963" width="3.6640625" style="83" customWidth="1"/>
    <col min="8964" max="8964" width="4.109375" style="83" customWidth="1"/>
    <col min="8965" max="8965" width="1.33203125" style="83" customWidth="1"/>
    <col min="8966" max="8967" width="12.109375" style="83" customWidth="1"/>
    <col min="8968" max="8968" width="1.109375" style="83" customWidth="1"/>
    <col min="8969" max="8973" width="8.88671875" style="83"/>
    <col min="8974" max="8975" width="5.88671875" style="83" customWidth="1"/>
    <col min="8976" max="8976" width="6.33203125" style="83" customWidth="1"/>
    <col min="8977" max="9218" width="8.88671875" style="83"/>
    <col min="9219" max="9219" width="3.6640625" style="83" customWidth="1"/>
    <col min="9220" max="9220" width="4.109375" style="83" customWidth="1"/>
    <col min="9221" max="9221" width="1.33203125" style="83" customWidth="1"/>
    <col min="9222" max="9223" width="12.109375" style="83" customWidth="1"/>
    <col min="9224" max="9224" width="1.109375" style="83" customWidth="1"/>
    <col min="9225" max="9229" width="8.88671875" style="83"/>
    <col min="9230" max="9231" width="5.88671875" style="83" customWidth="1"/>
    <col min="9232" max="9232" width="6.33203125" style="83" customWidth="1"/>
    <col min="9233" max="9474" width="8.88671875" style="83"/>
    <col min="9475" max="9475" width="3.6640625" style="83" customWidth="1"/>
    <col min="9476" max="9476" width="4.109375" style="83" customWidth="1"/>
    <col min="9477" max="9477" width="1.33203125" style="83" customWidth="1"/>
    <col min="9478" max="9479" width="12.109375" style="83" customWidth="1"/>
    <col min="9480" max="9480" width="1.109375" style="83" customWidth="1"/>
    <col min="9481" max="9485" width="8.88671875" style="83"/>
    <col min="9486" max="9487" width="5.88671875" style="83" customWidth="1"/>
    <col min="9488" max="9488" width="6.33203125" style="83" customWidth="1"/>
    <col min="9489" max="9730" width="8.88671875" style="83"/>
    <col min="9731" max="9731" width="3.6640625" style="83" customWidth="1"/>
    <col min="9732" max="9732" width="4.109375" style="83" customWidth="1"/>
    <col min="9733" max="9733" width="1.33203125" style="83" customWidth="1"/>
    <col min="9734" max="9735" width="12.109375" style="83" customWidth="1"/>
    <col min="9736" max="9736" width="1.109375" style="83" customWidth="1"/>
    <col min="9737" max="9741" width="8.88671875" style="83"/>
    <col min="9742" max="9743" width="5.88671875" style="83" customWidth="1"/>
    <col min="9744" max="9744" width="6.33203125" style="83" customWidth="1"/>
    <col min="9745" max="9986" width="8.88671875" style="83"/>
    <col min="9987" max="9987" width="3.6640625" style="83" customWidth="1"/>
    <col min="9988" max="9988" width="4.109375" style="83" customWidth="1"/>
    <col min="9989" max="9989" width="1.33203125" style="83" customWidth="1"/>
    <col min="9990" max="9991" width="12.109375" style="83" customWidth="1"/>
    <col min="9992" max="9992" width="1.109375" style="83" customWidth="1"/>
    <col min="9993" max="9997" width="8.88671875" style="83"/>
    <col min="9998" max="9999" width="5.88671875" style="83" customWidth="1"/>
    <col min="10000" max="10000" width="6.33203125" style="83" customWidth="1"/>
    <col min="10001" max="10242" width="8.88671875" style="83"/>
    <col min="10243" max="10243" width="3.6640625" style="83" customWidth="1"/>
    <col min="10244" max="10244" width="4.109375" style="83" customWidth="1"/>
    <col min="10245" max="10245" width="1.33203125" style="83" customWidth="1"/>
    <col min="10246" max="10247" width="12.109375" style="83" customWidth="1"/>
    <col min="10248" max="10248" width="1.109375" style="83" customWidth="1"/>
    <col min="10249" max="10253" width="8.88671875" style="83"/>
    <col min="10254" max="10255" width="5.88671875" style="83" customWidth="1"/>
    <col min="10256" max="10256" width="6.33203125" style="83" customWidth="1"/>
    <col min="10257" max="10498" width="8.88671875" style="83"/>
    <col min="10499" max="10499" width="3.6640625" style="83" customWidth="1"/>
    <col min="10500" max="10500" width="4.109375" style="83" customWidth="1"/>
    <col min="10501" max="10501" width="1.33203125" style="83" customWidth="1"/>
    <col min="10502" max="10503" width="12.109375" style="83" customWidth="1"/>
    <col min="10504" max="10504" width="1.109375" style="83" customWidth="1"/>
    <col min="10505" max="10509" width="8.88671875" style="83"/>
    <col min="10510" max="10511" width="5.88671875" style="83" customWidth="1"/>
    <col min="10512" max="10512" width="6.33203125" style="83" customWidth="1"/>
    <col min="10513" max="10754" width="8.88671875" style="83"/>
    <col min="10755" max="10755" width="3.6640625" style="83" customWidth="1"/>
    <col min="10756" max="10756" width="4.109375" style="83" customWidth="1"/>
    <col min="10757" max="10757" width="1.33203125" style="83" customWidth="1"/>
    <col min="10758" max="10759" width="12.109375" style="83" customWidth="1"/>
    <col min="10760" max="10760" width="1.109375" style="83" customWidth="1"/>
    <col min="10761" max="10765" width="8.88671875" style="83"/>
    <col min="10766" max="10767" width="5.88671875" style="83" customWidth="1"/>
    <col min="10768" max="10768" width="6.33203125" style="83" customWidth="1"/>
    <col min="10769" max="11010" width="8.88671875" style="83"/>
    <col min="11011" max="11011" width="3.6640625" style="83" customWidth="1"/>
    <col min="11012" max="11012" width="4.109375" style="83" customWidth="1"/>
    <col min="11013" max="11013" width="1.33203125" style="83" customWidth="1"/>
    <col min="11014" max="11015" width="12.109375" style="83" customWidth="1"/>
    <col min="11016" max="11016" width="1.109375" style="83" customWidth="1"/>
    <col min="11017" max="11021" width="8.88671875" style="83"/>
    <col min="11022" max="11023" width="5.88671875" style="83" customWidth="1"/>
    <col min="11024" max="11024" width="6.33203125" style="83" customWidth="1"/>
    <col min="11025" max="11266" width="8.88671875" style="83"/>
    <col min="11267" max="11267" width="3.6640625" style="83" customWidth="1"/>
    <col min="11268" max="11268" width="4.109375" style="83" customWidth="1"/>
    <col min="11269" max="11269" width="1.33203125" style="83" customWidth="1"/>
    <col min="11270" max="11271" width="12.109375" style="83" customWidth="1"/>
    <col min="11272" max="11272" width="1.109375" style="83" customWidth="1"/>
    <col min="11273" max="11277" width="8.88671875" style="83"/>
    <col min="11278" max="11279" width="5.88671875" style="83" customWidth="1"/>
    <col min="11280" max="11280" width="6.33203125" style="83" customWidth="1"/>
    <col min="11281" max="11522" width="8.88671875" style="83"/>
    <col min="11523" max="11523" width="3.6640625" style="83" customWidth="1"/>
    <col min="11524" max="11524" width="4.109375" style="83" customWidth="1"/>
    <col min="11525" max="11525" width="1.33203125" style="83" customWidth="1"/>
    <col min="11526" max="11527" width="12.109375" style="83" customWidth="1"/>
    <col min="11528" max="11528" width="1.109375" style="83" customWidth="1"/>
    <col min="11529" max="11533" width="8.88671875" style="83"/>
    <col min="11534" max="11535" width="5.88671875" style="83" customWidth="1"/>
    <col min="11536" max="11536" width="6.33203125" style="83" customWidth="1"/>
    <col min="11537" max="11778" width="8.88671875" style="83"/>
    <col min="11779" max="11779" width="3.6640625" style="83" customWidth="1"/>
    <col min="11780" max="11780" width="4.109375" style="83" customWidth="1"/>
    <col min="11781" max="11781" width="1.33203125" style="83" customWidth="1"/>
    <col min="11782" max="11783" width="12.109375" style="83" customWidth="1"/>
    <col min="11784" max="11784" width="1.109375" style="83" customWidth="1"/>
    <col min="11785" max="11789" width="8.88671875" style="83"/>
    <col min="11790" max="11791" width="5.88671875" style="83" customWidth="1"/>
    <col min="11792" max="11792" width="6.33203125" style="83" customWidth="1"/>
    <col min="11793" max="12034" width="8.88671875" style="83"/>
    <col min="12035" max="12035" width="3.6640625" style="83" customWidth="1"/>
    <col min="12036" max="12036" width="4.109375" style="83" customWidth="1"/>
    <col min="12037" max="12037" width="1.33203125" style="83" customWidth="1"/>
    <col min="12038" max="12039" width="12.109375" style="83" customWidth="1"/>
    <col min="12040" max="12040" width="1.109375" style="83" customWidth="1"/>
    <col min="12041" max="12045" width="8.88671875" style="83"/>
    <col min="12046" max="12047" width="5.88671875" style="83" customWidth="1"/>
    <col min="12048" max="12048" width="6.33203125" style="83" customWidth="1"/>
    <col min="12049" max="12290" width="8.88671875" style="83"/>
    <col min="12291" max="12291" width="3.6640625" style="83" customWidth="1"/>
    <col min="12292" max="12292" width="4.109375" style="83" customWidth="1"/>
    <col min="12293" max="12293" width="1.33203125" style="83" customWidth="1"/>
    <col min="12294" max="12295" width="12.109375" style="83" customWidth="1"/>
    <col min="12296" max="12296" width="1.109375" style="83" customWidth="1"/>
    <col min="12297" max="12301" width="8.88671875" style="83"/>
    <col min="12302" max="12303" width="5.88671875" style="83" customWidth="1"/>
    <col min="12304" max="12304" width="6.33203125" style="83" customWidth="1"/>
    <col min="12305" max="12546" width="8.88671875" style="83"/>
    <col min="12547" max="12547" width="3.6640625" style="83" customWidth="1"/>
    <col min="12548" max="12548" width="4.109375" style="83" customWidth="1"/>
    <col min="12549" max="12549" width="1.33203125" style="83" customWidth="1"/>
    <col min="12550" max="12551" width="12.109375" style="83" customWidth="1"/>
    <col min="12552" max="12552" width="1.109375" style="83" customWidth="1"/>
    <col min="12553" max="12557" width="8.88671875" style="83"/>
    <col min="12558" max="12559" width="5.88671875" style="83" customWidth="1"/>
    <col min="12560" max="12560" width="6.33203125" style="83" customWidth="1"/>
    <col min="12561" max="12802" width="8.88671875" style="83"/>
    <col min="12803" max="12803" width="3.6640625" style="83" customWidth="1"/>
    <col min="12804" max="12804" width="4.109375" style="83" customWidth="1"/>
    <col min="12805" max="12805" width="1.33203125" style="83" customWidth="1"/>
    <col min="12806" max="12807" width="12.109375" style="83" customWidth="1"/>
    <col min="12808" max="12808" width="1.109375" style="83" customWidth="1"/>
    <col min="12809" max="12813" width="8.88671875" style="83"/>
    <col min="12814" max="12815" width="5.88671875" style="83" customWidth="1"/>
    <col min="12816" max="12816" width="6.33203125" style="83" customWidth="1"/>
    <col min="12817" max="13058" width="8.88671875" style="83"/>
    <col min="13059" max="13059" width="3.6640625" style="83" customWidth="1"/>
    <col min="13060" max="13060" width="4.109375" style="83" customWidth="1"/>
    <col min="13061" max="13061" width="1.33203125" style="83" customWidth="1"/>
    <col min="13062" max="13063" width="12.109375" style="83" customWidth="1"/>
    <col min="13064" max="13064" width="1.109375" style="83" customWidth="1"/>
    <col min="13065" max="13069" width="8.88671875" style="83"/>
    <col min="13070" max="13071" width="5.88671875" style="83" customWidth="1"/>
    <col min="13072" max="13072" width="6.33203125" style="83" customWidth="1"/>
    <col min="13073" max="13314" width="8.88671875" style="83"/>
    <col min="13315" max="13315" width="3.6640625" style="83" customWidth="1"/>
    <col min="13316" max="13316" width="4.109375" style="83" customWidth="1"/>
    <col min="13317" max="13317" width="1.33203125" style="83" customWidth="1"/>
    <col min="13318" max="13319" width="12.109375" style="83" customWidth="1"/>
    <col min="13320" max="13320" width="1.109375" style="83" customWidth="1"/>
    <col min="13321" max="13325" width="8.88671875" style="83"/>
    <col min="13326" max="13327" width="5.88671875" style="83" customWidth="1"/>
    <col min="13328" max="13328" width="6.33203125" style="83" customWidth="1"/>
    <col min="13329" max="13570" width="8.88671875" style="83"/>
    <col min="13571" max="13571" width="3.6640625" style="83" customWidth="1"/>
    <col min="13572" max="13572" width="4.109375" style="83" customWidth="1"/>
    <col min="13573" max="13573" width="1.33203125" style="83" customWidth="1"/>
    <col min="13574" max="13575" width="12.109375" style="83" customWidth="1"/>
    <col min="13576" max="13576" width="1.109375" style="83" customWidth="1"/>
    <col min="13577" max="13581" width="8.88671875" style="83"/>
    <col min="13582" max="13583" width="5.88671875" style="83" customWidth="1"/>
    <col min="13584" max="13584" width="6.33203125" style="83" customWidth="1"/>
    <col min="13585" max="13826" width="8.88671875" style="83"/>
    <col min="13827" max="13827" width="3.6640625" style="83" customWidth="1"/>
    <col min="13828" max="13828" width="4.109375" style="83" customWidth="1"/>
    <col min="13829" max="13829" width="1.33203125" style="83" customWidth="1"/>
    <col min="13830" max="13831" width="12.109375" style="83" customWidth="1"/>
    <col min="13832" max="13832" width="1.109375" style="83" customWidth="1"/>
    <col min="13833" max="13837" width="8.88671875" style="83"/>
    <col min="13838" max="13839" width="5.88671875" style="83" customWidth="1"/>
    <col min="13840" max="13840" width="6.33203125" style="83" customWidth="1"/>
    <col min="13841" max="14082" width="8.88671875" style="83"/>
    <col min="14083" max="14083" width="3.6640625" style="83" customWidth="1"/>
    <col min="14084" max="14084" width="4.109375" style="83" customWidth="1"/>
    <col min="14085" max="14085" width="1.33203125" style="83" customWidth="1"/>
    <col min="14086" max="14087" width="12.109375" style="83" customWidth="1"/>
    <col min="14088" max="14088" width="1.109375" style="83" customWidth="1"/>
    <col min="14089" max="14093" width="8.88671875" style="83"/>
    <col min="14094" max="14095" width="5.88671875" style="83" customWidth="1"/>
    <col min="14096" max="14096" width="6.33203125" style="83" customWidth="1"/>
    <col min="14097" max="14338" width="8.88671875" style="83"/>
    <col min="14339" max="14339" width="3.6640625" style="83" customWidth="1"/>
    <col min="14340" max="14340" width="4.109375" style="83" customWidth="1"/>
    <col min="14341" max="14341" width="1.33203125" style="83" customWidth="1"/>
    <col min="14342" max="14343" width="12.109375" style="83" customWidth="1"/>
    <col min="14344" max="14344" width="1.109375" style="83" customWidth="1"/>
    <col min="14345" max="14349" width="8.88671875" style="83"/>
    <col min="14350" max="14351" width="5.88671875" style="83" customWidth="1"/>
    <col min="14352" max="14352" width="6.33203125" style="83" customWidth="1"/>
    <col min="14353" max="14594" width="8.88671875" style="83"/>
    <col min="14595" max="14595" width="3.6640625" style="83" customWidth="1"/>
    <col min="14596" max="14596" width="4.109375" style="83" customWidth="1"/>
    <col min="14597" max="14597" width="1.33203125" style="83" customWidth="1"/>
    <col min="14598" max="14599" width="12.109375" style="83" customWidth="1"/>
    <col min="14600" max="14600" width="1.109375" style="83" customWidth="1"/>
    <col min="14601" max="14605" width="8.88671875" style="83"/>
    <col min="14606" max="14607" width="5.88671875" style="83" customWidth="1"/>
    <col min="14608" max="14608" width="6.33203125" style="83" customWidth="1"/>
    <col min="14609" max="14850" width="8.88671875" style="83"/>
    <col min="14851" max="14851" width="3.6640625" style="83" customWidth="1"/>
    <col min="14852" max="14852" width="4.109375" style="83" customWidth="1"/>
    <col min="14853" max="14853" width="1.33203125" style="83" customWidth="1"/>
    <col min="14854" max="14855" width="12.109375" style="83" customWidth="1"/>
    <col min="14856" max="14856" width="1.109375" style="83" customWidth="1"/>
    <col min="14857" max="14861" width="8.88671875" style="83"/>
    <col min="14862" max="14863" width="5.88671875" style="83" customWidth="1"/>
    <col min="14864" max="14864" width="6.33203125" style="83" customWidth="1"/>
    <col min="14865" max="15106" width="8.88671875" style="83"/>
    <col min="15107" max="15107" width="3.6640625" style="83" customWidth="1"/>
    <col min="15108" max="15108" width="4.109375" style="83" customWidth="1"/>
    <col min="15109" max="15109" width="1.33203125" style="83" customWidth="1"/>
    <col min="15110" max="15111" width="12.109375" style="83" customWidth="1"/>
    <col min="15112" max="15112" width="1.109375" style="83" customWidth="1"/>
    <col min="15113" max="15117" width="8.88671875" style="83"/>
    <col min="15118" max="15119" width="5.88671875" style="83" customWidth="1"/>
    <col min="15120" max="15120" width="6.33203125" style="83" customWidth="1"/>
    <col min="15121" max="15362" width="8.88671875" style="83"/>
    <col min="15363" max="15363" width="3.6640625" style="83" customWidth="1"/>
    <col min="15364" max="15364" width="4.109375" style="83" customWidth="1"/>
    <col min="15365" max="15365" width="1.33203125" style="83" customWidth="1"/>
    <col min="15366" max="15367" width="12.109375" style="83" customWidth="1"/>
    <col min="15368" max="15368" width="1.109375" style="83" customWidth="1"/>
    <col min="15369" max="15373" width="8.88671875" style="83"/>
    <col min="15374" max="15375" width="5.88671875" style="83" customWidth="1"/>
    <col min="15376" max="15376" width="6.33203125" style="83" customWidth="1"/>
    <col min="15377" max="15618" width="8.88671875" style="83"/>
    <col min="15619" max="15619" width="3.6640625" style="83" customWidth="1"/>
    <col min="15620" max="15620" width="4.109375" style="83" customWidth="1"/>
    <col min="15621" max="15621" width="1.33203125" style="83" customWidth="1"/>
    <col min="15622" max="15623" width="12.109375" style="83" customWidth="1"/>
    <col min="15624" max="15624" width="1.109375" style="83" customWidth="1"/>
    <col min="15625" max="15629" width="8.88671875" style="83"/>
    <col min="15630" max="15631" width="5.88671875" style="83" customWidth="1"/>
    <col min="15632" max="15632" width="6.33203125" style="83" customWidth="1"/>
    <col min="15633" max="15874" width="8.88671875" style="83"/>
    <col min="15875" max="15875" width="3.6640625" style="83" customWidth="1"/>
    <col min="15876" max="15876" width="4.109375" style="83" customWidth="1"/>
    <col min="15877" max="15877" width="1.33203125" style="83" customWidth="1"/>
    <col min="15878" max="15879" width="12.109375" style="83" customWidth="1"/>
    <col min="15880" max="15880" width="1.109375" style="83" customWidth="1"/>
    <col min="15881" max="15885" width="8.88671875" style="83"/>
    <col min="15886" max="15887" width="5.88671875" style="83" customWidth="1"/>
    <col min="15888" max="15888" width="6.33203125" style="83" customWidth="1"/>
    <col min="15889" max="16130" width="8.88671875" style="83"/>
    <col min="16131" max="16131" width="3.6640625" style="83" customWidth="1"/>
    <col min="16132" max="16132" width="4.109375" style="83" customWidth="1"/>
    <col min="16133" max="16133" width="1.33203125" style="83" customWidth="1"/>
    <col min="16134" max="16135" width="12.109375" style="83" customWidth="1"/>
    <col min="16136" max="16136" width="1.109375" style="83" customWidth="1"/>
    <col min="16137" max="16141" width="8.88671875" style="83"/>
    <col min="16142" max="16143" width="5.88671875" style="83" customWidth="1"/>
    <col min="16144" max="16144" width="6.33203125" style="83" customWidth="1"/>
    <col min="16145" max="16384" width="8.88671875" style="83"/>
  </cols>
  <sheetData>
    <row r="1" spans="1:21" x14ac:dyDescent="0.3">
      <c r="A1" s="62" t="s">
        <v>203</v>
      </c>
      <c r="C1" s="83" t="s">
        <v>233</v>
      </c>
      <c r="K1" s="84" t="s">
        <v>234</v>
      </c>
      <c r="L1" s="85"/>
    </row>
    <row r="2" spans="1:21" ht="15" thickBot="1" x14ac:dyDescent="0.35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3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" thickBot="1" x14ac:dyDescent="0.35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3">
      <c r="A5" s="62" t="s">
        <v>209</v>
      </c>
      <c r="N5" s="96">
        <v>0</v>
      </c>
      <c r="O5" s="97">
        <v>1</v>
      </c>
      <c r="P5" s="98">
        <v>1</v>
      </c>
    </row>
    <row r="6" spans="1:21" ht="15" thickBot="1" x14ac:dyDescent="0.35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3">
      <c r="A7" s="62" t="s">
        <v>210</v>
      </c>
      <c r="R7" s="101"/>
    </row>
    <row r="8" spans="1:21" x14ac:dyDescent="0.3">
      <c r="A8" s="64" t="s">
        <v>200</v>
      </c>
      <c r="R8" s="101"/>
    </row>
    <row r="9" spans="1:21" ht="15" thickBot="1" x14ac:dyDescent="0.35">
      <c r="A9" s="63">
        <f>VLOOKUP(A8,OpenSolverResultCodes,2,FALSE)</f>
        <v>0</v>
      </c>
    </row>
    <row r="10" spans="1:21" ht="15" thickBot="1" x14ac:dyDescent="0.35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0.94240514092842453</v>
      </c>
      <c r="T10" s="101" t="s">
        <v>8</v>
      </c>
      <c r="U10" s="83">
        <v>2</v>
      </c>
    </row>
    <row r="11" spans="1:21" x14ac:dyDescent="0.3">
      <c r="P11" s="101" t="s">
        <v>243</v>
      </c>
      <c r="Q11" s="83">
        <v>0</v>
      </c>
      <c r="R11" s="101" t="s">
        <v>8</v>
      </c>
      <c r="S11" s="83">
        <v>0.41277404755459951</v>
      </c>
      <c r="T11" s="101" t="s">
        <v>8</v>
      </c>
      <c r="U11" s="83">
        <v>1</v>
      </c>
    </row>
    <row r="13" spans="1:21" x14ac:dyDescent="0.3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3.2" x14ac:dyDescent="0.25">
      <c r="A31" s="166"/>
      <c r="B31" s="83" t="s">
        <v>245</v>
      </c>
      <c r="C31" s="83" t="s">
        <v>246</v>
      </c>
    </row>
    <row r="32" spans="1:3" ht="13.2" x14ac:dyDescent="0.25">
      <c r="A32" s="166"/>
      <c r="B32" s="83">
        <v>2.5000000000000001E-2</v>
      </c>
      <c r="C32" s="83">
        <v>0.05</v>
      </c>
    </row>
    <row r="33" spans="1:45" ht="13.2" x14ac:dyDescent="0.25">
      <c r="A33" s="166"/>
      <c r="B33" s="83" t="s">
        <v>243</v>
      </c>
      <c r="C33" s="83" t="s">
        <v>242</v>
      </c>
    </row>
    <row r="34" spans="1:45" ht="13.2" x14ac:dyDescent="0.25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3.2" x14ac:dyDescent="0.25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3.2" x14ac:dyDescent="0.25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3.2" x14ac:dyDescent="0.25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3.2" x14ac:dyDescent="0.25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3.2" x14ac:dyDescent="0.25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3.2" x14ac:dyDescent="0.25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3.2" x14ac:dyDescent="0.25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3.2" x14ac:dyDescent="0.25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3.2" x14ac:dyDescent="0.25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3.2" x14ac:dyDescent="0.25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3.2" x14ac:dyDescent="0.25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3.2" x14ac:dyDescent="0.25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3.2" x14ac:dyDescent="0.25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3.2" x14ac:dyDescent="0.25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3.2" x14ac:dyDescent="0.25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3.2" x14ac:dyDescent="0.25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3.2" x14ac:dyDescent="0.25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3.2" x14ac:dyDescent="0.25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3.2" x14ac:dyDescent="0.25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3.2" x14ac:dyDescent="0.25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3.2" x14ac:dyDescent="0.25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3.2" x14ac:dyDescent="0.25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3.2" x14ac:dyDescent="0.25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3.2" x14ac:dyDescent="0.25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3.2" x14ac:dyDescent="0.25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3.2" x14ac:dyDescent="0.25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3.2" x14ac:dyDescent="0.25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3.2" x14ac:dyDescent="0.25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3.2" x14ac:dyDescent="0.25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3.2" x14ac:dyDescent="0.25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3.2" x14ac:dyDescent="0.25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3.2" x14ac:dyDescent="0.25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3.2" x14ac:dyDescent="0.25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3.2" x14ac:dyDescent="0.25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3.2" x14ac:dyDescent="0.25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3.2" x14ac:dyDescent="0.25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3.2" x14ac:dyDescent="0.25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3.2" x14ac:dyDescent="0.25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3.2" x14ac:dyDescent="0.25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3.2" x14ac:dyDescent="0.25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3.2" x14ac:dyDescent="0.25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3.2" x14ac:dyDescent="0.25">
      <c r="A76" s="166"/>
    </row>
    <row r="77" spans="1:45" ht="13.2" x14ac:dyDescent="0.25">
      <c r="A77" s="166"/>
      <c r="B77" s="83" t="s">
        <v>248</v>
      </c>
      <c r="C77" s="83">
        <f>MIN(C35:AQ75)</f>
        <v>5.1851594388177826</v>
      </c>
    </row>
    <row r="78" spans="1:45" ht="13.2" x14ac:dyDescent="0.25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3.2" x14ac:dyDescent="0.25">
      <c r="A79" s="166"/>
    </row>
    <row r="80" spans="1:45" ht="13.2" x14ac:dyDescent="0.25">
      <c r="A80" s="166"/>
      <c r="B80" s="83" t="s">
        <v>241</v>
      </c>
      <c r="C80" s="83">
        <f>SUMPRODUCT(y,AS35:AS75)</f>
        <v>0.4250000000000001</v>
      </c>
    </row>
    <row r="81" spans="1:3" ht="13.2" x14ac:dyDescent="0.25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 xr:uid="{00000000-0002-0000-4500-000000000000}">
      <formula1>OpenSolverResult</formula1>
    </dataValidation>
    <dataValidation type="list" allowBlank="1" showInputMessage="1" showErrorMessage="1" sqref="A4" xr:uid="{00000000-0002-0000-4500-000001000000}">
      <formula1>ModelType</formula1>
    </dataValidation>
    <dataValidation type="list" allowBlank="1" showInputMessage="1" showErrorMessage="1" sqref="A2" xr:uid="{00000000-0002-0000-4500-000002000000}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NonLin4"/>
  <dimension ref="A1:E27"/>
  <sheetViews>
    <sheetView workbookViewId="0"/>
  </sheetViews>
  <sheetFormatPr defaultColWidth="8.88671875" defaultRowHeight="14.4" x14ac:dyDescent="0.3"/>
  <cols>
    <col min="1" max="1" width="15" style="60" bestFit="1" customWidth="1"/>
    <col min="2" max="2" width="3" style="83" customWidth="1"/>
    <col min="3" max="3" width="25.109375" style="83" bestFit="1" customWidth="1"/>
    <col min="4" max="4" width="12" style="83" bestFit="1" customWidth="1"/>
    <col min="5" max="16384" width="8.88671875" style="83"/>
  </cols>
  <sheetData>
    <row r="1" spans="1:5" x14ac:dyDescent="0.3">
      <c r="A1" s="62" t="s">
        <v>203</v>
      </c>
      <c r="C1" s="102"/>
      <c r="D1" s="103"/>
      <c r="E1" s="102"/>
    </row>
    <row r="2" spans="1:5" ht="15" thickBot="1" x14ac:dyDescent="0.35">
      <c r="A2" s="63" t="s">
        <v>205</v>
      </c>
      <c r="C2" s="104"/>
      <c r="D2" s="105"/>
      <c r="E2" s="102"/>
    </row>
    <row r="3" spans="1:5" x14ac:dyDescent="0.3">
      <c r="A3" s="62" t="s">
        <v>208</v>
      </c>
      <c r="C3" s="106" t="s">
        <v>259</v>
      </c>
      <c r="D3" s="107">
        <v>365</v>
      </c>
      <c r="E3" s="108"/>
    </row>
    <row r="4" spans="1:5" ht="15" thickBot="1" x14ac:dyDescent="0.35">
      <c r="A4" s="63" t="s">
        <v>207</v>
      </c>
      <c r="C4" s="106" t="s">
        <v>260</v>
      </c>
      <c r="D4" s="107">
        <v>5</v>
      </c>
      <c r="E4" s="108"/>
    </row>
    <row r="5" spans="1:5" x14ac:dyDescent="0.3">
      <c r="A5" s="62" t="s">
        <v>209</v>
      </c>
      <c r="C5" s="106" t="s">
        <v>261</v>
      </c>
      <c r="D5" s="109">
        <v>10</v>
      </c>
      <c r="E5" s="108"/>
    </row>
    <row r="6" spans="1:5" ht="15" thickBot="1" x14ac:dyDescent="0.35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3">
      <c r="A7" s="62" t="s">
        <v>210</v>
      </c>
      <c r="C7" s="106" t="s">
        <v>263</v>
      </c>
      <c r="D7" s="107">
        <v>0.1</v>
      </c>
      <c r="E7" s="108"/>
    </row>
    <row r="8" spans="1:5" x14ac:dyDescent="0.3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" thickBot="1" x14ac:dyDescent="0.35">
      <c r="A9" s="63">
        <f>VLOOKUP(A8,OpenSolverResultCodes,2,FALSE)</f>
        <v>0</v>
      </c>
      <c r="C9" s="106"/>
      <c r="D9" s="107"/>
      <c r="E9" s="108"/>
    </row>
    <row r="10" spans="1:5" ht="15" thickBot="1" x14ac:dyDescent="0.35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3">
      <c r="C11" s="106" t="s">
        <v>265</v>
      </c>
      <c r="D11" s="164">
        <v>135.0925608652621</v>
      </c>
      <c r="E11" s="108"/>
    </row>
    <row r="12" spans="1:5" x14ac:dyDescent="0.3">
      <c r="C12" s="106" t="s">
        <v>266</v>
      </c>
      <c r="D12" s="107">
        <f>D11/D4</f>
        <v>27.018512173052422</v>
      </c>
      <c r="E12" s="108"/>
    </row>
    <row r="13" spans="1:5" x14ac:dyDescent="0.3">
      <c r="C13" s="106" t="s">
        <v>267</v>
      </c>
      <c r="D13" s="109">
        <f>D8*D11/2</f>
        <v>0.37011660511030714</v>
      </c>
      <c r="E13" s="108"/>
    </row>
    <row r="14" spans="1:5" x14ac:dyDescent="0.3">
      <c r="C14" s="106" t="s">
        <v>268</v>
      </c>
      <c r="D14" s="110">
        <f>D5/D12</f>
        <v>0.3701166050872981</v>
      </c>
      <c r="E14" s="108"/>
    </row>
    <row r="15" spans="1:5" x14ac:dyDescent="0.3">
      <c r="C15" s="106"/>
      <c r="D15" s="107"/>
      <c r="E15" s="108"/>
    </row>
    <row r="16" spans="1:5" x14ac:dyDescent="0.3">
      <c r="C16" s="106" t="s">
        <v>269</v>
      </c>
      <c r="D16" s="111">
        <f>D13+D14</f>
        <v>0.74023321019760524</v>
      </c>
      <c r="E16" s="108"/>
    </row>
    <row r="17" spans="3:4" x14ac:dyDescent="0.3">
      <c r="D17" s="83" t="b">
        <f>D16&lt;0.75</f>
        <v>1</v>
      </c>
    </row>
    <row r="25" spans="3:4" x14ac:dyDescent="0.3">
      <c r="C25" s="83" t="s">
        <v>270</v>
      </c>
    </row>
    <row r="26" spans="3:4" x14ac:dyDescent="0.3">
      <c r="C26" s="83" t="s">
        <v>271</v>
      </c>
    </row>
    <row r="27" spans="3:4" x14ac:dyDescent="0.3">
      <c r="C27" s="83" t="s">
        <v>272</v>
      </c>
    </row>
  </sheetData>
  <dataConsolidate/>
  <dataValidations count="3">
    <dataValidation type="list" allowBlank="1" showInputMessage="1" showErrorMessage="1" sqref="A8" xr:uid="{00000000-0002-0000-4600-000000000000}">
      <formula1>OpenSolverResult</formula1>
    </dataValidation>
    <dataValidation type="list" allowBlank="1" showInputMessage="1" showErrorMessage="1" sqref="A4" xr:uid="{00000000-0002-0000-4600-000001000000}">
      <formula1>ModelType</formula1>
    </dataValidation>
    <dataValidation type="list" allowBlank="1" showInputMessage="1" showErrorMessage="1" sqref="A2" xr:uid="{00000000-0002-0000-4600-000002000000}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NonLin5"/>
  <dimension ref="A1:P36"/>
  <sheetViews>
    <sheetView workbookViewId="0"/>
  </sheetViews>
  <sheetFormatPr defaultColWidth="8.88671875" defaultRowHeight="14.4" x14ac:dyDescent="0.3"/>
  <cols>
    <col min="1" max="1" width="15" style="60" bestFit="1" customWidth="1"/>
    <col min="2" max="2" width="3" style="83" customWidth="1"/>
    <col min="3" max="3" width="9.88671875" style="83" customWidth="1"/>
    <col min="4" max="4" width="2.33203125" style="86" bestFit="1" customWidth="1"/>
    <col min="5" max="5" width="2.33203125" style="83" bestFit="1" customWidth="1"/>
    <col min="6" max="9" width="5.88671875" style="83" customWidth="1"/>
    <col min="10" max="10" width="15.109375" style="124" bestFit="1" customWidth="1"/>
    <col min="11" max="11" width="3.33203125" style="83" bestFit="1" customWidth="1"/>
    <col min="12" max="13" width="8.88671875" style="83"/>
    <col min="14" max="14" width="10.88671875" style="86" customWidth="1"/>
    <col min="15" max="16" width="8.88671875" style="86"/>
    <col min="17" max="16384" width="8.88671875" style="83"/>
  </cols>
  <sheetData>
    <row r="1" spans="1:16" s="113" customFormat="1" x14ac:dyDescent="0.3">
      <c r="A1" s="62" t="s">
        <v>203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" thickBot="1" x14ac:dyDescent="0.35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3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" thickBot="1" x14ac:dyDescent="0.35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3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" thickBot="1" x14ac:dyDescent="0.35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3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3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" thickBot="1" x14ac:dyDescent="0.35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" thickBot="1" x14ac:dyDescent="0.35">
      <c r="A10" s="156" t="str">
        <f>HYPERLINK("[OpenSolver Tester.xlsm]Results!A1", "&lt;- Results")</f>
        <v>&lt;- Results</v>
      </c>
    </row>
    <row r="11" spans="1:16" x14ac:dyDescent="0.3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3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3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3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3">
      <c r="N18" s="86" t="s">
        <v>126</v>
      </c>
      <c r="O18" s="86">
        <v>9</v>
      </c>
    </row>
    <row r="19" spans="4:16" x14ac:dyDescent="0.3">
      <c r="N19" s="86" t="s">
        <v>222</v>
      </c>
      <c r="O19" s="86">
        <v>15</v>
      </c>
    </row>
    <row r="20" spans="4:16" x14ac:dyDescent="0.3">
      <c r="N20" s="86" t="s">
        <v>128</v>
      </c>
      <c r="O20" s="86">
        <v>18</v>
      </c>
    </row>
    <row r="21" spans="4:16" x14ac:dyDescent="0.3">
      <c r="N21" s="86" t="s">
        <v>223</v>
      </c>
      <c r="O21" s="86">
        <v>15</v>
      </c>
    </row>
    <row r="23" spans="4:16" x14ac:dyDescent="0.3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3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3">
      <c r="D27" s="83"/>
      <c r="F27" s="86"/>
      <c r="G27" s="86"/>
      <c r="H27" s="86"/>
      <c r="J27" s="83"/>
      <c r="N27" s="83"/>
      <c r="O27" s="83"/>
      <c r="P27" s="83"/>
    </row>
    <row r="28" spans="4:16" x14ac:dyDescent="0.3">
      <c r="D28" s="83"/>
      <c r="F28" s="86"/>
      <c r="G28" s="86"/>
      <c r="H28" s="86"/>
      <c r="J28" s="83"/>
      <c r="N28" s="83"/>
      <c r="O28" s="83"/>
      <c r="P28" s="83"/>
    </row>
    <row r="29" spans="4:16" x14ac:dyDescent="0.3">
      <c r="D29" s="83"/>
      <c r="F29" s="86"/>
      <c r="G29" s="86"/>
      <c r="H29" s="86"/>
      <c r="J29" s="83"/>
      <c r="N29" s="83"/>
      <c r="O29" s="83"/>
      <c r="P29" s="83"/>
    </row>
    <row r="30" spans="4:16" x14ac:dyDescent="0.3">
      <c r="D30" s="83"/>
      <c r="F30" s="86"/>
      <c r="G30" s="86"/>
      <c r="H30" s="86"/>
      <c r="J30" s="83"/>
      <c r="N30" s="83"/>
      <c r="O30" s="83"/>
      <c r="P30" s="83"/>
    </row>
    <row r="31" spans="4:16" x14ac:dyDescent="0.3">
      <c r="D31" s="83"/>
      <c r="F31" s="86"/>
      <c r="G31" s="86"/>
      <c r="H31" s="86"/>
      <c r="J31" s="83"/>
      <c r="N31" s="83"/>
      <c r="O31" s="83"/>
      <c r="P31" s="83"/>
    </row>
    <row r="32" spans="4:16" x14ac:dyDescent="0.3">
      <c r="D32" s="83"/>
      <c r="F32" s="86"/>
      <c r="G32" s="86"/>
      <c r="H32" s="86"/>
      <c r="J32" s="83"/>
      <c r="N32" s="83"/>
      <c r="O32" s="83"/>
      <c r="P32" s="83"/>
    </row>
    <row r="33" spans="4:16" x14ac:dyDescent="0.3">
      <c r="D33" s="83"/>
      <c r="F33" s="86"/>
      <c r="G33" s="86"/>
      <c r="H33" s="86"/>
      <c r="J33" s="83"/>
      <c r="N33" s="83"/>
      <c r="O33" s="83"/>
      <c r="P33" s="83"/>
    </row>
    <row r="34" spans="4:16" x14ac:dyDescent="0.3">
      <c r="D34" s="83"/>
      <c r="F34" s="86"/>
      <c r="G34" s="86"/>
      <c r="H34" s="86"/>
      <c r="J34" s="83"/>
      <c r="N34" s="83"/>
      <c r="O34" s="83"/>
      <c r="P34" s="83"/>
    </row>
    <row r="35" spans="4:16" x14ac:dyDescent="0.3">
      <c r="D35" s="83"/>
      <c r="F35" s="86"/>
      <c r="G35" s="86"/>
      <c r="H35" s="86"/>
      <c r="J35" s="83"/>
      <c r="N35" s="83"/>
      <c r="O35" s="83"/>
      <c r="P35" s="83"/>
    </row>
    <row r="36" spans="4:16" x14ac:dyDescent="0.3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 xr:uid="{00000000-0002-0000-4700-000000000000}">
      <formula1>TestType</formula1>
    </dataValidation>
    <dataValidation type="list" allowBlank="1" showInputMessage="1" showErrorMessage="1" sqref="A4" xr:uid="{00000000-0002-0000-4700-000001000000}">
      <formula1>ModelType</formula1>
    </dataValidation>
    <dataValidation type="list" allowBlank="1" showInputMessage="1" showErrorMessage="1" sqref="A8" xr:uid="{00000000-0002-0000-4700-000002000000}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NonLin6"/>
  <dimension ref="A1:I31"/>
  <sheetViews>
    <sheetView workbookViewId="0">
      <selection activeCell="G16" sqref="G16"/>
    </sheetView>
  </sheetViews>
  <sheetFormatPr defaultColWidth="10.109375" defaultRowHeight="14.4" x14ac:dyDescent="0.3"/>
  <cols>
    <col min="1" max="1" width="15" style="60" bestFit="1" customWidth="1"/>
    <col min="2" max="2" width="3" style="83" customWidth="1"/>
    <col min="3" max="3" width="10.109375" style="125" customWidth="1"/>
    <col min="4" max="4" width="7" style="125" customWidth="1"/>
    <col min="5" max="16384" width="10.109375" style="125"/>
  </cols>
  <sheetData>
    <row r="1" spans="1:9" x14ac:dyDescent="0.3">
      <c r="A1" s="62" t="s">
        <v>203</v>
      </c>
      <c r="C1" s="191" t="s">
        <v>285</v>
      </c>
      <c r="D1" s="191"/>
      <c r="E1" s="191"/>
    </row>
    <row r="2" spans="1:9" ht="16.2" thickBot="1" x14ac:dyDescent="0.4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6" x14ac:dyDescent="0.35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" thickBot="1" x14ac:dyDescent="0.35">
      <c r="A4" s="63" t="s">
        <v>207</v>
      </c>
      <c r="C4" s="126" t="s">
        <v>289</v>
      </c>
      <c r="D4" s="125">
        <v>7</v>
      </c>
      <c r="H4" s="125">
        <f>COS(RADIANS(D7))*D2</f>
        <v>2.3571428552810598</v>
      </c>
      <c r="I4" s="125">
        <f>SIN(RADIANS(D7))*D2</f>
        <v>1.8557687247600261</v>
      </c>
    </row>
    <row r="5" spans="1:9" x14ac:dyDescent="0.3">
      <c r="A5" s="62" t="s">
        <v>209</v>
      </c>
      <c r="H5" s="125">
        <f>H4+COS(RADIANS(D8))*D3</f>
        <v>6.9999999979988861</v>
      </c>
      <c r="I5" s="125">
        <f>I4+SIN(RADIANS(D8))*D3</f>
        <v>2.0162513880706001E-9</v>
      </c>
    </row>
    <row r="6" spans="1:9" ht="15" thickBot="1" x14ac:dyDescent="0.35">
      <c r="A6" s="63" t="b">
        <f>AND(F16)</f>
        <v>1</v>
      </c>
      <c r="C6" s="191" t="s">
        <v>224</v>
      </c>
      <c r="D6" s="191"/>
      <c r="E6" s="191"/>
    </row>
    <row r="7" spans="1:9" x14ac:dyDescent="0.3">
      <c r="A7" s="62" t="s">
        <v>210</v>
      </c>
      <c r="C7" s="127" t="s">
        <v>290</v>
      </c>
      <c r="D7" s="168">
        <v>38.213210759220104</v>
      </c>
      <c r="E7" s="125" t="s">
        <v>291</v>
      </c>
    </row>
    <row r="8" spans="1:9" x14ac:dyDescent="0.3">
      <c r="A8" s="64" t="s">
        <v>200</v>
      </c>
      <c r="C8" s="127" t="s">
        <v>292</v>
      </c>
      <c r="D8" s="168">
        <v>-21.786789302563125</v>
      </c>
      <c r="E8" s="125" t="s">
        <v>291</v>
      </c>
      <c r="H8" s="125">
        <f>D4</f>
        <v>7</v>
      </c>
      <c r="I8" s="125">
        <v>0</v>
      </c>
    </row>
    <row r="9" spans="1:9" ht="15" thickBot="1" x14ac:dyDescent="0.35">
      <c r="A9" s="63">
        <f>VLOOKUP(A8,OpenSolverResultCodes,2,FALSE)</f>
        <v>0</v>
      </c>
    </row>
    <row r="10" spans="1:9" ht="15" thickBot="1" x14ac:dyDescent="0.35">
      <c r="A10" s="156" t="str">
        <f>HYPERLINK("[OpenSolver Tester.xlsm]Results!A1", "&lt;- Results")</f>
        <v>&lt;- Results</v>
      </c>
      <c r="C10" s="191" t="s">
        <v>293</v>
      </c>
      <c r="D10" s="191"/>
      <c r="E10" s="191"/>
    </row>
    <row r="11" spans="1:9" ht="16.2" x14ac:dyDescent="0.3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3">
      <c r="C12" s="130">
        <f>D2*COS(RADIANS(D7))+D3*COS(RADIANS(D8))</f>
        <v>6.9999999979988861</v>
      </c>
      <c r="D12" s="130">
        <f>D4</f>
        <v>7</v>
      </c>
      <c r="E12" s="130">
        <f>D12-C12</f>
        <v>2.001113941219046E-9</v>
      </c>
      <c r="F12" s="130">
        <f>E12^2</f>
        <v>4.0044570057412233E-18</v>
      </c>
    </row>
    <row r="13" spans="1:9" x14ac:dyDescent="0.3">
      <c r="C13" s="130">
        <f>D2*SIN(RADIANS(D7))+D3*SIN(RADIANS(D8))</f>
        <v>2.0162513880706001E-9</v>
      </c>
      <c r="D13" s="130">
        <v>0</v>
      </c>
      <c r="E13" s="130">
        <f>C13-D13</f>
        <v>2.0162513880706001E-9</v>
      </c>
      <c r="F13" s="130">
        <f>E13^2</f>
        <v>4.0652696598966217E-18</v>
      </c>
    </row>
    <row r="15" spans="1:9" x14ac:dyDescent="0.3">
      <c r="C15" s="191" t="s">
        <v>298</v>
      </c>
      <c r="D15" s="191"/>
      <c r="E15" s="191"/>
      <c r="F15" s="131">
        <f>SUM(F12:F13)</f>
        <v>8.069726665637845E-18</v>
      </c>
    </row>
    <row r="16" spans="1:9" x14ac:dyDescent="0.3">
      <c r="C16" s="132"/>
      <c r="F16" s="125" t="b">
        <f>ABS(F15)&lt;=0.000001</f>
        <v>1</v>
      </c>
    </row>
    <row r="27" spans="3:4" x14ac:dyDescent="0.3">
      <c r="C27" s="125" t="s">
        <v>299</v>
      </c>
      <c r="D27" s="128">
        <v>-30</v>
      </c>
    </row>
    <row r="28" spans="3:4" x14ac:dyDescent="0.3">
      <c r="C28" s="125" t="s">
        <v>300</v>
      </c>
      <c r="D28" s="128">
        <v>50</v>
      </c>
    </row>
    <row r="30" spans="3:4" x14ac:dyDescent="0.3">
      <c r="C30" s="125" t="s">
        <v>301</v>
      </c>
      <c r="D30" s="128">
        <v>30</v>
      </c>
    </row>
    <row r="31" spans="3:4" x14ac:dyDescent="0.3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 xr:uid="{00000000-0002-0000-4800-000000000000}">
      <formula1>OpenSolverResult</formula1>
    </dataValidation>
    <dataValidation type="list" allowBlank="1" showInputMessage="1" showErrorMessage="1" sqref="A4" xr:uid="{00000000-0002-0000-4800-000001000000}">
      <formula1>ModelType</formula1>
    </dataValidation>
    <dataValidation type="list" allowBlank="1" showInputMessage="1" showErrorMessage="1" sqref="A2" xr:uid="{00000000-0002-0000-4800-000002000000}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NOMADCallback"/>
  <dimension ref="A1:E11"/>
  <sheetViews>
    <sheetView workbookViewId="0"/>
  </sheetViews>
  <sheetFormatPr defaultColWidth="8.88671875" defaultRowHeight="14.4" x14ac:dyDescent="0.3"/>
  <cols>
    <col min="1" max="1" width="15" style="60" bestFit="1" customWidth="1"/>
    <col min="2" max="2" width="3" style="83" customWidth="1"/>
    <col min="3" max="3" width="17.44140625" customWidth="1"/>
    <col min="4" max="4" width="46.33203125" customWidth="1"/>
  </cols>
  <sheetData>
    <row r="1" spans="1:5" x14ac:dyDescent="0.3">
      <c r="A1" s="62" t="s">
        <v>203</v>
      </c>
    </row>
    <row r="2" spans="1:5" ht="15" thickBot="1" x14ac:dyDescent="0.35">
      <c r="A2" s="63" t="s">
        <v>204</v>
      </c>
      <c r="C2" s="17" t="s">
        <v>421</v>
      </c>
    </row>
    <row r="3" spans="1:5" x14ac:dyDescent="0.3">
      <c r="A3" s="62" t="s">
        <v>208</v>
      </c>
    </row>
    <row r="4" spans="1:5" ht="15" thickBot="1" x14ac:dyDescent="0.35">
      <c r="A4" s="63" t="s">
        <v>207</v>
      </c>
      <c r="C4" t="s">
        <v>422</v>
      </c>
      <c r="D4">
        <v>5.169878828456423E-26</v>
      </c>
      <c r="E4" t="s">
        <v>423</v>
      </c>
    </row>
    <row r="5" spans="1:5" x14ac:dyDescent="0.3">
      <c r="A5" s="62" t="s">
        <v>209</v>
      </c>
      <c r="D5" t="b">
        <f>AND(D4&lt;0.00000001,D6&lt;0.00000001)</f>
        <v>1</v>
      </c>
    </row>
    <row r="6" spans="1:5" ht="15" thickBot="1" x14ac:dyDescent="0.35">
      <c r="A6" s="63" t="b">
        <f>D5</f>
        <v>1</v>
      </c>
      <c r="C6" t="s">
        <v>424</v>
      </c>
      <c r="D6">
        <v>0</v>
      </c>
    </row>
    <row r="7" spans="1:5" x14ac:dyDescent="0.3">
      <c r="A7" s="62" t="s">
        <v>210</v>
      </c>
    </row>
    <row r="8" spans="1:5" x14ac:dyDescent="0.3">
      <c r="A8" s="64" t="s">
        <v>200</v>
      </c>
    </row>
    <row r="9" spans="1:5" ht="15" thickBot="1" x14ac:dyDescent="0.35">
      <c r="A9" s="63">
        <f>VLOOKUP(A8,OpenSolverResultCodes,2,FALSE)</f>
        <v>0</v>
      </c>
      <c r="C9" s="17" t="s">
        <v>425</v>
      </c>
    </row>
    <row r="10" spans="1:5" ht="15" thickBot="1" x14ac:dyDescent="0.35">
      <c r="A10" s="156" t="str">
        <f>HYPERLINK("[OpenSolver Tester.xlsm]Results!A1", "&lt;- Results")</f>
        <v>&lt;- Results</v>
      </c>
      <c r="C10" s="57" t="s">
        <v>426</v>
      </c>
      <c r="D10" s="185" t="s">
        <v>428</v>
      </c>
    </row>
    <row r="11" spans="1:5" x14ac:dyDescent="0.3">
      <c r="D11" t="s">
        <v>427</v>
      </c>
    </row>
  </sheetData>
  <dataValidations count="3">
    <dataValidation type="list" allowBlank="1" showInputMessage="1" showErrorMessage="1" sqref="A2" xr:uid="{00000000-0002-0000-4900-000000000000}">
      <formula1>TestType</formula1>
    </dataValidation>
    <dataValidation type="list" allowBlank="1" showInputMessage="1" showErrorMessage="1" sqref="A4" xr:uid="{00000000-0002-0000-4900-000001000000}">
      <formula1>ModelType</formula1>
    </dataValidation>
    <dataValidation type="list" allowBlank="1" showInputMessage="1" showErrorMessage="1" sqref="A8" xr:uid="{00000000-0002-0000-4900-000002000000}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zHighlighting"/>
  <dimension ref="B1:N18"/>
  <sheetViews>
    <sheetView workbookViewId="0">
      <selection activeCell="I16" sqref="I16"/>
    </sheetView>
  </sheetViews>
  <sheetFormatPr defaultColWidth="8.88671875" defaultRowHeight="14.4" x14ac:dyDescent="0.3"/>
  <cols>
    <col min="1" max="1" width="2.33203125" customWidth="1"/>
    <col min="2" max="2" width="4.88671875" customWidth="1"/>
    <col min="3" max="5" width="5.109375" style="1" customWidth="1"/>
    <col min="6" max="6" width="3.109375" style="1" customWidth="1"/>
    <col min="7" max="7" width="8.33203125" style="1" customWidth="1"/>
    <col min="8" max="8" width="3" style="1" customWidth="1"/>
    <col min="9" max="10" width="6" style="1" customWidth="1"/>
    <col min="11" max="11" width="1.6640625" style="1" customWidth="1"/>
    <col min="12" max="14" width="7" customWidth="1"/>
    <col min="15" max="15" width="1.6640625" customWidth="1"/>
  </cols>
  <sheetData>
    <row r="1" spans="2:14" x14ac:dyDescent="0.3">
      <c r="B1" t="s">
        <v>122</v>
      </c>
    </row>
    <row r="2" spans="2:14" x14ac:dyDescent="0.3">
      <c r="G2"/>
      <c r="H2"/>
      <c r="I2"/>
      <c r="J2"/>
      <c r="K2"/>
    </row>
    <row r="3" spans="2:14" x14ac:dyDescent="0.3">
      <c r="G3"/>
      <c r="H3"/>
      <c r="I3"/>
      <c r="J3"/>
      <c r="K3"/>
    </row>
    <row r="5" spans="2:14" x14ac:dyDescent="0.3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3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3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3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3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3">
      <c r="L12" s="1">
        <v>20</v>
      </c>
      <c r="M12" s="1">
        <f>M9*2</f>
        <v>1.8460000000000001</v>
      </c>
      <c r="N12">
        <v>50</v>
      </c>
    </row>
    <row r="15" spans="2:14" x14ac:dyDescent="0.3">
      <c r="M15">
        <f>N9</f>
        <v>1</v>
      </c>
    </row>
    <row r="17" spans="13:13" x14ac:dyDescent="0.3">
      <c r="M17">
        <f>L9</f>
        <v>1</v>
      </c>
    </row>
    <row r="18" spans="13:13" x14ac:dyDescent="0.3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AutoModel"/>
  <dimension ref="B2:H35"/>
  <sheetViews>
    <sheetView topLeftCell="A4" workbookViewId="0">
      <selection activeCell="E31" sqref="E31"/>
    </sheetView>
  </sheetViews>
  <sheetFormatPr defaultColWidth="9.109375" defaultRowHeight="14.4" x14ac:dyDescent="0.3"/>
  <cols>
    <col min="1" max="1" width="3.33203125" style="42" customWidth="1"/>
    <col min="2" max="3" width="9.109375" style="42"/>
    <col min="4" max="4" width="9.109375" style="42" customWidth="1"/>
    <col min="5" max="5" width="18.109375" style="42" customWidth="1"/>
    <col min="6" max="6" width="4.6640625" style="42" customWidth="1"/>
    <col min="7" max="7" width="3.33203125" style="43" customWidth="1"/>
    <col min="8" max="8" width="23.109375" style="42" bestFit="1" customWidth="1"/>
    <col min="9" max="16384" width="9.109375" style="42"/>
  </cols>
  <sheetData>
    <row r="2" spans="2:8" x14ac:dyDescent="0.3">
      <c r="B2" s="48" t="s">
        <v>125</v>
      </c>
      <c r="C2" s="45"/>
      <c r="D2" s="45"/>
      <c r="E2" s="45"/>
      <c r="H2" s="39" t="s">
        <v>141</v>
      </c>
    </row>
    <row r="3" spans="2:8" x14ac:dyDescent="0.3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3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3">
      <c r="B5" s="46" t="s">
        <v>130</v>
      </c>
      <c r="C5" s="50">
        <v>2</v>
      </c>
      <c r="D5" s="45"/>
      <c r="E5" s="45" t="s">
        <v>131</v>
      </c>
    </row>
    <row r="6" spans="2:8" x14ac:dyDescent="0.3">
      <c r="H6" s="40" t="s">
        <v>145</v>
      </c>
    </row>
    <row r="7" spans="2:8" x14ac:dyDescent="0.3">
      <c r="B7" s="47" t="s">
        <v>132</v>
      </c>
      <c r="H7" s="40" t="s">
        <v>143</v>
      </c>
    </row>
    <row r="8" spans="2:8" x14ac:dyDescent="0.3">
      <c r="B8" s="42" t="s">
        <v>133</v>
      </c>
      <c r="C8" s="46" t="s">
        <v>0</v>
      </c>
      <c r="H8" s="40" t="s">
        <v>146</v>
      </c>
    </row>
    <row r="9" spans="2:8" x14ac:dyDescent="0.3">
      <c r="B9" s="42">
        <v>5</v>
      </c>
      <c r="C9" s="49">
        <f>B9*C3+SUMPRODUCT(B28:D28,B31:D31)</f>
        <v>5</v>
      </c>
    </row>
    <row r="10" spans="2:8" x14ac:dyDescent="0.3">
      <c r="C10" s="45"/>
      <c r="H10" s="41" t="s">
        <v>147</v>
      </c>
    </row>
    <row r="11" spans="2:8" x14ac:dyDescent="0.3">
      <c r="H11" s="41" t="s">
        <v>143</v>
      </c>
    </row>
    <row r="12" spans="2:8" x14ac:dyDescent="0.3">
      <c r="B12" s="47" t="s">
        <v>134</v>
      </c>
      <c r="H12" s="41" t="s">
        <v>146</v>
      </c>
    </row>
    <row r="13" spans="2:8" x14ac:dyDescent="0.3">
      <c r="B13" s="44"/>
      <c r="C13" s="44" t="s">
        <v>135</v>
      </c>
      <c r="D13" s="44"/>
      <c r="H13" s="41" t="s">
        <v>148</v>
      </c>
    </row>
    <row r="14" spans="2:8" x14ac:dyDescent="0.3">
      <c r="B14" s="49">
        <f>C3+C4</f>
        <v>2</v>
      </c>
      <c r="C14" s="44" t="s">
        <v>9</v>
      </c>
      <c r="D14" s="49">
        <v>2</v>
      </c>
    </row>
    <row r="15" spans="2:8" x14ac:dyDescent="0.3">
      <c r="B15" s="44"/>
      <c r="C15" s="44"/>
      <c r="D15" s="44"/>
    </row>
    <row r="16" spans="2:8" x14ac:dyDescent="0.3">
      <c r="B16" s="44"/>
      <c r="C16" s="44" t="s">
        <v>136</v>
      </c>
      <c r="D16" s="44"/>
    </row>
    <row r="17" spans="2:4" x14ac:dyDescent="0.3">
      <c r="B17" s="49">
        <f>C3+C5</f>
        <v>3</v>
      </c>
      <c r="C17" s="44" t="s">
        <v>9</v>
      </c>
      <c r="D17" s="49">
        <v>3</v>
      </c>
    </row>
    <row r="18" spans="2:4" x14ac:dyDescent="0.3">
      <c r="B18" s="44"/>
      <c r="C18" s="44"/>
      <c r="D18" s="44"/>
    </row>
    <row r="19" spans="2:4" x14ac:dyDescent="0.3">
      <c r="B19" s="44"/>
      <c r="C19" s="44" t="s">
        <v>142</v>
      </c>
      <c r="D19" s="44"/>
    </row>
    <row r="20" spans="2:4" x14ac:dyDescent="0.3">
      <c r="B20" s="49">
        <f>C4+C5</f>
        <v>3</v>
      </c>
      <c r="C20" s="44" t="s">
        <v>8</v>
      </c>
      <c r="D20" s="49">
        <v>3</v>
      </c>
    </row>
    <row r="22" spans="2:4" x14ac:dyDescent="0.3">
      <c r="B22" s="42" t="s">
        <v>137</v>
      </c>
    </row>
    <row r="23" spans="2:4" x14ac:dyDescent="0.3">
      <c r="B23" s="42" t="s">
        <v>138</v>
      </c>
      <c r="C23" s="51" t="s">
        <v>140</v>
      </c>
    </row>
    <row r="24" spans="2:4" x14ac:dyDescent="0.3">
      <c r="B24" s="42" t="s">
        <v>139</v>
      </c>
    </row>
    <row r="26" spans="2:4" x14ac:dyDescent="0.3">
      <c r="B26" s="47" t="s">
        <v>149</v>
      </c>
    </row>
    <row r="27" spans="2:4" x14ac:dyDescent="0.3">
      <c r="B27" s="44" t="s">
        <v>150</v>
      </c>
      <c r="C27" s="44" t="s">
        <v>151</v>
      </c>
      <c r="D27" s="44" t="s">
        <v>152</v>
      </c>
    </row>
    <row r="28" spans="2:4" x14ac:dyDescent="0.3">
      <c r="B28" s="50">
        <v>0</v>
      </c>
      <c r="C28" s="50">
        <v>0</v>
      </c>
      <c r="D28" s="50">
        <v>0</v>
      </c>
    </row>
    <row r="29" spans="2:4" x14ac:dyDescent="0.3">
      <c r="B29" s="53" t="s">
        <v>156</v>
      </c>
      <c r="C29" s="53" t="s">
        <v>156</v>
      </c>
      <c r="D29" s="53" t="s">
        <v>156</v>
      </c>
    </row>
    <row r="30" spans="2:4" x14ac:dyDescent="0.3">
      <c r="B30" s="44" t="s">
        <v>153</v>
      </c>
      <c r="C30" s="44" t="s">
        <v>154</v>
      </c>
      <c r="D30" s="44" t="s">
        <v>155</v>
      </c>
    </row>
    <row r="31" spans="2:4" x14ac:dyDescent="0.3">
      <c r="B31" s="52">
        <v>2</v>
      </c>
      <c r="C31" s="52">
        <v>3</v>
      </c>
      <c r="D31" s="52">
        <v>4</v>
      </c>
    </row>
    <row r="33" spans="2:4" x14ac:dyDescent="0.3">
      <c r="B33" s="192" t="s">
        <v>157</v>
      </c>
      <c r="C33" s="193"/>
      <c r="D33" s="49">
        <f>SUM(B28:D28)</f>
        <v>0</v>
      </c>
    </row>
    <row r="34" spans="2:4" x14ac:dyDescent="0.3">
      <c r="D34" s="44" t="s">
        <v>9</v>
      </c>
    </row>
    <row r="35" spans="2:4" x14ac:dyDescent="0.3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123</vt:i4>
      </vt:variant>
    </vt:vector>
  </HeadingPairs>
  <TitlesOfParts>
    <vt:vector size="199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NOMADCallback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Taiji Endo</cp:lastModifiedBy>
  <dcterms:created xsi:type="dcterms:W3CDTF">2010-05-06T00:04:01Z</dcterms:created>
  <dcterms:modified xsi:type="dcterms:W3CDTF">2021-01-08T04:13:57Z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