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8.xml" ContentType="application/vnd.openxmlformats-officedocument.drawing+xml"/>
  <Override PartName="/xl/charts/chart3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" sheetId="92" r:id="rId70"/>
    <sheet name="HighlightingExample" sheetId="5" r:id="rId71"/>
    <sheet name="TestNewAutomodel" sheetId="40" r:id="rId72"/>
  </sheets>
  <functionGroups builtInGroupCount="18"/>
  <externalReferences>
    <externalReference r:id="rId73"/>
  </externalReferences>
  <definedNames>
    <definedName name="b">[1]InventoryStep!$B$4</definedName>
    <definedName name="CBCDualsNewSheet" hidden="1">FALSE</definedName>
    <definedName name="dffd" localSheetId="69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9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69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3" hidden="1">CBC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69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1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1" hidden="1">FALSE</definedName>
    <definedName name="OpenSolver_ModelParameters" localSheetId="70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9">#REF!</definedName>
    <definedName name="p">#REF!</definedName>
    <definedName name="q" localSheetId="69">#REF!</definedName>
    <definedName name="q">#REF!</definedName>
    <definedName name="s" localSheetId="69">#REF!</definedName>
    <definedName name="s">#REF!</definedName>
    <definedName name="Scale" localSheetId="70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0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9" hidden="1">CBC (default)</definedName>
    <definedName name="Solver" hidden="1">CBC (default)</definedName>
    <definedName name="solver_adj" localSheetId="70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69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1" hidden="1">TestNewAutomodel!$B$28:$D$28,TestNewAutomodel!$C$3:$C$5</definedName>
    <definedName name="solver_cvg" localSheetId="70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1" hidden="1">0.0001</definedName>
    <definedName name="solver_drv" localSheetId="70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1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1" hidden="1">2</definedName>
    <definedName name="solver_est" localSheetId="70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1" hidden="1">1</definedName>
    <definedName name="solver_itr" localSheetId="70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69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1" hidden="1">100</definedName>
    <definedName name="solver_lhs1" localSheetId="70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69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1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0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69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1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0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69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1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0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69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1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0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1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0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1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0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1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0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0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0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1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0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69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1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0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69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1" hidden="1">7</definedName>
    <definedName name="solver_nwt" localSheetId="70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1" hidden="1">1</definedName>
    <definedName name="solver_opt" localSheetId="70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69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1" hidden="1">TestNewAutomodel!$C$9</definedName>
    <definedName name="solver_pre" localSheetId="70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1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0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69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1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0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69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1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0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69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1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0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69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1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0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1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0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1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0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1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0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0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0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69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1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0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69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1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0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69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1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0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69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1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0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1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0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1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0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1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0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0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0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1" hidden="1">2</definedName>
    <definedName name="solver_sho" localSheetId="70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9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1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0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69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1" hidden="1">100</definedName>
    <definedName name="solver_tol" localSheetId="70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9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1" hidden="1">0.05</definedName>
    <definedName name="solver_typ" localSheetId="70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9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1" hidden="1">2</definedName>
    <definedName name="solver_val" localSheetId="70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9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1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69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69">#REF!</definedName>
    <definedName name="xstep">#REF!</definedName>
    <definedName name="y" localSheetId="62">'Test38_(Data)'!$A$5:$A$45</definedName>
    <definedName name="y" localSheetId="67">Test42!$E$7</definedName>
    <definedName name="y" localSheetId="69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69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G4" i="92" l="1"/>
  <c r="G4" i="90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C11" i="68" l="1"/>
  <c r="D11" i="68"/>
  <c r="F11" i="68" l="1"/>
  <c r="G13" i="92" l="1"/>
  <c r="G12" i="70"/>
  <c r="E12" i="70"/>
  <c r="E13" i="92"/>
  <c r="D13" i="92"/>
  <c r="F13" i="92"/>
  <c r="G9" i="92"/>
  <c r="A9" i="92"/>
  <c r="G8" i="92"/>
  <c r="G7" i="92"/>
  <c r="G6" i="92"/>
  <c r="D12" i="70" l="1"/>
  <c r="A6" i="70" s="1"/>
  <c r="A6" i="92"/>
  <c r="F24" i="87" l="1"/>
  <c r="G24" i="87"/>
  <c r="H24" i="87"/>
  <c r="I24" i="87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K20" i="76" s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<sst xmlns="http://schemas.openxmlformats.org/spreadsheetml/2006/main" count="2445" uniqueCount="461">
  <si>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</si>
  <si>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</si>
  <si>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</si>
  <si>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</si>
  <si>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</si>
  <si>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</si>
  <si>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</si>
  <si>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</si>
  <si>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</si>
  <si>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</si>
  <si>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</si>
  <si>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</si>
  <si>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</si>
  <si>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</si>
  <si>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</si>
  <si>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</si>
  <si>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</si>
  <si>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</si>
  <si>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</si>
  <si>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</si>
  <si>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</si>
  <si>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</si>
  <si>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</si>
  <si>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</si>
  <si>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</si>
  <si>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</si>
  <si>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</si>
  <si>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</si>
  <si>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</si>
  <si>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</si>
  <si>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</si>
  <si>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</si>
  <si>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</si>
  <si>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</si>
  <si>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</si>
  <si>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</si>
  <si>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</si>
  <si>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</si>
  <si>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</si>
  <si>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</si>
  <si>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</si>
  <si>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</si>
  <si>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</si>
  <si>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</si>
  <si>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</si>
  <si>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</si>
  <si>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</si>
  <si>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</si>
  <si>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</si>
  <si>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</si>
  <si>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</si>
  <si>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</si>
  <si>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</si>
  <si>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</si>
  <si>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</si>
  <si>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</si>
  <si>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</si>
  <si>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</si>
  <si>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</si>
  <si>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</si>
  <si>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</si>
  <si>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</si>
  <si>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</si>
  <si>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</si>
  <si>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</si>
  <si>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</si>
  <si>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</si>
  <si>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</si>
  <si>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</si>
  <si>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</si>
  <si>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</si>
  <si>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</si>
  <si>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</si>
  <si>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</si>
  <si>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</si>
  <si>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</si>
  <si>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</si>
  <si>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</si>
  <si>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</si>
  <si>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</si>
  <si>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</si>
  <si>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</si>
  <si>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</si>
  <si>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</si>
  <si>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</si>
  <si>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</si>
  <si>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</si>
  <si>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</si>
  <si>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</si>
  <si>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</si>
  <si>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</si>
  <si>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</si>
  <si>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</si>
  <si>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</si>
  <si>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</si>
  <si>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</si>
  <si>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</si>
  <si>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</si>
  <si>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</si>
  <si>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</si>
  <si>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</si>
  <si>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</si>
  <si>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</si>
  <si>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</si>
  <si>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</si>
  <si>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</si>
  <si>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</si>
  <si>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</si>
  <si>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</si>
  <si>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</si>
  <si>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</si>
  <si>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</si>
  <si>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</si>
  <si>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</si>
  <si>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</si>
  <si>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</si>
  <si>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</si>
  <si>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</si>
  <si>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</si>
  <si>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</si>
  <si>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</si>
  <si>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</si>
  <si>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</si>
  <si>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</si>
  <si>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</si>
  <si>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</si>
  <si>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</si>
  <si>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</si>
  <si>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</si>
  <si>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</si>
  <si>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</si>
  <si>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</si>
  <si>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</si>
  <si>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</si>
  <si>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</si>
  <si>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</si>
  <si>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</si>
  <si>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</si>
  <si>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</si>
  <si>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</si>
  <si>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</si>
  <si>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</si>
  <si>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</si>
  <si>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</si>
  <si>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</si>
  <si>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</si>
  <si>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</si>
  <si>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</si>
  <si>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</si>
  <si>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</si>
  <si>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</si>
  <si>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</si>
  <si>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</si>
  <si>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</si>
  <si>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</si>
  <si>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</si>
  <si>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</si>
  <si>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</si>
  <si>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</si>
  <si>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</si>
  <si>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</si>
  <si>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</si>
  <si>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</si>
  <si>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</si>
  <si>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</si>
  <si>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</si>
  <si>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</si>
  <si>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</si>
  <si>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</si>
  <si>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</si>
  <si>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</si>
  <si>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</si>
  <si>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</si>
  <si>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</si>
  <si>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</si>
  <si>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</si>
  <si>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</si>
  <si>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</si>
  <si>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</si>
  <si>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</si>
  <si>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</si>
  <si>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</si>
  <si>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</si>
  <si>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</si>
  <si>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</si>
  <si>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</si>
  <si>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</si>
  <si>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</si>
  <si>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</si>
  <si>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</si>
  <si>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</si>
  <si>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</si>
  <si>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</si>
  <si>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</si>
  <si>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</si>
  <si>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</si>
  <si>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</si>
  <si>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</si>
  <si>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</si>
  <si>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</si>
  <si>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</si>
  <si>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</si>
  <si>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</si>
  <si>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</si>
  <si>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</si>
  <si>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</si>
  <si>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</si>
  <si>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</si>
  <si>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</si>
  <si>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</si>
  <si>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</si>
  <si>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</si>
  <si>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</si>
  <si>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</si>
  <si>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</si>
  <si>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</si>
  <si>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</si>
  <si>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</si>
  <si>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</si>
  <si>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</si>
  <si>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</si>
  <si>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</si>
  <si>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</si>
  <si>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</si>
  <si>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</si>
  <si>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</si>
  <si>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</si>
  <si>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</si>
  <si>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</si>
  <si>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</si>
  <si>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</si>
  <si>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</si>
  <si>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</si>
  <si>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</si>
  <si>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</si>
  <si>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</si>
  <si>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</si>
  <si>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</si>
  <si>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</si>
  <si>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</si>
  <si>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</si>
  <si>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</si>
  <si>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</si>
  <si>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</si>
  <si>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</si>
  <si>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</si>
  <si>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</si>
  <si>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</si>
  <si>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</si>
  <si>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</si>
  <si>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</si>
  <si>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</si>
  <si>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</si>
  <si>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</si>
  <si>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</si>
  <si>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</si>
  <si>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</si>
  <si>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</si>
  <si>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</si>
  <si>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</si>
  <si>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</si>
  <si>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</si>
  <si>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</si>
  <si>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</si>
  <si>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</si>
  <si>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</si>
  <si>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</si>
  <si>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</si>
  <si>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</si>
  <si>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</si>
  <si>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</si>
  <si>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</si>
  <si>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</si>
  <si>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</si>
  <si>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</si>
  <si>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</si>
  <si>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</si>
  <si>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</si>
  <si>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</si>
  <si>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</si>
  <si>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</si>
  <si>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</si>
  <si>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</si>
  <si>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</si>
  <si>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</si>
  <si>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</si>
  <si>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</si>
  <si>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</si>
  <si>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</si>
  <si>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</si>
  <si>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</si>
  <si>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</si>
  <si>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</si>
  <si>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</si>
  <si>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</si>
  <si>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</si>
  <si>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</si>
  <si>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</si>
  <si>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</si>
  <si>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</si>
  <si>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</si>
  <si>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</si>
  <si>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</si>
  <si>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</si>
  <si>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</si>
  <si>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</si>
  <si>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</si>
  <si>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</si>
  <si>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</si>
  <si>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</si>
  <si>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</si>
  <si>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</si>
  <si>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</si>
  <si>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</si>
  <si>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</si>
  <si>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</si>
  <si>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</si>
  <si>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</si>
  <si>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</si>
  <si>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</si>
  <si>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</si>
  <si>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</si>
  <si>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</si>
  <si>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</si>
  <si>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</si>
  <si>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</si>
  <si>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</si>
  <si>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</si>
  <si>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</si>
  <si>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</si>
  <si>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</si>
  <si>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</si>
  <si>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</si>
  <si>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</si>
  <si>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</si>
  <si>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</si>
  <si>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</si>
  <si>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</si>
  <si>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</si>
  <si>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</si>
  <si>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</si>
  <si>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</si>
  <si>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</si>
  <si>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</si>
  <si>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</si>
  <si>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</si>
  <si>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</si>
  <si>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</si>
  <si>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</si>
  <si>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</si>
  <si>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</si>
  <si>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</si>
  <si>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</si>
  <si>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</si>
  <si>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</si>
  <si>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</si>
  <si>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</si>
  <si>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</si>
  <si>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</si>
  <si>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</si>
  <si>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</si>
  <si>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</si>
  <si>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</si>
  <si>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</si>
  <si>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</si>
  <si>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</si>
  <si>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</si>
  <si>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</si>
  <si>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</si>
  <si>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</si>
  <si>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</si>
  <si>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</si>
  <si>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</si>
  <si>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</si>
  <si>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</si>
  <si>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</si>
  <si>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</si>
  <si>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</si>
  <si>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</si>
  <si>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</si>
  <si>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</si>
  <si>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</si>
  <si>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</si>
  <si>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</si>
  <si>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</si>
  <si>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</si>
  <si>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</si>
  <si>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</si>
  <si>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</si>
  <si>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</si>
  <si>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</si>
  <si>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Test9A</t>
  </si>
  <si>
    <t>OpenSolver Sensitivity Report - Gurobi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</si>
  <si>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</si>
  <si>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</si>
  <si>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</si>
  <si>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</si>
  <si>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</si>
  <si>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</si>
  <si>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</si>
  <si>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</si>
  <si>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</si>
  <si>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</si>
  <si>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</si>
  <si>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</si>
  <si>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</si>
  <si>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</si>
  <si>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</si>
  <si>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</si>
  <si>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</si>
  <si>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</si>
  <si>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</si>
  <si>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</si>
  <si>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</si>
  <si>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</si>
  <si>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</si>
  <si>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</si>
  <si>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</si>
  <si>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</si>
  <si>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</si>
  <si>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</si>
  <si>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</si>
  <si>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</si>
  <si>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</si>
  <si>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</si>
  <si>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</si>
  <si>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</si>
  <si>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</si>
  <si>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</si>
  <si>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</si>
  <si>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</si>
  <si>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</si>
  <si>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</si>
  <si>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</si>
  <si>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</si>
  <si>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</si>
  <si>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</si>
  <si>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</si>
  <si>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</si>
  <si>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FAIL</t>
  </si>
  <si>
    <t>Test27_Parameters</t>
  </si>
  <si>
    <t>N/A</t>
  </si>
  <si>
    <t>Test28_CBCOptions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</si>
  <si>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</si>
  <si>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</si>
  <si>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</si>
  <si>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</si>
  <si>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</si>
  <si>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</si>
  <si>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</si>
  <si>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</si>
  <si>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</si>
  <si>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</si>
  <si>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</si>
  <si>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Test40</t>
  </si>
  <si>
    <t>Test41</t>
  </si>
  <si>
    <t>Test42</t>
  </si>
  <si>
    <t>Test43</t>
  </si>
  <si>
    <t>Test44_Seek</t>
  </si>
  <si>
    <t>Report Created: 14/08/2014 8:47:27 p.m.</t>
  </si>
  <si>
    <t>Report Created: 14/08/2014 8:54:48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</si>
</sst>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6" fillId="0" borderId="0"/>
    <xf numFmtId="0" fontId="18" fillId="0" borderId="0"/>
    <xf numFmtId="0" fontId="25" fillId="0" borderId="0"/>
  </cellStyleXfs>
  <cellXfs count="1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4" fillId="0" borderId="0" xfId="0" applyFont="1"/>
    <xf numFmtId="0" fontId="16" fillId="0" borderId="0" xfId="8"/>
    <xf numFmtId="0" fontId="16" fillId="0" borderId="5" xfId="8" applyBorder="1"/>
    <xf numFmtId="0" fontId="16" fillId="0" borderId="6" xfId="8" applyBorder="1"/>
    <xf numFmtId="0" fontId="16" fillId="0" borderId="0" xfId="8" applyAlignment="1">
      <alignment horizontal="right"/>
    </xf>
    <xf numFmtId="0" fontId="16" fillId="0" borderId="7" xfId="8" applyBorder="1" applyAlignment="1">
      <alignment horizontal="center"/>
    </xf>
    <xf numFmtId="2" fontId="16" fillId="0" borderId="8" xfId="8" applyNumberFormat="1" applyBorder="1" applyAlignment="1">
      <alignment horizontal="center"/>
    </xf>
    <xf numFmtId="0" fontId="16" fillId="0" borderId="5" xfId="8" applyBorder="1" applyAlignment="1">
      <alignment horizontal="center"/>
    </xf>
    <xf numFmtId="0" fontId="16" fillId="0" borderId="29" xfId="8" applyBorder="1" applyAlignment="1">
      <alignment horizontal="center"/>
    </xf>
    <xf numFmtId="0" fontId="16" fillId="0" borderId="6" xfId="8" applyBorder="1" applyAlignment="1">
      <alignment horizontal="center"/>
    </xf>
    <xf numFmtId="0" fontId="16" fillId="0" borderId="3" xfId="8" applyBorder="1" applyAlignment="1">
      <alignment horizontal="center"/>
    </xf>
    <xf numFmtId="2" fontId="16" fillId="0" borderId="4" xfId="8" applyNumberFormat="1" applyBorder="1" applyAlignment="1">
      <alignment horizontal="center"/>
    </xf>
    <xf numFmtId="0" fontId="16" fillId="0" borderId="9" xfId="8" applyBorder="1" applyAlignment="1">
      <alignment horizontal="center"/>
    </xf>
    <xf numFmtId="0" fontId="16" fillId="0" borderId="8" xfId="8" applyBorder="1" applyAlignment="1">
      <alignment horizontal="center"/>
    </xf>
    <xf numFmtId="0" fontId="16" fillId="0" borderId="1" xfId="8" applyBorder="1" applyAlignment="1">
      <alignment horizontal="center"/>
    </xf>
    <xf numFmtId="0" fontId="16" fillId="0" borderId="0" xfId="8" applyBorder="1" applyAlignment="1">
      <alignment horizontal="center"/>
    </xf>
    <xf numFmtId="0" fontId="16" fillId="0" borderId="2" xfId="8" applyBorder="1" applyAlignment="1">
      <alignment horizontal="center"/>
    </xf>
    <xf numFmtId="0" fontId="16" fillId="0" borderId="10" xfId="8" applyBorder="1" applyAlignment="1">
      <alignment horizontal="center"/>
    </xf>
    <xf numFmtId="0" fontId="16" fillId="0" borderId="4" xfId="8" applyBorder="1" applyAlignment="1">
      <alignment horizontal="center"/>
    </xf>
    <xf numFmtId="0" fontId="16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5" fillId="0" borderId="36" xfId="0" applyFont="1" applyBorder="1" applyAlignment="1">
      <alignment horizontal="center"/>
    </xf>
    <xf numFmtId="0" fontId="16" fillId="0" borderId="0" xfId="8" applyBorder="1"/>
    <xf numFmtId="0" fontId="16" fillId="0" borderId="0" xfId="8" applyBorder="1" applyAlignment="1">
      <alignment horizontal="left"/>
    </xf>
    <xf numFmtId="0" fontId="16" fillId="0" borderId="10" xfId="8" applyBorder="1"/>
    <xf numFmtId="0" fontId="16" fillId="0" borderId="10" xfId="8" applyBorder="1" applyAlignment="1">
      <alignment horizontal="left"/>
    </xf>
    <xf numFmtId="0" fontId="16" fillId="0" borderId="17" xfId="8" applyBorder="1"/>
    <xf numFmtId="0" fontId="16" fillId="0" borderId="17" xfId="8" applyBorder="1" applyAlignment="1">
      <alignment horizontal="left"/>
    </xf>
    <xf numFmtId="0" fontId="16" fillId="0" borderId="1" xfId="8" applyBorder="1"/>
    <xf numFmtId="164" fontId="16" fillId="0" borderId="17" xfId="8" applyNumberFormat="1" applyBorder="1" applyAlignment="1">
      <alignment horizontal="left"/>
    </xf>
    <xf numFmtId="0" fontId="16" fillId="17" borderId="17" xfId="8" applyFill="1" applyBorder="1" applyAlignment="1">
      <alignment horizontal="left"/>
    </xf>
    <xf numFmtId="0" fontId="16" fillId="0" borderId="17" xfId="8" applyNumberFormat="1" applyBorder="1" applyAlignment="1">
      <alignment horizontal="left"/>
    </xf>
    <xf numFmtId="2" fontId="16" fillId="18" borderId="17" xfId="8" applyNumberFormat="1" applyFill="1" applyBorder="1" applyAlignment="1">
      <alignment horizontal="left"/>
    </xf>
    <xf numFmtId="0" fontId="16" fillId="0" borderId="17" xfId="8" applyBorder="1" applyAlignment="1">
      <alignment horizontal="center"/>
    </xf>
    <xf numFmtId="0" fontId="16" fillId="0" borderId="0" xfId="8" applyAlignment="1">
      <alignment horizontal="left"/>
    </xf>
    <xf numFmtId="0" fontId="17" fillId="17" borderId="17" xfId="8" applyFont="1" applyFill="1" applyBorder="1" applyAlignment="1">
      <alignment horizontal="center"/>
    </xf>
    <xf numFmtId="0" fontId="16" fillId="0" borderId="1" xfId="8" applyBorder="1" applyAlignment="1">
      <alignment horizontal="left"/>
    </xf>
    <xf numFmtId="0" fontId="17" fillId="0" borderId="0" xfId="8" applyFont="1" applyAlignment="1">
      <alignment horizontal="right"/>
    </xf>
    <xf numFmtId="0" fontId="16" fillId="0" borderId="5" xfId="8" applyBorder="1" applyAlignment="1">
      <alignment horizontal="left"/>
    </xf>
    <xf numFmtId="165" fontId="16" fillId="0" borderId="29" xfId="8" applyNumberFormat="1" applyBorder="1" applyAlignment="1">
      <alignment horizontal="left"/>
    </xf>
    <xf numFmtId="0" fontId="16" fillId="0" borderId="29" xfId="8" applyBorder="1" applyAlignment="1">
      <alignment horizontal="left"/>
    </xf>
    <xf numFmtId="0" fontId="16" fillId="0" borderId="6" xfId="8" applyBorder="1" applyAlignment="1">
      <alignment horizontal="left"/>
    </xf>
    <xf numFmtId="0" fontId="16" fillId="0" borderId="0" xfId="8" applyBorder="1" applyAlignment="1">
      <alignment horizontal="right"/>
    </xf>
    <xf numFmtId="0" fontId="16" fillId="0" borderId="2" xfId="8" applyBorder="1"/>
    <xf numFmtId="0" fontId="16" fillId="18" borderId="17" xfId="8" applyFill="1" applyBorder="1" applyAlignment="1">
      <alignment horizontal="center"/>
    </xf>
    <xf numFmtId="0" fontId="16" fillId="0" borderId="0" xfId="8" applyAlignment="1">
      <alignment horizontal="center"/>
    </xf>
    <xf numFmtId="0" fontId="16" fillId="0" borderId="0" xfId="9" applyFont="1" applyBorder="1"/>
    <xf numFmtId="0" fontId="16" fillId="0" borderId="0" xfId="9" applyFont="1" applyBorder="1" applyAlignment="1">
      <alignment horizontal="right"/>
    </xf>
    <xf numFmtId="0" fontId="21" fillId="0" borderId="0" xfId="9" applyFont="1" applyBorder="1" applyAlignment="1">
      <alignment horizontal="right"/>
    </xf>
    <xf numFmtId="0" fontId="16" fillId="17" borderId="0" xfId="9" applyFont="1" applyFill="1" applyBorder="1"/>
    <xf numFmtId="0" fontId="19" fillId="0" borderId="0" xfId="9" applyFont="1" applyFill="1" applyBorder="1" applyAlignment="1">
      <alignment horizontal="center"/>
    </xf>
    <xf numFmtId="0" fontId="16" fillId="0" borderId="0" xfId="9" applyFont="1" applyBorder="1" applyAlignment="1">
      <alignment horizontal="center"/>
    </xf>
    <xf numFmtId="0" fontId="16" fillId="18" borderId="0" xfId="8" applyFont="1" applyFill="1" applyBorder="1" applyAlignment="1">
      <alignment horizontal="center"/>
    </xf>
    <xf numFmtId="0" fontId="24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9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10670528"/>
        <c:axId val="377983616"/>
        <c:axId val="271508816"/>
      </c:surface3DChart>
      <c:catAx>
        <c:axId val="41067052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361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7798361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0670528"/>
        <c:crosses val="min"/>
        <c:crossBetween val="between"/>
        <c:majorUnit val="0.1"/>
      </c:valAx>
      <c:serAx>
        <c:axId val="27150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361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987968"/>
        <c:axId val="377989600"/>
      </c:scatterChart>
      <c:valAx>
        <c:axId val="37798796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9600"/>
        <c:crosses val="autoZero"/>
        <c:crossBetween val="midCat"/>
        <c:majorUnit val="0.5"/>
      </c:valAx>
      <c:valAx>
        <c:axId val="37798960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796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2.3571428571428603</c:v>
                </c:pt>
                <c:pt idx="2">
                  <c:v>7.0000000000000036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1.8557687223952219</c:v>
                </c:pt>
                <c:pt idx="2">
                  <c:v>-2.886579864025407E-15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991776"/>
        <c:axId val="377997216"/>
      </c:scatterChart>
      <c:valAx>
        <c:axId val="37799177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97216"/>
        <c:crosses val="autoZero"/>
        <c:crossBetween val="midCat"/>
        <c:majorUnit val="1"/>
      </c:valAx>
      <c:valAx>
        <c:axId val="3779972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917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3</xdr:row>
          <xdr:rowOff>188819</xdr:rowOff>
        </xdr:from>
        <xdr:to>
          <xdr:col>0</xdr:col>
          <xdr:colOff>1939925</xdr:colOff>
          <xdr:row>7</xdr:row>
          <xdr:rowOff>188819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9</xdr:row>
          <xdr:rowOff>188819</xdr:rowOff>
        </xdr:from>
        <xdr:to>
          <xdr:col>0</xdr:col>
          <xdr:colOff>1939925</xdr:colOff>
          <xdr:row>15</xdr:row>
          <xdr:rowOff>61819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179294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8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9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80" name="OpenSolver3"/>
        <xdr:cNvSpPr/>
      </xdr:nvSpPr>
      <xdr:spPr>
        <a:xfrm>
          <a:off x="36322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81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82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83" name="OpenSolver 6"/>
        <xdr:cNvCxnSpPr>
          <a:stCxn id="81" idx="3"/>
          <a:endCxn id="82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84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5" name="OpenSolver8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6" name="OpenSolver9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7" name="OpenSolver 10"/>
        <xdr:cNvCxnSpPr>
          <a:stCxn id="85" idx="3"/>
          <a:endCxn id="86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88" name="OpenSolver 11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9" name="OpenSolver12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0" name="OpenSolver13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91" name="OpenSolver 14"/>
        <xdr:cNvCxnSpPr>
          <a:stCxn id="89" idx="3"/>
          <a:endCxn id="90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92" name="OpenSolver 15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3" name="OpenSolver16"/>
        <xdr:cNvSpPr/>
      </xdr:nvSpPr>
      <xdr:spPr>
        <a:xfrm>
          <a:off x="36385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4" name="OpenSolver17"/>
        <xdr:cNvSpPr/>
      </xdr:nvSpPr>
      <xdr:spPr>
        <a:xfrm>
          <a:off x="48577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95" name="OpenSolver 18"/>
        <xdr:cNvCxnSpPr>
          <a:stCxn id="93" idx="3"/>
          <a:endCxn id="94" idx="1"/>
        </xdr:cNvCxnSpPr>
      </xdr:nvCxnSpPr>
      <xdr:spPr>
        <a:xfrm>
          <a:off x="42481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96" name="OpenSolver 19"/>
        <xdr:cNvSpPr/>
      </xdr:nvSpPr>
      <xdr:spPr>
        <a:xfrm>
          <a:off x="4362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245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246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197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J66"/>
  <sheetViews>
    <sheetView tabSelected="1" zoomScale="85" zoomScaleNormal="85" workbookViewId="0">
      <selection activeCell="M38" sqref="M38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10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  <c r="E1" s="62" t="s">
        <v>215</v>
      </c>
      <c r="F1" s="62" t="s">
        <v>245</v>
      </c>
      <c r="G1" s="62" t="s">
        <v>246</v>
      </c>
      <c r="H1" s="62" t="s">
        <v>197</v>
      </c>
      <c r="I1" s="62" t="s">
        <v>369</v>
      </c>
      <c r="J1" s="62" t="s">
        <v>375</v>
      </c>
    </row>
    <row r="2" spans="1:10" x14ac:dyDescent="0.25">
      <c r="B2" s="82" t="s">
        <v>393</v>
      </c>
      <c r="C2" s="60" t="s">
        <v>216</v>
      </c>
      <c r="D2" s="60" t="s">
        <v>216</v>
      </c>
      <c r="E2" s="60" t="s">
        <v>216</v>
      </c>
      <c r="F2" s="60" t="s">
        <v>216</v>
      </c>
      <c r="G2" s="60" t="s">
        <v>216</v>
      </c>
      <c r="H2" s="60" t="s">
        <v>216</v>
      </c>
      <c r="I2" s="60" t="s">
        <v>216</v>
      </c>
      <c r="J2" s="60" t="s">
        <v>216</v>
      </c>
    </row>
    <row r="3" spans="1:10" x14ac:dyDescent="0.25">
      <c r="B3" s="82" t="s">
        <v>394</v>
      </c>
      <c r="C3" s="60" t="s">
        <v>216</v>
      </c>
      <c r="D3" s="60" t="s">
        <v>216</v>
      </c>
      <c r="E3" s="60" t="s">
        <v>216</v>
      </c>
      <c r="F3" s="60" t="s">
        <v>216</v>
      </c>
      <c r="G3" s="60" t="s">
        <v>216</v>
      </c>
      <c r="H3" s="60" t="s">
        <v>216</v>
      </c>
      <c r="I3" s="60" t="s">
        <v>216</v>
      </c>
      <c r="J3" s="60" t="s">
        <v>216</v>
      </c>
    </row>
    <row r="4" spans="1:10" x14ac:dyDescent="0.25">
      <c r="B4" s="82" t="s">
        <v>395</v>
      </c>
      <c r="C4" s="60" t="s">
        <v>216</v>
      </c>
      <c r="D4" s="60" t="s">
        <v>216</v>
      </c>
      <c r="E4" s="60" t="s">
        <v>216</v>
      </c>
      <c r="F4" s="60" t="s">
        <v>216</v>
      </c>
      <c r="G4" s="60" t="s">
        <v>216</v>
      </c>
      <c r="H4" s="60" t="s">
        <v>216</v>
      </c>
      <c r="I4" s="60" t="s">
        <v>216</v>
      </c>
      <c r="J4" s="60" t="s">
        <v>216</v>
      </c>
    </row>
    <row r="5" spans="1:10" x14ac:dyDescent="0.25">
      <c r="B5" s="82" t="s">
        <v>396</v>
      </c>
      <c r="C5" s="60" t="s">
        <v>216</v>
      </c>
      <c r="D5" s="60" t="s">
        <v>216</v>
      </c>
      <c r="E5" s="60" t="s">
        <v>216</v>
      </c>
      <c r="F5" s="60" t="s">
        <v>216</v>
      </c>
      <c r="G5" s="60" t="s">
        <v>216</v>
      </c>
      <c r="H5" s="60" t="s">
        <v>216</v>
      </c>
      <c r="I5" s="60" t="s">
        <v>216</v>
      </c>
      <c r="J5" s="60" t="s">
        <v>216</v>
      </c>
    </row>
    <row r="6" spans="1:10" x14ac:dyDescent="0.25">
      <c r="B6" s="82" t="s">
        <v>397</v>
      </c>
      <c r="C6" s="60" t="s">
        <v>216</v>
      </c>
      <c r="D6" s="60" t="s">
        <v>216</v>
      </c>
      <c r="E6" s="60" t="s">
        <v>216</v>
      </c>
      <c r="F6" s="60" t="s">
        <v>216</v>
      </c>
      <c r="G6" s="60" t="s">
        <v>216</v>
      </c>
      <c r="H6" s="60" t="s">
        <v>216</v>
      </c>
      <c r="I6" s="60" t="s">
        <v>216</v>
      </c>
      <c r="J6" s="60" t="s">
        <v>216</v>
      </c>
    </row>
    <row r="7" spans="1:10" x14ac:dyDescent="0.25">
      <c r="B7" s="82" t="s">
        <v>398</v>
      </c>
      <c r="C7" s="60" t="s">
        <v>216</v>
      </c>
      <c r="D7" s="60" t="s">
        <v>216</v>
      </c>
      <c r="E7" s="60" t="s">
        <v>216</v>
      </c>
      <c r="F7" s="60" t="s">
        <v>216</v>
      </c>
      <c r="G7" s="60" t="s">
        <v>216</v>
      </c>
      <c r="H7" s="60" t="s">
        <v>216</v>
      </c>
      <c r="I7" s="60" t="s">
        <v>216</v>
      </c>
      <c r="J7" s="60" t="s">
        <v>216</v>
      </c>
    </row>
    <row r="8" spans="1:10" x14ac:dyDescent="0.25">
      <c r="B8" s="82" t="s">
        <v>399</v>
      </c>
      <c r="C8" s="60" t="s">
        <v>216</v>
      </c>
      <c r="D8" s="60" t="s">
        <v>216</v>
      </c>
      <c r="E8" s="60" t="s">
        <v>216</v>
      </c>
      <c r="F8" s="60" t="s">
        <v>216</v>
      </c>
      <c r="G8" s="60" t="s">
        <v>216</v>
      </c>
      <c r="H8" s="60" t="s">
        <v>216</v>
      </c>
      <c r="I8" s="60" t="s">
        <v>216</v>
      </c>
      <c r="J8" s="60" t="s">
        <v>216</v>
      </c>
    </row>
    <row r="9" spans="1:10" x14ac:dyDescent="0.25">
      <c r="B9" s="82" t="s">
        <v>400</v>
      </c>
      <c r="C9" s="60" t="s">
        <v>216</v>
      </c>
      <c r="D9" s="60" t="s">
        <v>216</v>
      </c>
      <c r="E9" s="60" t="s">
        <v>216</v>
      </c>
      <c r="F9" s="60" t="s">
        <v>216</v>
      </c>
      <c r="G9" s="60" t="s">
        <v>216</v>
      </c>
      <c r="H9" s="60" t="s">
        <v>216</v>
      </c>
      <c r="I9" s="60" t="s">
        <v>216</v>
      </c>
      <c r="J9" s="60" t="s">
        <v>216</v>
      </c>
    </row>
    <row r="10" spans="1:10" x14ac:dyDescent="0.25">
      <c r="B10" s="82" t="s">
        <v>401</v>
      </c>
      <c r="C10" s="60" t="s">
        <v>216</v>
      </c>
      <c r="D10" s="60" t="s">
        <v>216</v>
      </c>
      <c r="E10" s="60" t="s">
        <v>216</v>
      </c>
      <c r="F10" s="60" t="s">
        <v>216</v>
      </c>
      <c r="G10" s="60" t="s">
        <v>216</v>
      </c>
      <c r="H10" s="60" t="s">
        <v>216</v>
      </c>
      <c r="I10" s="60" t="s">
        <v>216</v>
      </c>
      <c r="J10" s="60" t="s">
        <v>216</v>
      </c>
    </row>
    <row r="11" spans="1:10" x14ac:dyDescent="0.25">
      <c r="B11" s="82" t="s">
        <v>402</v>
      </c>
      <c r="C11" s="60" t="s">
        <v>216</v>
      </c>
      <c r="D11" s="60" t="s">
        <v>216</v>
      </c>
      <c r="E11" s="60" t="s">
        <v>216</v>
      </c>
      <c r="F11" s="60" t="s">
        <v>216</v>
      </c>
      <c r="G11" s="60" t="s">
        <v>216</v>
      </c>
      <c r="H11" s="60" t="s">
        <v>216</v>
      </c>
      <c r="I11" s="60" t="s">
        <v>216</v>
      </c>
      <c r="J11" s="60" t="s">
        <v>216</v>
      </c>
    </row>
    <row r="12" spans="1:10" x14ac:dyDescent="0.25">
      <c r="B12" s="82" t="s">
        <v>403</v>
      </c>
      <c r="C12" s="60" t="s">
        <v>216</v>
      </c>
      <c r="D12" s="60" t="s">
        <v>216</v>
      </c>
      <c r="E12" s="60" t="s">
        <v>216</v>
      </c>
      <c r="F12" s="60" t="s">
        <v>216</v>
      </c>
      <c r="G12" s="60" t="s">
        <v>216</v>
      </c>
      <c r="H12" s="60" t="s">
        <v>216</v>
      </c>
      <c r="I12" s="60" t="s">
        <v>216</v>
      </c>
      <c r="J12" s="60" t="s">
        <v>216</v>
      </c>
    </row>
    <row r="13" spans="1:10" x14ac:dyDescent="0.25">
      <c r="B13" s="82" t="s">
        <v>404</v>
      </c>
      <c r="C13" s="60" t="s">
        <v>216</v>
      </c>
      <c r="D13" s="60" t="s">
        <v>216</v>
      </c>
      <c r="E13" s="60" t="s">
        <v>216</v>
      </c>
      <c r="F13" s="60" t="s">
        <v>216</v>
      </c>
      <c r="G13" s="60" t="s">
        <v>216</v>
      </c>
      <c r="H13" s="60" t="s">
        <v>216</v>
      </c>
      <c r="I13" s="60" t="s">
        <v>216</v>
      </c>
      <c r="J13" s="60" t="s">
        <v>216</v>
      </c>
    </row>
    <row r="14" spans="1:10" x14ac:dyDescent="0.25">
      <c r="B14" s="82" t="s">
        <v>405</v>
      </c>
      <c r="C14" s="60" t="s">
        <v>216</v>
      </c>
      <c r="D14" s="60" t="s">
        <v>216</v>
      </c>
      <c r="E14" s="60" t="s">
        <v>216</v>
      </c>
      <c r="F14" s="60" t="s">
        <v>216</v>
      </c>
      <c r="G14" s="60" t="s">
        <v>216</v>
      </c>
      <c r="H14" s="60" t="s">
        <v>216</v>
      </c>
      <c r="I14" s="60" t="s">
        <v>216</v>
      </c>
      <c r="J14" s="60" t="s">
        <v>216</v>
      </c>
    </row>
    <row r="15" spans="1:10" x14ac:dyDescent="0.25">
      <c r="B15" s="82" t="s">
        <v>406</v>
      </c>
      <c r="C15" s="60" t="s">
        <v>216</v>
      </c>
      <c r="D15" s="60" t="s">
        <v>216</v>
      </c>
      <c r="E15" s="60" t="s">
        <v>216</v>
      </c>
      <c r="F15" s="60" t="s">
        <v>216</v>
      </c>
      <c r="G15" s="60" t="s">
        <v>216</v>
      </c>
      <c r="H15" s="60" t="s">
        <v>216</v>
      </c>
      <c r="I15" s="60" t="s">
        <v>216</v>
      </c>
      <c r="J15" s="60" t="s">
        <v>216</v>
      </c>
    </row>
    <row r="16" spans="1:10" x14ac:dyDescent="0.25">
      <c r="B16" s="82" t="s">
        <v>407</v>
      </c>
      <c r="C16" s="60" t="s">
        <v>216</v>
      </c>
      <c r="D16" s="60" t="s">
        <v>216</v>
      </c>
      <c r="E16" s="60" t="s">
        <v>216</v>
      </c>
      <c r="F16" s="60" t="s">
        <v>216</v>
      </c>
      <c r="G16" s="60" t="s">
        <v>216</v>
      </c>
      <c r="H16" s="60" t="s">
        <v>216</v>
      </c>
      <c r="I16" s="60" t="s">
        <v>216</v>
      </c>
      <c r="J16" s="60" t="s">
        <v>216</v>
      </c>
    </row>
    <row r="17" spans="2:10" x14ac:dyDescent="0.25">
      <c r="B17" s="82" t="s">
        <v>408</v>
      </c>
      <c r="C17" s="60" t="s">
        <v>216</v>
      </c>
      <c r="D17" s="60" t="s">
        <v>216</v>
      </c>
      <c r="E17" s="60" t="s">
        <v>216</v>
      </c>
      <c r="F17" s="60" t="s">
        <v>216</v>
      </c>
      <c r="G17" s="60" t="s">
        <v>216</v>
      </c>
      <c r="H17" s="60" t="s">
        <v>216</v>
      </c>
      <c r="I17" s="60" t="s">
        <v>216</v>
      </c>
      <c r="J17" s="60" t="s">
        <v>216</v>
      </c>
    </row>
    <row r="18" spans="2:10" x14ac:dyDescent="0.25">
      <c r="B18" s="82" t="s">
        <v>409</v>
      </c>
      <c r="C18" s="60" t="s">
        <v>216</v>
      </c>
      <c r="D18" s="60" t="s">
        <v>216</v>
      </c>
      <c r="E18" s="60" t="s">
        <v>216</v>
      </c>
      <c r="F18" s="60" t="s">
        <v>216</v>
      </c>
      <c r="G18" s="60" t="s">
        <v>216</v>
      </c>
      <c r="H18" s="60" t="s">
        <v>216</v>
      </c>
      <c r="I18" s="60" t="s">
        <v>439</v>
      </c>
      <c r="J18" s="60" t="s">
        <v>216</v>
      </c>
    </row>
    <row r="19" spans="2:10" x14ac:dyDescent="0.25">
      <c r="B19" s="82" t="s">
        <v>410</v>
      </c>
      <c r="C19" s="60" t="s">
        <v>216</v>
      </c>
      <c r="D19" s="60" t="s">
        <v>216</v>
      </c>
      <c r="E19" s="60" t="s">
        <v>216</v>
      </c>
      <c r="F19" s="60" t="s">
        <v>216</v>
      </c>
      <c r="G19" s="60" t="s">
        <v>216</v>
      </c>
      <c r="H19" s="60" t="s">
        <v>216</v>
      </c>
      <c r="I19" s="60" t="s">
        <v>439</v>
      </c>
      <c r="J19" s="60" t="s">
        <v>216</v>
      </c>
    </row>
    <row r="20" spans="2:10" x14ac:dyDescent="0.25">
      <c r="B20" s="82" t="s">
        <v>411</v>
      </c>
      <c r="C20" s="60" t="s">
        <v>216</v>
      </c>
      <c r="D20" s="60" t="s">
        <v>216</v>
      </c>
      <c r="E20" s="60" t="s">
        <v>216</v>
      </c>
      <c r="F20" s="60" t="s">
        <v>216</v>
      </c>
      <c r="G20" s="60" t="s">
        <v>216</v>
      </c>
      <c r="H20" s="60" t="s">
        <v>216</v>
      </c>
      <c r="I20" s="60" t="s">
        <v>216</v>
      </c>
      <c r="J20" s="60" t="s">
        <v>216</v>
      </c>
    </row>
    <row r="21" spans="2:10" x14ac:dyDescent="0.25">
      <c r="B21" s="82" t="s">
        <v>412</v>
      </c>
      <c r="C21" s="60" t="s">
        <v>216</v>
      </c>
      <c r="D21" s="60" t="s">
        <v>216</v>
      </c>
      <c r="E21" s="60" t="s">
        <v>216</v>
      </c>
      <c r="F21" s="60" t="s">
        <v>216</v>
      </c>
      <c r="G21" s="60" t="s">
        <v>216</v>
      </c>
      <c r="H21" s="60" t="s">
        <v>216</v>
      </c>
      <c r="I21" s="60" t="s">
        <v>216</v>
      </c>
      <c r="J21" s="60" t="s">
        <v>216</v>
      </c>
    </row>
    <row r="22" spans="2:10" x14ac:dyDescent="0.25">
      <c r="B22" s="82" t="s">
        <v>413</v>
      </c>
      <c r="C22" s="60" t="s">
        <v>216</v>
      </c>
      <c r="D22" s="60" t="s">
        <v>216</v>
      </c>
      <c r="E22" s="60" t="s">
        <v>216</v>
      </c>
      <c r="F22" s="60" t="s">
        <v>216</v>
      </c>
      <c r="G22" s="60" t="s">
        <v>216</v>
      </c>
      <c r="H22" s="60" t="s">
        <v>216</v>
      </c>
      <c r="I22" s="60" t="s">
        <v>216</v>
      </c>
      <c r="J22" s="60" t="s">
        <v>216</v>
      </c>
    </row>
    <row r="23" spans="2:10" x14ac:dyDescent="0.25">
      <c r="B23" s="82" t="s">
        <v>414</v>
      </c>
      <c r="C23" s="60" t="s">
        <v>216</v>
      </c>
      <c r="D23" s="60" t="s">
        <v>216</v>
      </c>
      <c r="E23" s="60" t="s">
        <v>216</v>
      </c>
      <c r="F23" s="60" t="s">
        <v>216</v>
      </c>
      <c r="G23" s="60" t="s">
        <v>216</v>
      </c>
      <c r="H23" s="60" t="s">
        <v>216</v>
      </c>
      <c r="I23" s="60" t="s">
        <v>216</v>
      </c>
      <c r="J23" s="60" t="s">
        <v>216</v>
      </c>
    </row>
    <row r="24" spans="2:10" x14ac:dyDescent="0.25">
      <c r="B24" s="82" t="s">
        <v>415</v>
      </c>
      <c r="C24" s="60" t="s">
        <v>216</v>
      </c>
      <c r="D24" s="60" t="s">
        <v>216</v>
      </c>
      <c r="E24" s="60" t="s">
        <v>216</v>
      </c>
      <c r="F24" s="60" t="s">
        <v>216</v>
      </c>
      <c r="G24" s="60" t="s">
        <v>216</v>
      </c>
      <c r="H24" s="60" t="s">
        <v>216</v>
      </c>
      <c r="I24" s="60" t="s">
        <v>216</v>
      </c>
      <c r="J24" s="60" t="s">
        <v>216</v>
      </c>
    </row>
    <row r="25" spans="2:10" x14ac:dyDescent="0.25">
      <c r="B25" s="82" t="s">
        <v>391</v>
      </c>
      <c r="C25" s="60" t="s">
        <v>216</v>
      </c>
      <c r="D25" s="60" t="s">
        <v>216</v>
      </c>
      <c r="E25" s="60" t="s">
        <v>216</v>
      </c>
      <c r="F25" s="60" t="s">
        <v>216</v>
      </c>
      <c r="G25" s="60" t="s">
        <v>216</v>
      </c>
      <c r="H25" s="60" t="s">
        <v>216</v>
      </c>
      <c r="I25" s="60" t="s">
        <v>439</v>
      </c>
      <c r="J25" s="60" t="s">
        <v>216</v>
      </c>
    </row>
    <row r="26" spans="2:10" x14ac:dyDescent="0.25">
      <c r="B26" s="82" t="s">
        <v>416</v>
      </c>
      <c r="C26" s="60" t="s">
        <v>216</v>
      </c>
      <c r="D26" s="60" t="s">
        <v>216</v>
      </c>
      <c r="E26" s="60" t="s">
        <v>216</v>
      </c>
      <c r="F26" s="60" t="s">
        <v>216</v>
      </c>
      <c r="G26" s="60" t="s">
        <v>216</v>
      </c>
      <c r="H26" s="60" t="s">
        <v>216</v>
      </c>
      <c r="I26" s="60" t="s">
        <v>216</v>
      </c>
      <c r="J26" s="60" t="s">
        <v>216</v>
      </c>
    </row>
    <row r="27" spans="2:10" x14ac:dyDescent="0.25">
      <c r="B27" s="82" t="s">
        <v>417</v>
      </c>
      <c r="C27" s="60" t="s">
        <v>216</v>
      </c>
      <c r="D27" s="60" t="s">
        <v>216</v>
      </c>
      <c r="E27" s="60" t="s">
        <v>216</v>
      </c>
      <c r="F27" s="60" t="s">
        <v>216</v>
      </c>
      <c r="G27" s="60" t="s">
        <v>216</v>
      </c>
      <c r="H27" s="60" t="s">
        <v>216</v>
      </c>
      <c r="I27" s="60" t="s">
        <v>216</v>
      </c>
      <c r="J27" s="60" t="s">
        <v>216</v>
      </c>
    </row>
    <row r="28" spans="2:10" x14ac:dyDescent="0.25">
      <c r="B28" s="82" t="s">
        <v>418</v>
      </c>
      <c r="C28" s="60" t="s">
        <v>216</v>
      </c>
      <c r="D28" s="60" t="s">
        <v>216</v>
      </c>
      <c r="E28" s="60" t="s">
        <v>216</v>
      </c>
      <c r="F28" s="60" t="s">
        <v>216</v>
      </c>
      <c r="G28" s="60" t="s">
        <v>216</v>
      </c>
      <c r="H28" s="60" t="s">
        <v>216</v>
      </c>
      <c r="I28" s="60" t="s">
        <v>216</v>
      </c>
      <c r="J28" s="60" t="s">
        <v>216</v>
      </c>
    </row>
    <row r="29" spans="2:10" x14ac:dyDescent="0.25">
      <c r="B29" s="82" t="s">
        <v>419</v>
      </c>
      <c r="C29" s="60" t="s">
        <v>216</v>
      </c>
      <c r="D29" s="60" t="s">
        <v>216</v>
      </c>
      <c r="E29" s="60" t="s">
        <v>216</v>
      </c>
      <c r="F29" s="60" t="s">
        <v>216</v>
      </c>
      <c r="G29" s="60" t="s">
        <v>216</v>
      </c>
      <c r="H29" s="60" t="s">
        <v>216</v>
      </c>
      <c r="I29" s="60" t="s">
        <v>216</v>
      </c>
      <c r="J29" s="60" t="s">
        <v>216</v>
      </c>
    </row>
    <row r="30" spans="2:10" x14ac:dyDescent="0.25">
      <c r="B30" s="82" t="s">
        <v>420</v>
      </c>
      <c r="C30" s="60" t="s">
        <v>216</v>
      </c>
      <c r="D30" s="60" t="s">
        <v>216</v>
      </c>
      <c r="E30" s="60" t="s">
        <v>216</v>
      </c>
      <c r="F30" s="60" t="s">
        <v>216</v>
      </c>
      <c r="G30" s="60" t="s">
        <v>216</v>
      </c>
      <c r="H30" s="60" t="s">
        <v>216</v>
      </c>
      <c r="I30" s="60" t="s">
        <v>216</v>
      </c>
      <c r="J30" s="60" t="s">
        <v>216</v>
      </c>
    </row>
    <row r="31" spans="2:10" x14ac:dyDescent="0.25">
      <c r="B31" s="82" t="s">
        <v>421</v>
      </c>
      <c r="C31" s="60" t="s">
        <v>216</v>
      </c>
      <c r="D31" s="60" t="s">
        <v>216</v>
      </c>
      <c r="E31" s="60" t="s">
        <v>216</v>
      </c>
      <c r="F31" s="60" t="s">
        <v>216</v>
      </c>
      <c r="G31" s="60" t="s">
        <v>216</v>
      </c>
      <c r="H31" s="60" t="s">
        <v>216</v>
      </c>
      <c r="I31" s="60" t="s">
        <v>216</v>
      </c>
      <c r="J31" s="60" t="s">
        <v>216</v>
      </c>
    </row>
    <row r="32" spans="2:10" x14ac:dyDescent="0.25">
      <c r="B32" s="82" t="s">
        <v>422</v>
      </c>
      <c r="C32" s="60" t="s">
        <v>216</v>
      </c>
      <c r="D32" s="60" t="s">
        <v>216</v>
      </c>
      <c r="E32" s="60" t="s">
        <v>216</v>
      </c>
      <c r="F32" s="60" t="s">
        <v>216</v>
      </c>
      <c r="G32" s="60" t="s">
        <v>216</v>
      </c>
      <c r="H32" s="60" t="s">
        <v>216</v>
      </c>
      <c r="I32" s="60" t="s">
        <v>216</v>
      </c>
      <c r="J32" s="60" t="s">
        <v>216</v>
      </c>
    </row>
    <row r="33" spans="2:10" x14ac:dyDescent="0.25">
      <c r="B33" s="82" t="s">
        <v>423</v>
      </c>
      <c r="C33" s="60" t="s">
        <v>216</v>
      </c>
      <c r="D33" s="60" t="s">
        <v>216</v>
      </c>
      <c r="E33" s="60" t="s">
        <v>216</v>
      </c>
      <c r="F33" s="60" t="s">
        <v>216</v>
      </c>
      <c r="G33" s="60" t="s">
        <v>216</v>
      </c>
      <c r="H33" s="60" t="s">
        <v>216</v>
      </c>
      <c r="I33" s="60" t="s">
        <v>216</v>
      </c>
      <c r="J33" s="60" t="s">
        <v>216</v>
      </c>
    </row>
    <row r="34" spans="2:10" x14ac:dyDescent="0.25">
      <c r="B34" s="82" t="s">
        <v>424</v>
      </c>
      <c r="C34" s="60" t="s">
        <v>216</v>
      </c>
      <c r="D34" s="60" t="s">
        <v>216</v>
      </c>
      <c r="E34" s="60" t="s">
        <v>216</v>
      </c>
      <c r="F34" s="60" t="s">
        <v>216</v>
      </c>
      <c r="G34" s="60" t="s">
        <v>216</v>
      </c>
      <c r="H34" s="60" t="s">
        <v>216</v>
      </c>
      <c r="I34" s="60" t="s">
        <v>216</v>
      </c>
      <c r="J34" s="60" t="s">
        <v>216</v>
      </c>
    </row>
    <row r="35" spans="2:10" x14ac:dyDescent="0.25">
      <c r="B35" s="82" t="s">
        <v>425</v>
      </c>
      <c r="C35" s="60" t="s">
        <v>216</v>
      </c>
      <c r="D35" s="60" t="s">
        <v>216</v>
      </c>
      <c r="E35" s="60" t="s">
        <v>216</v>
      </c>
      <c r="F35" s="60" t="s">
        <v>216</v>
      </c>
      <c r="G35" s="60" t="s">
        <v>216</v>
      </c>
      <c r="H35" s="60" t="s">
        <v>216</v>
      </c>
      <c r="I35" s="60" t="s">
        <v>439</v>
      </c>
      <c r="J35" s="60" t="s">
        <v>216</v>
      </c>
    </row>
    <row r="36" spans="2:10" x14ac:dyDescent="0.25">
      <c r="B36" s="82" t="s">
        <v>426</v>
      </c>
      <c r="C36" s="60" t="s">
        <v>216</v>
      </c>
      <c r="D36" s="60" t="s">
        <v>216</v>
      </c>
      <c r="E36" s="60" t="s">
        <v>216</v>
      </c>
      <c r="F36" s="60" t="s">
        <v>216</v>
      </c>
      <c r="G36" s="60" t="s">
        <v>216</v>
      </c>
      <c r="H36" s="60" t="s">
        <v>216</v>
      </c>
      <c r="I36" s="60" t="s">
        <v>439</v>
      </c>
      <c r="J36" s="60" t="s">
        <v>216</v>
      </c>
    </row>
    <row r="37" spans="2:10" x14ac:dyDescent="0.25">
      <c r="B37" s="82" t="s">
        <v>427</v>
      </c>
      <c r="C37" s="60" t="s">
        <v>216</v>
      </c>
      <c r="D37" s="60" t="s">
        <v>216</v>
      </c>
      <c r="E37" s="60" t="s">
        <v>216</v>
      </c>
      <c r="F37" s="60" t="s">
        <v>216</v>
      </c>
      <c r="G37" s="60" t="s">
        <v>216</v>
      </c>
      <c r="H37" s="60" t="s">
        <v>216</v>
      </c>
      <c r="I37" s="60" t="s">
        <v>216</v>
      </c>
      <c r="J37" s="60" t="s">
        <v>216</v>
      </c>
    </row>
    <row r="38" spans="2:10" x14ac:dyDescent="0.25">
      <c r="B38" s="82" t="s">
        <v>428</v>
      </c>
      <c r="C38" s="60" t="s">
        <v>216</v>
      </c>
      <c r="D38" s="60" t="s">
        <v>216</v>
      </c>
      <c r="E38" s="60" t="s">
        <v>216</v>
      </c>
      <c r="F38" s="60" t="s">
        <v>216</v>
      </c>
      <c r="G38" s="60" t="s">
        <v>216</v>
      </c>
      <c r="H38" s="60" t="s">
        <v>216</v>
      </c>
      <c r="I38" s="60" t="s">
        <v>216</v>
      </c>
      <c r="J38" s="60" t="s">
        <v>216</v>
      </c>
    </row>
    <row r="39" spans="2:10" x14ac:dyDescent="0.25">
      <c r="B39" s="82" t="s">
        <v>429</v>
      </c>
      <c r="C39" s="60" t="s">
        <v>216</v>
      </c>
      <c r="D39" s="60" t="s">
        <v>216</v>
      </c>
      <c r="E39" s="60" t="s">
        <v>216</v>
      </c>
      <c r="F39" s="60" t="s">
        <v>216</v>
      </c>
      <c r="G39" s="60" t="s">
        <v>216</v>
      </c>
      <c r="H39" s="60" t="s">
        <v>216</v>
      </c>
      <c r="I39" s="60" t="s">
        <v>216</v>
      </c>
      <c r="J39" s="60" t="s">
        <v>216</v>
      </c>
    </row>
    <row r="40" spans="2:10" x14ac:dyDescent="0.25">
      <c r="B40" s="82" t="s">
        <v>430</v>
      </c>
      <c r="C40" s="60" t="s">
        <v>216</v>
      </c>
      <c r="D40" s="60" t="s">
        <v>216</v>
      </c>
      <c r="E40" s="60" t="s">
        <v>216</v>
      </c>
      <c r="F40" s="60" t="s">
        <v>216</v>
      </c>
      <c r="G40" s="60" t="s">
        <v>216</v>
      </c>
      <c r="H40" s="60" t="s">
        <v>216</v>
      </c>
      <c r="I40" s="60" t="s">
        <v>216</v>
      </c>
      <c r="J40" s="60" t="s">
        <v>216</v>
      </c>
    </row>
    <row r="41" spans="2:10" x14ac:dyDescent="0.25">
      <c r="B41" s="82" t="s">
        <v>431</v>
      </c>
      <c r="C41" s="60" t="s">
        <v>216</v>
      </c>
      <c r="D41" s="60" t="s">
        <v>216</v>
      </c>
      <c r="E41" s="60" t="s">
        <v>216</v>
      </c>
      <c r="F41" s="60" t="s">
        <v>216</v>
      </c>
      <c r="G41" s="60" t="s">
        <v>216</v>
      </c>
      <c r="H41" s="60" t="s">
        <v>216</v>
      </c>
      <c r="I41" s="60" t="s">
        <v>216</v>
      </c>
      <c r="J41" s="60" t="s">
        <v>216</v>
      </c>
    </row>
    <row r="42" spans="2:10" x14ac:dyDescent="0.25">
      <c r="B42" s="82" t="s">
        <v>432</v>
      </c>
      <c r="C42" s="60" t="s">
        <v>216</v>
      </c>
      <c r="D42" s="60" t="s">
        <v>216</v>
      </c>
      <c r="E42" s="60" t="s">
        <v>216</v>
      </c>
      <c r="F42" s="60" t="s">
        <v>216</v>
      </c>
      <c r="G42" s="60" t="s">
        <v>216</v>
      </c>
      <c r="H42" s="60" t="s">
        <v>216</v>
      </c>
      <c r="I42" s="60" t="s">
        <v>216</v>
      </c>
      <c r="J42" s="60" t="s">
        <v>216</v>
      </c>
    </row>
    <row r="43" spans="2:10" x14ac:dyDescent="0.25">
      <c r="B43" s="82" t="s">
        <v>433</v>
      </c>
      <c r="C43" s="60" t="s">
        <v>216</v>
      </c>
      <c r="D43" s="60" t="s">
        <v>216</v>
      </c>
      <c r="E43" s="60" t="s">
        <v>216</v>
      </c>
      <c r="F43" s="60" t="s">
        <v>216</v>
      </c>
      <c r="G43" s="60" t="s">
        <v>216</v>
      </c>
      <c r="H43" s="60" t="s">
        <v>216</v>
      </c>
      <c r="I43" s="60" t="s">
        <v>216</v>
      </c>
      <c r="J43" s="60" t="s">
        <v>216</v>
      </c>
    </row>
    <row r="44" spans="2:10" x14ac:dyDescent="0.25">
      <c r="B44" s="82" t="s">
        <v>434</v>
      </c>
      <c r="C44" s="60" t="s">
        <v>216</v>
      </c>
      <c r="D44" s="60" t="s">
        <v>216</v>
      </c>
      <c r="E44" s="60" t="s">
        <v>216</v>
      </c>
      <c r="F44" s="60" t="s">
        <v>216</v>
      </c>
      <c r="G44" s="60" t="s">
        <v>216</v>
      </c>
      <c r="H44" s="60" t="s">
        <v>216</v>
      </c>
      <c r="I44" s="60" t="s">
        <v>439</v>
      </c>
      <c r="J44" s="60" t="s">
        <v>216</v>
      </c>
    </row>
    <row r="45" spans="2:10" x14ac:dyDescent="0.25">
      <c r="B45" s="82" t="s">
        <v>435</v>
      </c>
      <c r="C45" s="60" t="s">
        <v>216</v>
      </c>
      <c r="D45" s="60" t="s">
        <v>216</v>
      </c>
      <c r="E45" s="60" t="s">
        <v>216</v>
      </c>
      <c r="F45" s="60" t="s">
        <v>216</v>
      </c>
      <c r="G45" s="60" t="s">
        <v>216</v>
      </c>
      <c r="H45" s="60" t="s">
        <v>216</v>
      </c>
      <c r="I45" s="60" t="s">
        <v>439</v>
      </c>
      <c r="J45" s="60" t="s">
        <v>216</v>
      </c>
    </row>
    <row r="46" spans="2:10" x14ac:dyDescent="0.25">
      <c r="B46" s="82" t="s">
        <v>436</v>
      </c>
      <c r="C46" s="60" t="s">
        <v>216</v>
      </c>
      <c r="D46" s="60" t="s">
        <v>216</v>
      </c>
      <c r="E46" s="60" t="s">
        <v>216</v>
      </c>
      <c r="F46" s="60" t="s">
        <v>216</v>
      </c>
      <c r="G46" s="60" t="s">
        <v>216</v>
      </c>
      <c r="H46" s="60" t="s">
        <v>216</v>
      </c>
      <c r="I46" s="60" t="s">
        <v>216</v>
      </c>
      <c r="J46" s="60" t="s">
        <v>216</v>
      </c>
    </row>
    <row r="47" spans="2:10" x14ac:dyDescent="0.25">
      <c r="B47" s="82" t="s">
        <v>437</v>
      </c>
      <c r="C47" s="60" t="s">
        <v>216</v>
      </c>
      <c r="D47" s="60" t="s">
        <v>216</v>
      </c>
      <c r="E47" s="60" t="s">
        <v>216</v>
      </c>
      <c r="F47" s="60" t="s">
        <v>216</v>
      </c>
      <c r="G47" s="60" t="s">
        <v>216</v>
      </c>
      <c r="H47" s="60" t="s">
        <v>216</v>
      </c>
      <c r="I47" s="60" t="s">
        <v>216</v>
      </c>
      <c r="J47" s="60" t="s">
        <v>216</v>
      </c>
    </row>
    <row r="48" spans="2:10" x14ac:dyDescent="0.25">
      <c r="B48" s="82" t="s">
        <v>438</v>
      </c>
      <c r="C48" s="60" t="s">
        <v>216</v>
      </c>
      <c r="D48" s="60" t="s">
        <v>216</v>
      </c>
      <c r="E48" s="60" t="s">
        <v>216</v>
      </c>
      <c r="F48" s="60" t="s">
        <v>216</v>
      </c>
      <c r="G48" s="60" t="s">
        <v>216</v>
      </c>
      <c r="H48" s="60" t="s">
        <v>216</v>
      </c>
      <c r="I48" s="60" t="s">
        <v>216</v>
      </c>
      <c r="J48" s="60" t="s">
        <v>216</v>
      </c>
    </row>
    <row r="49" spans="2:10" x14ac:dyDescent="0.25">
      <c r="B49" s="82" t="s">
        <v>440</v>
      </c>
      <c r="C49" s="60" t="s">
        <v>216</v>
      </c>
      <c r="D49" s="60" t="s">
        <v>216</v>
      </c>
      <c r="E49" s="60" t="s">
        <v>216</v>
      </c>
      <c r="F49" s="60" t="s">
        <v>441</v>
      </c>
      <c r="G49" s="60" t="s">
        <v>441</v>
      </c>
      <c r="H49" s="60" t="s">
        <v>441</v>
      </c>
      <c r="I49" s="60" t="s">
        <v>441</v>
      </c>
      <c r="J49" s="60" t="s">
        <v>441</v>
      </c>
    </row>
    <row r="50" spans="2:10" x14ac:dyDescent="0.25">
      <c r="B50" s="82" t="s">
        <v>442</v>
      </c>
      <c r="C50" s="60" t="s">
        <v>216</v>
      </c>
      <c r="D50" s="60" t="s">
        <v>216</v>
      </c>
      <c r="E50" s="60" t="s">
        <v>216</v>
      </c>
      <c r="F50" s="60" t="s">
        <v>439</v>
      </c>
      <c r="G50" s="60" t="s">
        <v>216</v>
      </c>
      <c r="H50" s="60" t="s">
        <v>439</v>
      </c>
      <c r="I50" s="60" t="s">
        <v>439</v>
      </c>
      <c r="J50" s="60" t="s">
        <v>439</v>
      </c>
    </row>
    <row r="51" spans="2:10" x14ac:dyDescent="0.25">
      <c r="B51" s="84" t="s">
        <v>443</v>
      </c>
      <c r="C51" s="60" t="s">
        <v>216</v>
      </c>
      <c r="D51" s="60" t="s">
        <v>216</v>
      </c>
      <c r="E51" s="60" t="s">
        <v>216</v>
      </c>
      <c r="F51" s="60" t="s">
        <v>216</v>
      </c>
      <c r="G51" s="60" t="s">
        <v>216</v>
      </c>
      <c r="H51" s="60" t="s">
        <v>216</v>
      </c>
      <c r="I51" s="60" t="s">
        <v>216</v>
      </c>
      <c r="J51" s="60" t="s">
        <v>216</v>
      </c>
    </row>
    <row r="52" spans="2:10" x14ac:dyDescent="0.25">
      <c r="B52" s="84" t="s">
        <v>444</v>
      </c>
      <c r="C52" s="60" t="s">
        <v>216</v>
      </c>
      <c r="D52" s="60" t="s">
        <v>216</v>
      </c>
      <c r="E52" s="60" t="s">
        <v>216</v>
      </c>
      <c r="F52" s="60" t="s">
        <v>216</v>
      </c>
      <c r="G52" s="60" t="s">
        <v>216</v>
      </c>
      <c r="H52" s="60" t="s">
        <v>216</v>
      </c>
      <c r="I52" s="60" t="s">
        <v>216</v>
      </c>
      <c r="J52" s="60" t="s">
        <v>216</v>
      </c>
    </row>
    <row r="53" spans="2:10" x14ac:dyDescent="0.25">
      <c r="B53" s="84" t="s">
        <v>445</v>
      </c>
      <c r="C53" s="60" t="s">
        <v>216</v>
      </c>
      <c r="D53" s="60" t="s">
        <v>216</v>
      </c>
      <c r="E53" s="60" t="s">
        <v>216</v>
      </c>
      <c r="F53" s="60" t="s">
        <v>216</v>
      </c>
      <c r="G53" s="60" t="s">
        <v>216</v>
      </c>
      <c r="H53" s="60" t="s">
        <v>216</v>
      </c>
      <c r="I53" s="60" t="s">
        <v>216</v>
      </c>
      <c r="J53" s="60" t="s">
        <v>216</v>
      </c>
    </row>
    <row r="54" spans="2:10" x14ac:dyDescent="0.25">
      <c r="B54" s="84" t="s">
        <v>446</v>
      </c>
      <c r="C54" s="60" t="s">
        <v>216</v>
      </c>
      <c r="D54" s="60" t="s">
        <v>216</v>
      </c>
      <c r="E54" s="60" t="s">
        <v>216</v>
      </c>
      <c r="F54" s="60" t="s">
        <v>216</v>
      </c>
      <c r="G54" s="60" t="s">
        <v>216</v>
      </c>
      <c r="H54" s="60" t="s">
        <v>216</v>
      </c>
      <c r="I54" s="60" t="s">
        <v>216</v>
      </c>
      <c r="J54" s="60" t="s">
        <v>216</v>
      </c>
    </row>
    <row r="55" spans="2:10" x14ac:dyDescent="0.25">
      <c r="B55" s="84" t="s">
        <v>447</v>
      </c>
      <c r="C55" s="60" t="s">
        <v>216</v>
      </c>
      <c r="D55" s="60" t="s">
        <v>216</v>
      </c>
      <c r="E55" s="60" t="s">
        <v>216</v>
      </c>
      <c r="F55" s="60" t="s">
        <v>216</v>
      </c>
      <c r="G55" s="60" t="s">
        <v>216</v>
      </c>
      <c r="H55" s="60" t="s">
        <v>216</v>
      </c>
      <c r="I55" s="60" t="s">
        <v>216</v>
      </c>
      <c r="J55" s="60" t="s">
        <v>216</v>
      </c>
    </row>
    <row r="56" spans="2:10" x14ac:dyDescent="0.25">
      <c r="B56" s="84" t="s">
        <v>448</v>
      </c>
      <c r="C56" s="60" t="s">
        <v>216</v>
      </c>
      <c r="D56" s="60" t="s">
        <v>216</v>
      </c>
      <c r="E56" s="60" t="s">
        <v>216</v>
      </c>
      <c r="F56" s="60" t="s">
        <v>216</v>
      </c>
      <c r="G56" s="60" t="s">
        <v>216</v>
      </c>
      <c r="H56" s="60" t="s">
        <v>216</v>
      </c>
      <c r="I56" s="60" t="s">
        <v>216</v>
      </c>
      <c r="J56" s="60" t="s">
        <v>216</v>
      </c>
    </row>
    <row r="57" spans="2:10" x14ac:dyDescent="0.25">
      <c r="B57" s="84" t="s">
        <v>449</v>
      </c>
      <c r="C57" s="60" t="s">
        <v>216</v>
      </c>
      <c r="D57" s="60" t="s">
        <v>216</v>
      </c>
      <c r="E57" s="60" t="s">
        <v>216</v>
      </c>
      <c r="F57" s="60" t="s">
        <v>216</v>
      </c>
      <c r="G57" s="60" t="s">
        <v>216</v>
      </c>
      <c r="H57" s="60" t="s">
        <v>216</v>
      </c>
      <c r="I57" s="60" t="s">
        <v>216</v>
      </c>
      <c r="J57" s="60" t="s">
        <v>216</v>
      </c>
    </row>
    <row r="58" spans="2:10" x14ac:dyDescent="0.25">
      <c r="B58" s="84" t="s">
        <v>450</v>
      </c>
      <c r="C58" s="60" t="s">
        <v>216</v>
      </c>
      <c r="D58" s="60" t="s">
        <v>216</v>
      </c>
      <c r="E58" s="60" t="s">
        <v>216</v>
      </c>
      <c r="F58" s="60" t="s">
        <v>439</v>
      </c>
      <c r="G58" s="60" t="s">
        <v>216</v>
      </c>
      <c r="H58" s="60" t="s">
        <v>216</v>
      </c>
      <c r="I58" s="60" t="s">
        <v>439</v>
      </c>
      <c r="J58" s="60" t="s">
        <v>216</v>
      </c>
    </row>
    <row r="59" spans="2:10" x14ac:dyDescent="0.25">
      <c r="B59" s="84" t="s">
        <v>451</v>
      </c>
      <c r="C59" s="60" t="s">
        <v>216</v>
      </c>
      <c r="D59" s="60" t="s">
        <v>216</v>
      </c>
      <c r="E59" s="60" t="s">
        <v>216</v>
      </c>
      <c r="F59" s="60" t="s">
        <v>216</v>
      </c>
      <c r="G59" s="60" t="s">
        <v>216</v>
      </c>
      <c r="H59" s="60" t="s">
        <v>216</v>
      </c>
      <c r="I59" s="60" t="s">
        <v>216</v>
      </c>
      <c r="J59" s="60" t="s">
        <v>216</v>
      </c>
    </row>
    <row r="60" spans="2:10" x14ac:dyDescent="0.25">
      <c r="B60" s="84" t="s">
        <v>452</v>
      </c>
      <c r="C60" s="60" t="s">
        <v>216</v>
      </c>
      <c r="D60" s="60" t="s">
        <v>216</v>
      </c>
      <c r="E60" s="60" t="s">
        <v>216</v>
      </c>
      <c r="F60" s="60" t="s">
        <v>216</v>
      </c>
      <c r="G60" s="60" t="s">
        <v>216</v>
      </c>
      <c r="H60" s="60" t="s">
        <v>216</v>
      </c>
      <c r="I60" s="60" t="s">
        <v>216</v>
      </c>
      <c r="J60" s="60" t="s">
        <v>216</v>
      </c>
    </row>
    <row r="61" spans="2:10" x14ac:dyDescent="0.25">
      <c r="B61" s="84" t="s">
        <v>453</v>
      </c>
      <c r="C61" s="60" t="s">
        <v>216</v>
      </c>
      <c r="D61" s="60" t="s">
        <v>216</v>
      </c>
      <c r="E61" s="60" t="s">
        <v>216</v>
      </c>
      <c r="F61" s="60" t="s">
        <v>216</v>
      </c>
      <c r="G61" s="60" t="s">
        <v>216</v>
      </c>
      <c r="H61" s="60" t="s">
        <v>216</v>
      </c>
      <c r="I61" s="60" t="s">
        <v>216</v>
      </c>
      <c r="J61" s="60" t="s">
        <v>216</v>
      </c>
    </row>
    <row r="62" spans="2:10" x14ac:dyDescent="0.25">
      <c r="B62" s="84" t="s">
        <v>454</v>
      </c>
      <c r="C62" s="60" t="s">
        <v>216</v>
      </c>
      <c r="D62" s="60" t="s">
        <v>216</v>
      </c>
      <c r="E62" s="60" t="s">
        <v>216</v>
      </c>
      <c r="F62" s="60" t="s">
        <v>216</v>
      </c>
      <c r="G62" s="60" t="s">
        <v>439</v>
      </c>
      <c r="H62" s="60" t="s">
        <v>216</v>
      </c>
      <c r="I62" s="60" t="s">
        <v>216</v>
      </c>
      <c r="J62" s="60" t="s">
        <v>216</v>
      </c>
    </row>
    <row r="63" spans="2:10" x14ac:dyDescent="0.25">
      <c r="B63" s="84" t="s">
        <v>455</v>
      </c>
      <c r="C63" s="60" t="s">
        <v>216</v>
      </c>
      <c r="D63" s="60" t="s">
        <v>216</v>
      </c>
      <c r="E63" s="60" t="s">
        <v>216</v>
      </c>
      <c r="F63" s="60" t="s">
        <v>216</v>
      </c>
      <c r="G63" s="60" t="s">
        <v>439</v>
      </c>
      <c r="H63" s="60" t="s">
        <v>216</v>
      </c>
      <c r="I63" s="60" t="s">
        <v>216</v>
      </c>
      <c r="J63" s="60" t="s">
        <v>439</v>
      </c>
    </row>
    <row r="64" spans="2:10" x14ac:dyDescent="0.25">
      <c r="B64" s="84" t="s">
        <v>456</v>
      </c>
      <c r="C64" s="60" t="s">
        <v>216</v>
      </c>
      <c r="D64" s="60" t="s">
        <v>216</v>
      </c>
      <c r="E64" s="60" t="s">
        <v>216</v>
      </c>
      <c r="F64" s="60" t="s">
        <v>216</v>
      </c>
      <c r="G64" s="60" t="s">
        <v>216</v>
      </c>
      <c r="H64" s="60" t="s">
        <v>216</v>
      </c>
      <c r="I64" s="60" t="s">
        <v>216</v>
      </c>
      <c r="J64" s="60" t="s">
        <v>216</v>
      </c>
    </row>
    <row r="65" spans="2:10" x14ac:dyDescent="0.25">
      <c r="B65" s="84" t="s">
        <v>457</v>
      </c>
      <c r="C65" s="60" t="s">
        <v>216</v>
      </c>
      <c r="D65" s="60" t="s">
        <v>216</v>
      </c>
      <c r="E65" s="60" t="s">
        <v>216</v>
      </c>
      <c r="F65" s="60" t="s">
        <v>216</v>
      </c>
      <c r="G65" s="60" t="s">
        <v>216</v>
      </c>
      <c r="H65" s="60" t="s">
        <v>216</v>
      </c>
      <c r="I65" s="60" t="s">
        <v>216</v>
      </c>
      <c r="J65" s="60" t="s">
        <v>216</v>
      </c>
    </row>
    <row r="66" spans="2:10" x14ac:dyDescent="0.25">
      <c r="B66" s="84" t="s">
        <v>458</v>
      </c>
      <c r="C66" s="60" t="s">
        <v>216</v>
      </c>
      <c r="D66" s="60" t="s">
        <v>216</v>
      </c>
      <c r="E66" s="60" t="s">
        <v>216</v>
      </c>
      <c r="F66" s="60" t="s">
        <v>216</v>
      </c>
      <c r="G66" s="60" t="s">
        <v>216</v>
      </c>
      <c r="H66" s="60" t="s">
        <v>216</v>
      </c>
      <c r="I66" s="60" t="s">
        <v>216</v>
      </c>
      <c r="J66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disabled="1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180975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15</xdr:row>
                <xdr:rowOff>57150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N33" sqref="N33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71">
        <v>0</v>
      </c>
      <c r="E4" s="171">
        <v>5.2941176432133004</v>
      </c>
      <c r="F4" s="17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3">
        <v>5.2941175999999999</v>
      </c>
      <c r="F5" s="173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3">
        <v>5.2941176526297902</v>
      </c>
      <c r="F5" s="173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3">
        <v>2</v>
      </c>
      <c r="D5" s="173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3">
        <v>150</v>
      </c>
      <c r="K10" s="173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3">
        <f>SUMPRODUCT($D$5:$F$5,D10:F10)</f>
        <v>116.47058835785538</v>
      </c>
      <c r="H10" s="173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0.45544363160236911</v>
      </c>
      <c r="E5" s="1">
        <v>5.0407917685527126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16.033262568862877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60.003145770103529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4">
        <v>5</v>
      </c>
      <c r="H10" s="174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4"/>
      <c r="H11" s="174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180.04034913123724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F48" sqref="F4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7019042968.75</v>
      </c>
      <c r="Q4" s="169">
        <v>0</v>
      </c>
      <c r="R4" s="10">
        <v>1220703125</v>
      </c>
      <c r="S4" s="9">
        <f>SUM(Q4:R4)</f>
        <v>1220703125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732421875</v>
      </c>
      <c r="Q5" s="4">
        <v>244140625</v>
      </c>
      <c r="R5" s="5">
        <v>0</v>
      </c>
      <c r="S5" s="4">
        <f>SUM(Q5:R5)</f>
        <v>244140625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244140625</v>
      </c>
      <c r="R6" s="10">
        <f>SUM(R4:R5)</f>
        <v>1220703125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57922363281.25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15899658264.359566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5452.1551717812144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16356.465515343643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59973.706889593363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119947.41377918673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119947.41377918673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185373.27584056128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O33" sqref="O3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P13" sqref="P13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P17" sqref="P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F5" sqref="F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-9.9975000000010297E-9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-2.0000000199966701</v>
      </c>
      <c r="F6" s="157">
        <v>-9.9975000000010198E-9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227199</v>
      </c>
      <c r="N9" s="58">
        <f ca="1">M9+1</f>
        <v>227200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259.12427759067214</v>
      </c>
      <c r="F7" s="57">
        <v>370.78251580169308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2260.5028959787887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7299.7572431177105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14228.731970433728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-2827.2637564441538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-3054.8150675713259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0.16773392982750401</v>
      </c>
      <c r="E5" s="59">
        <v>5.2237615195196101</v>
      </c>
      <c r="F5" s="59">
        <v>2.4838635324666802E-2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59.436779636886754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119.01645456827634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117.87387734334166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180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L23" sqref="L23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9645964912300.4023</v>
      </c>
      <c r="E13" s="30">
        <v>-7198771929833.9004</v>
      </c>
      <c r="F13" s="30">
        <v>-1921403508775.7803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-9990000000004.0195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-5783684210478.2383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119.6796875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88384561403805.562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>ABS(E13-E23)/(1+ABS(E23))&lt;=0.000001</f>
        <v>0</v>
      </c>
      <c r="F24" s="73" t="b">
        <f>ABS(F13-F23)/(1+ABS(F23))&lt;=0.000001</f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244</v>
      </c>
      <c r="B2" s="172"/>
      <c r="C2" s="172"/>
      <c r="D2" s="172"/>
      <c r="E2" s="172"/>
      <c r="F2" s="172"/>
      <c r="G2" s="172"/>
      <c r="H2" s="172"/>
    </row>
    <row r="3" spans="1:8" x14ac:dyDescent="0.25">
      <c r="A3" s="17" t="s">
        <v>459</v>
      </c>
      <c r="B3" s="172"/>
      <c r="C3" s="172"/>
      <c r="D3" s="172"/>
      <c r="E3" s="172"/>
      <c r="F3" s="172"/>
      <c r="G3" s="172"/>
      <c r="H3" s="172"/>
    </row>
    <row r="4" spans="1:8" x14ac:dyDescent="0.25">
      <c r="B4" s="172"/>
      <c r="C4" s="172"/>
      <c r="D4" s="172"/>
      <c r="E4" s="172"/>
      <c r="F4" s="172"/>
      <c r="G4" s="172"/>
      <c r="H4" s="172"/>
    </row>
    <row r="5" spans="1:8" ht="15.75" thickBot="1" x14ac:dyDescent="0.3">
      <c r="A5" s="17" t="s">
        <v>229</v>
      </c>
      <c r="B5" s="172"/>
      <c r="C5" s="172"/>
      <c r="D5" s="172"/>
      <c r="E5" s="172"/>
      <c r="F5" s="172"/>
      <c r="G5" s="172"/>
      <c r="H5" s="172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72"/>
      <c r="C10" s="172"/>
      <c r="D10" s="172"/>
      <c r="E10" s="172"/>
      <c r="F10" s="172"/>
      <c r="G10" s="172"/>
      <c r="H10" s="172"/>
    </row>
    <row r="11" spans="1:8" ht="15.75" thickBot="1" x14ac:dyDescent="0.3">
      <c r="A11" s="17" t="s">
        <v>134</v>
      </c>
      <c r="B11" s="172"/>
      <c r="C11" s="172"/>
      <c r="D11" s="172"/>
      <c r="E11" s="172"/>
      <c r="F11" s="172"/>
      <c r="G11" s="172"/>
      <c r="H11" s="172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72"/>
      <c r="C17" s="172"/>
      <c r="D17" s="172"/>
      <c r="E17" s="172"/>
      <c r="F17" s="172"/>
      <c r="G17" s="172"/>
      <c r="H17" s="172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37723.502543940413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37723.502543940413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37723.502543940413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37723.502543940413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37723.502543940413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34.585700301448803</v>
      </c>
      <c r="E5">
        <v>0.57827368032683502</v>
      </c>
    </row>
    <row r="6" spans="1:15" ht="15.75" thickBot="1" x14ac:dyDescent="0.3">
      <c r="A6" s="65" t="b">
        <f>AND(F21)</f>
        <v>1</v>
      </c>
      <c r="F6">
        <f>D5^2*E5^2</f>
        <v>400.00000799998912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20.000000199999725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35.163973981775641</v>
      </c>
      <c r="H9">
        <v>40</v>
      </c>
    </row>
    <row r="10" spans="1:15" x14ac:dyDescent="0.25">
      <c r="F10">
        <f>D5</f>
        <v>34.585700301448803</v>
      </c>
      <c r="G10" t="s">
        <v>9</v>
      </c>
      <c r="H10">
        <v>0</v>
      </c>
    </row>
    <row r="11" spans="1:15" x14ac:dyDescent="0.25">
      <c r="F11">
        <f>E5</f>
        <v>0.57827368032683502</v>
      </c>
      <c r="H11">
        <v>0</v>
      </c>
    </row>
    <row r="12" spans="1:15" x14ac:dyDescent="0.25">
      <c r="F12">
        <f>E5*D5+E5+D5</f>
        <v>55.163974181775359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55.163974181775359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55.163974181775366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-15.163973781775912</v>
      </c>
      <c r="G15" t="s">
        <v>8</v>
      </c>
      <c r="H15">
        <v>0</v>
      </c>
      <c r="O15" s="90"/>
    </row>
    <row r="16" spans="1:15" x14ac:dyDescent="0.25">
      <c r="F16">
        <f>E5-D5*E5+D5</f>
        <v>15.163973781775912</v>
      </c>
      <c r="G16" t="s">
        <v>8</v>
      </c>
      <c r="H16">
        <v>60</v>
      </c>
      <c r="O16" s="90"/>
    </row>
    <row r="17" spans="6:15" x14ac:dyDescent="0.25">
      <c r="F17">
        <f>E5-D5+E5*D5</f>
        <v>-14.00742642112224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H17" sqref="H1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2</v>
      </c>
      <c r="E4">
        <v>0</v>
      </c>
      <c r="F4">
        <v>23</v>
      </c>
    </row>
    <row r="5" spans="1:9" x14ac:dyDescent="0.25">
      <c r="A5" s="64" t="s">
        <v>210</v>
      </c>
    </row>
    <row r="6" spans="1:9" ht="15.75" thickBot="1" x14ac:dyDescent="0.3">
      <c r="A6" s="65" t="b">
        <f>AND(D12,E12,G12)</f>
        <v>1</v>
      </c>
      <c r="C6" t="s">
        <v>223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D10" s="170" t="s">
        <v>1</v>
      </c>
      <c r="E10" s="170" t="s">
        <v>2</v>
      </c>
      <c r="F10" s="170"/>
      <c r="G10" t="s">
        <v>243</v>
      </c>
    </row>
    <row r="11" spans="1:9" x14ac:dyDescent="0.25">
      <c r="D11" s="170">
        <v>2</v>
      </c>
      <c r="E11" s="170">
        <v>0</v>
      </c>
      <c r="F11" s="170"/>
      <c r="G11" s="170">
        <v>16</v>
      </c>
    </row>
    <row r="12" spans="1:9" x14ac:dyDescent="0.25">
      <c r="C12" s="88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1.84552433925922</v>
      </c>
      <c r="E5">
        <v>1.84552433925922</v>
      </c>
      <c r="F5">
        <v>1.84552433925922</v>
      </c>
      <c r="G5">
        <v>1.84552433925922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-21.140354366881038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-8.3880350612664856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-1.0059377042296056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0.94240514092647998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0.41277404754628999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285</v>
      </c>
      <c r="B2" s="172"/>
      <c r="C2" s="172"/>
      <c r="D2" s="172"/>
      <c r="E2" s="172"/>
      <c r="F2" s="172"/>
      <c r="G2" s="172"/>
      <c r="H2" s="172"/>
    </row>
    <row r="3" spans="1:8" x14ac:dyDescent="0.25">
      <c r="A3" s="17" t="s">
        <v>460</v>
      </c>
      <c r="B3" s="172"/>
      <c r="C3" s="172"/>
      <c r="D3" s="172"/>
      <c r="E3" s="172"/>
      <c r="F3" s="172"/>
      <c r="G3" s="172"/>
      <c r="H3" s="172"/>
    </row>
    <row r="4" spans="1:8" x14ac:dyDescent="0.25">
      <c r="B4" s="172"/>
      <c r="C4" s="172"/>
      <c r="D4" s="172"/>
      <c r="E4" s="172"/>
      <c r="F4" s="172"/>
      <c r="G4" s="172"/>
      <c r="H4" s="172"/>
    </row>
    <row r="5" spans="1:8" ht="15.75" thickBot="1" x14ac:dyDescent="0.3">
      <c r="A5" s="17" t="s">
        <v>229</v>
      </c>
      <c r="B5" s="172"/>
      <c r="C5" s="172"/>
      <c r="D5" s="172"/>
      <c r="E5" s="172"/>
      <c r="F5" s="172"/>
      <c r="G5" s="172"/>
      <c r="H5" s="172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72"/>
      <c r="C22" s="172"/>
      <c r="D22" s="172"/>
      <c r="E22" s="172"/>
      <c r="F22" s="172"/>
      <c r="G22" s="172"/>
      <c r="H22" s="172"/>
    </row>
    <row r="23" spans="1:8" ht="15.75" thickBot="1" x14ac:dyDescent="0.3">
      <c r="A23" s="17" t="s">
        <v>134</v>
      </c>
      <c r="B23" s="172"/>
      <c r="C23" s="172"/>
      <c r="D23" s="172"/>
      <c r="E23" s="172"/>
      <c r="F23" s="172"/>
      <c r="G23" s="172"/>
      <c r="H23" s="172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72"/>
      <c r="C33" s="172"/>
      <c r="D33" s="172"/>
      <c r="E33" s="172"/>
      <c r="F33" s="172"/>
      <c r="G33" s="172"/>
      <c r="H33" s="172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G16" sqref="G16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99.999993509999896</v>
      </c>
      <c r="F14">
        <v>0</v>
      </c>
      <c r="G14">
        <v>0</v>
      </c>
      <c r="H14">
        <v>0</v>
      </c>
      <c r="I14">
        <f>SUM(D14:H14)</f>
        <v>199.9999935299999</v>
      </c>
      <c r="J14">
        <v>200</v>
      </c>
    </row>
    <row r="15" spans="1:10" x14ac:dyDescent="0.25">
      <c r="C15" t="s">
        <v>264</v>
      </c>
      <c r="D15">
        <v>0</v>
      </c>
      <c r="E15" s="88">
        <v>2.98000240546439E-6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33" sqref="D33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L39" sqref="L39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1</v>
      </c>
      <c r="G2" s="137">
        <v>2</v>
      </c>
      <c r="H2" s="137">
        <v>3</v>
      </c>
      <c r="I2" s="137">
        <v>4</v>
      </c>
      <c r="J2" s="135">
        <f>SQRT(($F$2-D2)^2+($G$2-E2)^2)</f>
        <v>2.2360679774997898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1.4142135623730951</v>
      </c>
      <c r="K3" s="107"/>
      <c r="N3" s="97" t="s">
        <v>344</v>
      </c>
      <c r="O3" s="97">
        <f>$F$2</f>
        <v>1</v>
      </c>
      <c r="P3" s="97">
        <f>$G$2</f>
        <v>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3.1622776601683795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4.1231056256176606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2.8284271247461903</v>
      </c>
      <c r="K6" s="107"/>
      <c r="N6" s="97" t="s">
        <v>344</v>
      </c>
      <c r="O6" s="97">
        <f>$F$2</f>
        <v>1</v>
      </c>
      <c r="P6" s="97">
        <f>$G$2</f>
        <v>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13.764091950405115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3</v>
      </c>
      <c r="P9" s="97">
        <f>$I$2</f>
        <v>4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3</v>
      </c>
      <c r="P12" s="97">
        <f>$I$2</f>
        <v>4</v>
      </c>
    </row>
    <row r="14" spans="1:16" x14ac:dyDescent="0.25">
      <c r="N14" s="97" t="s">
        <v>344</v>
      </c>
      <c r="O14" s="97">
        <f>$F$2</f>
        <v>1</v>
      </c>
      <c r="P14" s="97">
        <f>$G$2</f>
        <v>2</v>
      </c>
    </row>
    <row r="15" spans="1:16" x14ac:dyDescent="0.25">
      <c r="N15" s="97" t="s">
        <v>346</v>
      </c>
      <c r="O15" s="97">
        <f>$H$2</f>
        <v>3</v>
      </c>
      <c r="P15" s="97">
        <f>$I$2</f>
        <v>4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5" t="s">
        <v>348</v>
      </c>
      <c r="D1" s="175"/>
      <c r="E1" s="175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2.3571428571428603</v>
      </c>
      <c r="I4" s="148">
        <f>SIN(RADIANS(D7))*D2</f>
        <v>1.8557687223952219</v>
      </c>
    </row>
    <row r="5" spans="1:9" x14ac:dyDescent="0.25">
      <c r="A5" s="64" t="s">
        <v>210</v>
      </c>
      <c r="H5" s="148">
        <f>H4+COS(RADIANS(D8))*D3</f>
        <v>7.0000000000000036</v>
      </c>
      <c r="I5" s="148">
        <f>I4+SIN(RADIANS(D8))*D3</f>
        <v>-2.886579864025407E-15</v>
      </c>
    </row>
    <row r="6" spans="1:9" ht="15.75" thickBot="1" x14ac:dyDescent="0.3">
      <c r="A6" s="65" t="b">
        <f>AND(F16)</f>
        <v>1</v>
      </c>
      <c r="C6" s="175" t="s">
        <v>229</v>
      </c>
      <c r="D6" s="175"/>
      <c r="E6" s="175"/>
    </row>
    <row r="7" spans="1:9" x14ac:dyDescent="0.25">
      <c r="A7" s="64" t="s">
        <v>211</v>
      </c>
      <c r="C7" s="150" t="s">
        <v>353</v>
      </c>
      <c r="D7" s="151">
        <v>38.213210701738099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-21.786789298261802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5" t="s">
        <v>356</v>
      </c>
      <c r="D10" s="175"/>
      <c r="E10" s="175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7.0000000000000036</v>
      </c>
      <c r="D12" s="153">
        <f>D4</f>
        <v>7</v>
      </c>
      <c r="E12" s="153">
        <f>D12-C12</f>
        <v>0</v>
      </c>
      <c r="F12" s="153">
        <f>E12^2</f>
        <v>0</v>
      </c>
    </row>
    <row r="13" spans="1:9" x14ac:dyDescent="0.25">
      <c r="C13" s="153">
        <f>D2*SIN(RADIANS(D7))+D3*SIN(RADIANS(D8))</f>
        <v>-2.886579864025407E-15</v>
      </c>
      <c r="D13" s="153">
        <v>0</v>
      </c>
      <c r="E13" s="153">
        <f>C13-D13</f>
        <v>-2.886579864025407E-15</v>
      </c>
      <c r="F13" s="153">
        <f>E13^2</f>
        <v>8.3323433113969372E-30</v>
      </c>
    </row>
    <row r="15" spans="1:9" x14ac:dyDescent="0.25">
      <c r="C15" s="175" t="s">
        <v>361</v>
      </c>
      <c r="D15" s="175"/>
      <c r="E15" s="175"/>
      <c r="F15" s="154">
        <f>SUM(F12:F13)</f>
        <v>8.3323433113969372E-30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workbookViewId="0">
      <selection activeCell="F36" sqref="F36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249.99999999014</v>
      </c>
      <c r="E2">
        <v>100.000000019719</v>
      </c>
      <c r="F2" s="88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50.000000003943754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350.00000000985898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70" t="s">
        <v>1</v>
      </c>
      <c r="E11" s="170" t="s">
        <v>2</v>
      </c>
      <c r="F11" s="170" t="s">
        <v>3</v>
      </c>
      <c r="G11" s="170" t="s">
        <v>243</v>
      </c>
    </row>
    <row r="12" spans="1:9" x14ac:dyDescent="0.25">
      <c r="D12" s="170">
        <v>250</v>
      </c>
      <c r="E12" s="170">
        <v>100</v>
      </c>
      <c r="F12" s="170">
        <v>0</v>
      </c>
      <c r="G12" s="170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6" t="s">
        <v>157</v>
      </c>
      <c r="C33" s="177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</vt:i4>
      </vt:variant>
      <vt:variant>
        <vt:lpstr>Named Ranges</vt:lpstr>
      </vt:variant>
      <vt:variant>
        <vt:i4>159</vt:i4>
      </vt:variant>
    </vt:vector>
  </HeadingPairs>
  <TitlesOfParts>
    <vt:vector size="23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2014-08-14T10:50:03Z</dcterms:modified>
</cp:coreProperties>
</file>