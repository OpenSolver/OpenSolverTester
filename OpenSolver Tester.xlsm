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5e_Relax" sheetId="98" r:id="rId38"/>
    <sheet name="Test16" sheetId="46" r:id="rId39"/>
    <sheet name="Test16b" sheetId="47" r:id="rId40"/>
    <sheet name="Test17" sheetId="48" r:id="rId41"/>
    <sheet name="Test18" sheetId="49" r:id="rId42"/>
    <sheet name="Test19" sheetId="50" r:id="rId43"/>
    <sheet name="Test20" sheetId="51" r:id="rId44"/>
    <sheet name="Test21" sheetId="52" r:id="rId45"/>
    <sheet name="Test22" sheetId="53" r:id="rId46"/>
    <sheet name="Test23" sheetId="54" r:id="rId47"/>
    <sheet name="Test24_IterativeCalc" sheetId="57" r:id="rId48"/>
    <sheet name="Test25" sheetId="58" r:id="rId49"/>
    <sheet name="Test26" sheetId="59" r:id="rId50"/>
    <sheet name="Test27_Parameters" sheetId="4" r:id="rId51"/>
    <sheet name="Test28_CBCOptions" sheetId="2" r:id="rId52"/>
    <sheet name="Test29" sheetId="62" r:id="rId53"/>
    <sheet name="Test30" sheetId="63" r:id="rId54"/>
    <sheet name="Test31 Sensitivity" sheetId="73" r:id="rId55"/>
    <sheet name="Test31" sheetId="65" r:id="rId56"/>
    <sheet name="Test32" sheetId="66" r:id="rId57"/>
    <sheet name="Test33" sheetId="67" r:id="rId58"/>
    <sheet name="Test34" sheetId="68" r:id="rId59"/>
    <sheet name="Test35" sheetId="69" r:id="rId60"/>
    <sheet name="Test36" sheetId="70" r:id="rId61"/>
    <sheet name="Test37" sheetId="71" r:id="rId62"/>
    <sheet name="Test38" sheetId="75" r:id="rId63"/>
    <sheet name="Test38_(Data)" sheetId="76" r:id="rId64"/>
    <sheet name="Test39_SensNames Sensitivity" sheetId="84" r:id="rId65"/>
    <sheet name="Test39_SensNames" sheetId="77" r:id="rId66"/>
    <sheet name="Test39_SensNames2 Sensitivity" sheetId="97" r:id="rId67"/>
    <sheet name="Test39_SensNames2" sheetId="96" r:id="rId68"/>
    <sheet name="Test40" sheetId="85" r:id="rId69"/>
    <sheet name="Test41" sheetId="87" r:id="rId70"/>
    <sheet name="Test42" sheetId="88" r:id="rId71"/>
    <sheet name="Test43" sheetId="90" r:id="rId72"/>
    <sheet name="Test44_Seek Sensitivity" sheetId="93" r:id="rId73"/>
    <sheet name="Test44_Seek" sheetId="92" r:id="rId74"/>
    <sheet name="Test45_SheetName(1)+2-1" sheetId="94" r:id="rId75"/>
    <sheet name="Test46_NonLinBinary" sheetId="95" r:id="rId76"/>
    <sheet name="HighlightingExample" sheetId="5" r:id="rId77"/>
    <sheet name="TestNewAutomodel" sheetId="40" r:id="rId78"/>
  </sheets>
  <functionGroups builtInGroupCount="18"/>
  <externalReferences>
    <externalReference r:id="rId79"/>
  </externalReferences>
  <definedNames>
    <definedName name="anscount" hidden="1">1</definedName>
    <definedName name="asdsad" localSheetId="37">#REF!</definedName>
    <definedName name="asdsad" localSheetId="67">#REF!</definedName>
    <definedName name="asdsad">#REF!</definedName>
    <definedName name="b">[1]InventoryStep!$B$4</definedName>
    <definedName name="CBCDualsNewSheet" hidden="1">FALSE</definedName>
    <definedName name="dffd" localSheetId="37">#REF!</definedName>
    <definedName name="dffd" localSheetId="67">#REF!</definedName>
    <definedName name="dffd" localSheetId="73">#REF!</definedName>
    <definedName name="dffd" localSheetId="74">#REF!</definedName>
    <definedName name="dffd">#REF!</definedName>
    <definedName name="DualsNewSheet" localSheetId="52" hidden="1">FALSE</definedName>
    <definedName name="DualsNewSheet" localSheetId="57" hidden="1">TRUE</definedName>
    <definedName name="DualsNewSheet" hidden="1">FALSE</definedName>
    <definedName name="feasibilitySolve" localSheetId="37" hidden="1">CBC (default)</definedName>
    <definedName name="feasibilitySolve" localSheetId="57" hidden="1">CBC (default)</definedName>
    <definedName name="feasibilitySolve" localSheetId="67" hidden="1">CBC (default)</definedName>
    <definedName name="feasibilitySolve" localSheetId="73" hidden="1">CBC (default)</definedName>
    <definedName name="feasibilitySolve" localSheetId="74" hidden="1">CBC (default)</definedName>
    <definedName name="feasibilitySolve" localSheetId="75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37">#REF!</definedName>
    <definedName name="Hey" localSheetId="67">#REF!</definedName>
    <definedName name="Hey" localSheetId="73">#REF!</definedName>
    <definedName name="Hey" localSheetId="74">#REF!</definedName>
    <definedName name="Hey" localSheetId="75">#REF!</definedName>
    <definedName name="Hey">#REF!</definedName>
    <definedName name="hhh">Test31!$G$8</definedName>
    <definedName name="hhtgfh">Test32!$K$8</definedName>
    <definedName name="hi" localSheetId="53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 localSheetId="37">#REF!</definedName>
    <definedName name="junk" localSheetId="67">#REF!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37">#REF!</definedName>
    <definedName name="MaximumCost" localSheetId="67">#REF!</definedName>
    <definedName name="MaximumCost" localSheetId="73">#REF!</definedName>
    <definedName name="MaximumCost" localSheetId="74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42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52" hidden="1">Bonmin</definedName>
    <definedName name="OpenSolver_ChosenSolver" localSheetId="18" hidden="1">Bonmin</definedName>
    <definedName name="OpenSolver_ChosenSolver" localSheetId="53" hidden="1">Bonmin</definedName>
    <definedName name="OpenSolver_ChosenSolver" localSheetId="55" hidden="1">Bonmin</definedName>
    <definedName name="OpenSolver_ChosenSolver" localSheetId="54" hidden="1">CBC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Bonmin</definedName>
    <definedName name="OpenSolver_ChosenSolver" localSheetId="63" hidden="1">CBC</definedName>
    <definedName name="OpenSolver_ChosenSolver" localSheetId="65" hidden="1">Bonmin</definedName>
    <definedName name="OpenSolver_ChosenSolver" localSheetId="67" hidden="1">Bonmin</definedName>
    <definedName name="OpenSolver_ChosenSolver" localSheetId="19" hidden="1">Bonmin</definedName>
    <definedName name="OpenSolver_ChosenSolver" localSheetId="68" hidden="1">Bonmin</definedName>
    <definedName name="OpenSolver_ChosenSolver" localSheetId="69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73" hidden="1">Bonmin</definedName>
    <definedName name="OpenSolver_ChosenSolver" localSheetId="74" hidden="1">Bonmin</definedName>
    <definedName name="OpenSolver_ChosenSolver" localSheetId="75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7" hidden="1">Gurobi</definedName>
    <definedName name="OpenSolver_ConstraintList" localSheetId="37">#REF!</definedName>
    <definedName name="OpenSolver_ConstraintList" localSheetId="67">#REF!</definedName>
    <definedName name="OpenSolver_ConstraintList">#REF!</definedName>
    <definedName name="OpenSolver_Duals" localSheetId="73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42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52" hidden="1">FALSE</definedName>
    <definedName name="OpenSolver_DualsNewSheet" localSheetId="18" hidden="1">FALSE</definedName>
    <definedName name="OpenSolver_DualsNewSheet" localSheetId="53" hidden="1">FALSE</definedName>
    <definedName name="OpenSolver_DualsNewSheet" localSheetId="55" hidden="1">TRUE</definedName>
    <definedName name="OpenSolver_DualsNewSheet" localSheetId="54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3" hidden="1">FALSE</definedName>
    <definedName name="OpenSolver_DualsNewSheet" localSheetId="65" hidden="1">TRUE</definedName>
    <definedName name="OpenSolver_DualsNewSheet" localSheetId="67" hidden="1">TRUE</definedName>
    <definedName name="OpenSolver_DualsNewSheet" localSheetId="19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70" hidden="1">FALSE</definedName>
    <definedName name="OpenSolver_DualsNewSheet" localSheetId="71" hidden="1">FALSE</definedName>
    <definedName name="OpenSolver_DualsNewSheet" localSheetId="73" hidden="1">TRUE</definedName>
    <definedName name="OpenSolver_DualsNewSheet" localSheetId="74" hidden="1">FALSE</definedName>
    <definedName name="OpenSolver_DualsNewSheet" localSheetId="75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7" hidden="1">FALSE</definedName>
    <definedName name="OpenSolver_ModelParameters" localSheetId="76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Test15e_Relax!$O$10:$P$10</definedName>
    <definedName name="OpenSolver_ModelParameters" localSheetId="38">Test16!$O$11:$P$11</definedName>
    <definedName name="OpenSolver_ModelParameters" localSheetId="39">Test16b!$O$11:$P$11</definedName>
    <definedName name="OpenSolver_ModelParameters" localSheetId="40">Test17!$O$11:$P$11</definedName>
    <definedName name="OpenSolver_ModelParameters" localSheetId="41">Test18!$O$9:$P$9</definedName>
    <definedName name="OpenSolver_ModelParameters" localSheetId="42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3">Test20!$O$10:$P$10</definedName>
    <definedName name="OpenSolver_ModelParameters" localSheetId="44">Test21!$O$10:$P$10</definedName>
    <definedName name="OpenSolver_ModelParameters" localSheetId="45">Test22!$O$10:$P$10</definedName>
    <definedName name="OpenSolver_ModelParameters" localSheetId="46">Test23!$O$10:$P$10</definedName>
    <definedName name="OpenSolver_ModelParameters" localSheetId="47">Test24_IterativeCalc!$O$8:$P$8</definedName>
    <definedName name="OpenSolver_ModelParameters" localSheetId="49">Test26!$M$8:$M$8</definedName>
    <definedName name="OpenSolver_ModelParameters" localSheetId="50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4">'Test45_SheetName(1)+2-1'!$O$7:$P$7</definedName>
    <definedName name="OpenSolver_ModelParameters" localSheetId="75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6" hidden="1">TRUE</definedName>
    <definedName name="OpenSolver_UpdateSensitivity" localSheetId="37" hidden="1">TRUE</definedName>
    <definedName name="OpenSolver_UpdateSensitivity" localSheetId="38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3" hidden="1">TRUE</definedName>
    <definedName name="OpenSolver_UpdateSensitivity" localSheetId="46" hidden="1">TRUE</definedName>
    <definedName name="OpenSolver_UpdateSensitivity" localSheetId="47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52" hidden="1">TRUE</definedName>
    <definedName name="OpenSolver_UpdateSensitivity" localSheetId="18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4" hidden="1">TRUE</definedName>
    <definedName name="OpenSolver_UpdateSensitivity" localSheetId="56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3" hidden="1">TRUE</definedName>
    <definedName name="OpenSolver_UpdateSensitivity" localSheetId="65" hidden="1">TRUE</definedName>
    <definedName name="OpenSolver_UpdateSensitivity" localSheetId="67" hidden="1">TRUE</definedName>
    <definedName name="OpenSolver_UpdateSensitivity" localSheetId="19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3" hidden="1">TRUE</definedName>
    <definedName name="OpenSolver_UpdateSensitivity" localSheetId="74" hidden="1">TRUE</definedName>
    <definedName name="OpenSolver_UpdateSensitivity" localSheetId="75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50">Test27_Parameters!$O$7:$P$7</definedName>
    <definedName name="OpenSolverResult">Data!$A$1:$A$7</definedName>
    <definedName name="OpenSolverResultCodes">Data!$A$1:$B$7</definedName>
    <definedName name="p" localSheetId="37">#REF!</definedName>
    <definedName name="p" localSheetId="67">#REF!</definedName>
    <definedName name="p" localSheetId="73">#REF!</definedName>
    <definedName name="p" localSheetId="74">#REF!</definedName>
    <definedName name="p">#REF!</definedName>
    <definedName name="q" localSheetId="37">#REF!</definedName>
    <definedName name="q" localSheetId="67">#REF!</definedName>
    <definedName name="q" localSheetId="73">#REF!</definedName>
    <definedName name="q" localSheetId="74">#REF!</definedName>
    <definedName name="q">#REF!</definedName>
    <definedName name="s" localSheetId="37">#REF!</definedName>
    <definedName name="s" localSheetId="67">#REF!</definedName>
    <definedName name="s" localSheetId="73">#REF!</definedName>
    <definedName name="s" localSheetId="74">#REF!</definedName>
    <definedName name="s">#REF!</definedName>
    <definedName name="Scale" localSheetId="76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Test15e_Relax!$O$10</definedName>
    <definedName name="Scale" localSheetId="38">Test16!$O$11</definedName>
    <definedName name="Scale" localSheetId="39">Test16b!$O$11</definedName>
    <definedName name="Scale" localSheetId="40">Test17!$O$11</definedName>
    <definedName name="Scale" localSheetId="41">Test18!$O$9</definedName>
    <definedName name="Scale" localSheetId="42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3">Test20!$O$10</definedName>
    <definedName name="Scale" localSheetId="44">Test21!$O$10</definedName>
    <definedName name="Scale" localSheetId="45">Test22!$O$10</definedName>
    <definedName name="Scale" localSheetId="46">Test23!$O$10</definedName>
    <definedName name="Scale" localSheetId="47">Test24_IterativeCalc!$O$8</definedName>
    <definedName name="Scale" localSheetId="49">Test26!#REF!</definedName>
    <definedName name="Scale" localSheetId="50">Test27_Parameters!$O$7</definedName>
    <definedName name="Scale" localSheetId="18">Test3!$O$7</definedName>
    <definedName name="Scale" localSheetId="19">Test4!$O$8</definedName>
    <definedName name="Scale" localSheetId="74">'Test45_SheetName(1)+2-1'!$O$7</definedName>
    <definedName name="Scale" localSheetId="75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 localSheetId="37">#REF!</definedName>
    <definedName name="scale2" localSheetId="67">#REF!</definedName>
    <definedName name="scale2">#REF!</definedName>
    <definedName name="sencount" hidden="1">1</definedName>
    <definedName name="Sheet1OpenSolverModelParameters" localSheetId="76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Test15e_Relax!$K$8:$K$8</definedName>
    <definedName name="Sheet1OpenSolverModelParameters" localSheetId="38">Test16!$K$9:$K$9</definedName>
    <definedName name="Sheet1OpenSolverModelParameters" localSheetId="39">Test16b!$K$9:$K$9</definedName>
    <definedName name="Sheet1OpenSolverModelParameters" localSheetId="40">Test17!$K$9:$K$9</definedName>
    <definedName name="Sheet1OpenSolverModelParameters" localSheetId="41">Test18!$K$7:$K$7</definedName>
    <definedName name="Sheet1OpenSolverModelParameters" localSheetId="42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3">Test20!$K$8:$K$8</definedName>
    <definedName name="Sheet1OpenSolverModelParameters" localSheetId="44">Test21!$K$8:$K$8</definedName>
    <definedName name="Sheet1OpenSolverModelParameters" localSheetId="45">Test22!$K$8:$K$8</definedName>
    <definedName name="Sheet1OpenSolverModelParameters" localSheetId="46">Test23!$K$8:$K$8</definedName>
    <definedName name="Sheet1OpenSolverModelParameters" localSheetId="47">Test24_IterativeCalc!$K$6:$K$6</definedName>
    <definedName name="Sheet1OpenSolverModelParameters" localSheetId="49">Test26!$K$6:$K$6</definedName>
    <definedName name="Sheet1OpenSolverModelParameters" localSheetId="50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4">'Test45_SheetName(1)+2-1'!$K$5:$K$5</definedName>
    <definedName name="Sheet1OpenSolverModelParameters" localSheetId="75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37" hidden="1">CBC (default)</definedName>
    <definedName name="Solver" localSheetId="57" hidden="1">CBC (default)</definedName>
    <definedName name="Solver" localSheetId="67" hidden="1">CBC (default)</definedName>
    <definedName name="Solver" localSheetId="73" hidden="1">CBC (default)</definedName>
    <definedName name="Solver" localSheetId="74" hidden="1">CBC (default)</definedName>
    <definedName name="Solver" localSheetId="75" hidden="1">CBC (default)</definedName>
    <definedName name="Solver" hidden="1">CBC (default)</definedName>
    <definedName name="solver_adj" localSheetId="76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Test15e_Relax!$D$5:$F$5</definedName>
    <definedName name="solver_adj" localSheetId="38" hidden="1">Test16!$D$6:$F$6</definedName>
    <definedName name="solver_adj" localSheetId="39" hidden="1">Test16b!$D$6:$F$6</definedName>
    <definedName name="solver_adj" localSheetId="40" hidden="1">Test17!$D$6:$F$6</definedName>
    <definedName name="solver_adj" localSheetId="41" hidden="1">Test18!$D$4:$F$4</definedName>
    <definedName name="solver_adj" localSheetId="42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3" hidden="1">Test20!$D$5:$F$5</definedName>
    <definedName name="solver_adj" localSheetId="44" hidden="1">Test21!$D$5:$F$5</definedName>
    <definedName name="solver_adj" localSheetId="45" hidden="1">Test22!$D$5:$F$5</definedName>
    <definedName name="solver_adj" localSheetId="46" hidden="1">Test23!$D$5:$F$5</definedName>
    <definedName name="solver_adj" localSheetId="47" hidden="1">Test24_IterativeCalc!$D$5:$F$5</definedName>
    <definedName name="solver_adj" localSheetId="48" hidden="1">Test25!$D$7:$F$7</definedName>
    <definedName name="solver_adj" localSheetId="49" hidden="1">Test26!$D$5:$F$5</definedName>
    <definedName name="solver_adj" localSheetId="50" hidden="1">Test27_Parameters!$D$4:$F$4</definedName>
    <definedName name="solver_adj" localSheetId="51" hidden="1">Test28_CBCOptions!$D$13:$F$13</definedName>
    <definedName name="solver_adj" localSheetId="52" hidden="1">Test29!$E$4:$G$4</definedName>
    <definedName name="solver_adj" localSheetId="18" hidden="1">Test3!$D$4:$G$4,Test3!$Q$3:$R$4</definedName>
    <definedName name="solver_adj" localSheetId="53" hidden="1">Test30!$D$4:$J$4</definedName>
    <definedName name="solver_adj" localSheetId="55" hidden="1">Test31!$D$4:$F$4</definedName>
    <definedName name="solver_adj" localSheetId="56" hidden="1">Test32!$D$4:$H$4</definedName>
    <definedName name="solver_adj" localSheetId="57" hidden="1">Test33!$E$4:$G$4</definedName>
    <definedName name="solver_adj" localSheetId="58" hidden="1">Test34!$C$4:$D$4</definedName>
    <definedName name="solver_adj" localSheetId="59" hidden="1">Test35!$D$5:$E$5</definedName>
    <definedName name="solver_adj" localSheetId="60" hidden="1">Test36!$D$4:$F$4</definedName>
    <definedName name="solver_adj" localSheetId="61" hidden="1">Test37!$D$5:$H$5</definedName>
    <definedName name="solver_adj" localSheetId="62" hidden="1">Test38!$S$10:$S$11</definedName>
    <definedName name="solver_adj" localSheetId="65" hidden="1">Test39_SensNames!$D$14:$H$16,Test39_SensNames!$J$21</definedName>
    <definedName name="solver_adj" localSheetId="67" hidden="1">Test39_SensNames2!$D$14:$H$16,Test39_SensNames2!$J$21</definedName>
    <definedName name="solver_adj" localSheetId="19" hidden="1">Test4!$D$5:$G$5,Test4!$N$4:$N$5,Test4!$Q$4:$R$5</definedName>
    <definedName name="solver_adj" localSheetId="68" hidden="1">Test40!$D$11</definedName>
    <definedName name="solver_adj" localSheetId="69" hidden="1">Test41!$F$2:$I$2</definedName>
    <definedName name="solver_adj" localSheetId="70" hidden="1">Test42!$D$7:$D$8</definedName>
    <definedName name="solver_adj" localSheetId="71" hidden="1">Test43!$D$2:$F$2</definedName>
    <definedName name="solver_adj" localSheetId="73" hidden="1">Test44_Seek!$D$2:$F$2</definedName>
    <definedName name="solver_adj" localSheetId="74" hidden="1">'Test45_SheetName(1)+2-1'!$D$4:$F$4</definedName>
    <definedName name="solver_adj" localSheetId="75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7" hidden="1">TestNewAutomodel!$B$28:$D$28,TestNewAutomodel!$C$3:$C$5</definedName>
    <definedName name="solver_cvg" localSheetId="76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4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52" hidden="1">0.0001</definedName>
    <definedName name="solver_cvg" localSheetId="18" hidden="1">0.0001</definedName>
    <definedName name="solver_cvg" localSheetId="53" hidden="1">0.0001</definedName>
    <definedName name="solver_cvg" localSheetId="55" hidden="1">0.0001</definedName>
    <definedName name="solver_cvg" localSheetId="54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5" hidden="1">0.0001</definedName>
    <definedName name="solver_cvg" localSheetId="67" hidden="1">0.0001</definedName>
    <definedName name="solver_cvg" localSheetId="19" hidden="1">0.0001</definedName>
    <definedName name="solver_cvg" localSheetId="68" hidden="1">0.0001</definedName>
    <definedName name="solver_cvg" localSheetId="69" hidden="1">0.0001</definedName>
    <definedName name="solver_cvg" localSheetId="70" hidden="1">0.0001</definedName>
    <definedName name="solver_cvg" localSheetId="71" hidden="1">0.0001</definedName>
    <definedName name="solver_cvg" localSheetId="73" hidden="1">0.0001</definedName>
    <definedName name="solver_cvg" localSheetId="74" hidden="1">0.0001</definedName>
    <definedName name="solver_cvg" localSheetId="75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7" hidden="1">0.0001</definedName>
    <definedName name="solver_drv" localSheetId="76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4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52" hidden="1">1</definedName>
    <definedName name="solver_drv" localSheetId="18" hidden="1">1</definedName>
    <definedName name="solver_drv" localSheetId="53" hidden="1">1</definedName>
    <definedName name="solver_drv" localSheetId="55" hidden="1">1</definedName>
    <definedName name="solver_drv" localSheetId="54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5" hidden="1">1</definedName>
    <definedName name="solver_drv" localSheetId="67" hidden="1">1</definedName>
    <definedName name="solver_drv" localSheetId="19" hidden="1">1</definedName>
    <definedName name="solver_drv" localSheetId="68" hidden="1">1</definedName>
    <definedName name="solver_drv" localSheetId="69" hidden="1">1</definedName>
    <definedName name="solver_drv" localSheetId="70" hidden="1">1</definedName>
    <definedName name="solver_drv" localSheetId="71" hidden="1">1</definedName>
    <definedName name="solver_drv" localSheetId="73" hidden="1">1</definedName>
    <definedName name="solver_drv" localSheetId="74" hidden="1">1</definedName>
    <definedName name="solver_drv" localSheetId="75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7" hidden="1">1</definedName>
    <definedName name="solver_eng" localSheetId="2" hidden="1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42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3">2</definedName>
    <definedName name="solver_eng" localSheetId="44" hidden="1">2</definedName>
    <definedName name="solver_eng" localSheetId="45" hidden="1">2</definedName>
    <definedName name="solver_eng" localSheetId="46" hidden="1">2</definedName>
    <definedName name="solver_eng" localSheetId="48" hidden="1">2</definedName>
    <definedName name="solver_eng" localSheetId="49" hidden="1">2</definedName>
    <definedName name="solver_eng" localSheetId="52" hidden="1">2</definedName>
    <definedName name="solver_eng" localSheetId="18">2</definedName>
    <definedName name="solver_eng" localSheetId="53" hidden="1">2</definedName>
    <definedName name="solver_eng" localSheetId="56" hidden="1">2</definedName>
    <definedName name="solver_eng" localSheetId="59" hidden="1">2</definedName>
    <definedName name="solver_eng" localSheetId="60" hidden="1">2</definedName>
    <definedName name="solver_eng" localSheetId="61" hidden="1">2</definedName>
    <definedName name="solver_eng" localSheetId="19">2</definedName>
    <definedName name="solver_eng" localSheetId="68" hidden="1">2</definedName>
    <definedName name="solver_eng" localSheetId="69" hidden="1">2</definedName>
    <definedName name="solver_eng" localSheetId="70" hidden="1">2</definedName>
    <definedName name="solver_eng" localSheetId="74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7" hidden="1">2</definedName>
    <definedName name="solver_est" localSheetId="76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4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52" hidden="1">1</definedName>
    <definedName name="solver_est" localSheetId="18" hidden="1">1</definedName>
    <definedName name="solver_est" localSheetId="53" hidden="1">1</definedName>
    <definedName name="solver_est" localSheetId="55" hidden="1">1</definedName>
    <definedName name="solver_est" localSheetId="54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5" hidden="1">1</definedName>
    <definedName name="solver_est" localSheetId="67" hidden="1">1</definedName>
    <definedName name="solver_est" localSheetId="19" hidden="1">1</definedName>
    <definedName name="solver_est" localSheetId="68" hidden="1">1</definedName>
    <definedName name="solver_est" localSheetId="69" hidden="1">1</definedName>
    <definedName name="solver_est" localSheetId="70" hidden="1">1</definedName>
    <definedName name="solver_est" localSheetId="71" hidden="1">1</definedName>
    <definedName name="solver_est" localSheetId="73" hidden="1">1</definedName>
    <definedName name="solver_est" localSheetId="74" hidden="1">1</definedName>
    <definedName name="solver_est" localSheetId="75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7" hidden="1">1</definedName>
    <definedName name="solver_itr" localSheetId="76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42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</definedName>
    <definedName name="solver_itr" localSheetId="49" hidden="1">1000</definedName>
    <definedName name="solver_itr" localSheetId="50" hidden="1">100</definedName>
    <definedName name="solver_itr" localSheetId="51" hidden="1">1000</definedName>
    <definedName name="solver_itr" localSheetId="52" hidden="1">1000</definedName>
    <definedName name="solver_itr" localSheetId="18" hidden="1">1000</definedName>
    <definedName name="solver_itr" localSheetId="53" hidden="1">1000</definedName>
    <definedName name="solver_itr" localSheetId="55" hidden="1">1000</definedName>
    <definedName name="solver_itr" localSheetId="54" hidden="1">100</definedName>
    <definedName name="solver_itr" localSheetId="56" hidden="1">1000</definedName>
    <definedName name="solver_itr" localSheetId="57" hidden="1">100</definedName>
    <definedName name="solver_itr" localSheetId="58" hidden="1">1000</definedName>
    <definedName name="solver_itr" localSheetId="59" hidden="1">20000</definedName>
    <definedName name="solver_itr" localSheetId="60" hidden="1">100</definedName>
    <definedName name="solver_itr" localSheetId="61" hidden="1">1000</definedName>
    <definedName name="solver_itr" localSheetId="62" hidden="1">100000</definedName>
    <definedName name="solver_itr" localSheetId="63" hidden="1">100</definedName>
    <definedName name="solver_itr" localSheetId="65" hidden="1">2000</definedName>
    <definedName name="solver_itr" localSheetId="67" hidden="1">2000</definedName>
    <definedName name="solver_itr" localSheetId="19" hidden="1">1000</definedName>
    <definedName name="solver_itr" localSheetId="68" hidden="1">1000</definedName>
    <definedName name="solver_itr" localSheetId="69" hidden="1">100000</definedName>
    <definedName name="solver_itr" localSheetId="70" hidden="1">1000</definedName>
    <definedName name="solver_itr" localSheetId="71" hidden="1">1000</definedName>
    <definedName name="solver_itr" localSheetId="73" hidden="1">1000</definedName>
    <definedName name="solver_itr" localSheetId="74" hidden="1">200</definedName>
    <definedName name="solver_itr" localSheetId="75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7" hidden="1">100</definedName>
    <definedName name="solver_lhs1" localSheetId="76" hidden="1">HighlightingExample!$G$7:$G$8</definedName>
    <definedName name="solver_lhs1" localSheetId="21" hidden="1">'Test!6'!$H$9</definedName>
    <definedName name="solver_lhs1" localSheetId="2" hidden="1">Test1!$H$10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Test15e_Relax!$H$13</definedName>
    <definedName name="solver_lhs1" localSheetId="38" hidden="1">Test16!$D$6:$H$6</definedName>
    <definedName name="solver_lhs1" localSheetId="39" hidden="1">Test16b!$E$6:$H$6</definedName>
    <definedName name="solver_lhs1" localSheetId="40" hidden="1">Test17!$D$6:$H$6</definedName>
    <definedName name="solver_lhs1" localSheetId="41" hidden="1">Test18!$D$4:$F$4</definedName>
    <definedName name="solver_lhs1" localSheetId="42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3" hidden="1">Test20!$H$11</definedName>
    <definedName name="solver_lhs1" localSheetId="44" hidden="1">Test21!$D$5</definedName>
    <definedName name="solver_lhs1" localSheetId="45" hidden="1">Test22!$D$5</definedName>
    <definedName name="solver_lhs1" localSheetId="46" hidden="1">Test23!$D$7</definedName>
    <definedName name="solver_lhs1" localSheetId="47" hidden="1">Test24_IterativeCalc!$H$12</definedName>
    <definedName name="solver_lhs1" localSheetId="48" hidden="1">Test25!$H$11:$H$12</definedName>
    <definedName name="solver_lhs1" localSheetId="49" hidden="1">Test26!$H$11</definedName>
    <definedName name="solver_lhs1" localSheetId="50" hidden="1">Test27_Parameters!$H$8</definedName>
    <definedName name="solver_lhs1" localSheetId="51" hidden="1">Test28_CBCOptions!$H$20</definedName>
    <definedName name="solver_lhs1" localSheetId="52" hidden="1">Test29!$H$11</definedName>
    <definedName name="solver_lhs1" localSheetId="18" hidden="1">Test3!$S$3:$S$4</definedName>
    <definedName name="solver_lhs1" localSheetId="53" hidden="1">Test30!$K$8</definedName>
    <definedName name="solver_lhs1" localSheetId="55" hidden="1">Test31!$G$8</definedName>
    <definedName name="solver_lhs1" localSheetId="56" hidden="1">Test32!$I$12</definedName>
    <definedName name="solver_lhs1" localSheetId="57" hidden="1">Test33!$H$8</definedName>
    <definedName name="solver_lhs1" localSheetId="58" hidden="1">Test34!$E$6:$E$7</definedName>
    <definedName name="solver_lhs1" localSheetId="59" hidden="1">Test35!$F$8</definedName>
    <definedName name="solver_lhs1" localSheetId="60" hidden="1">Test36!$D$4:$F$4</definedName>
    <definedName name="solver_lhs1" localSheetId="61" hidden="1">Test37!$I$7:$I$9</definedName>
    <definedName name="solver_lhs1" localSheetId="62" hidden="1">Test38!$S$10:$S$11</definedName>
    <definedName name="solver_lhs1" localSheetId="65" hidden="1">Test39_SensNames!$I$14:$I$16</definedName>
    <definedName name="solver_lhs1" localSheetId="67" hidden="1">Test39_SensNames2!$I$14:$I$16</definedName>
    <definedName name="solver_lhs1" localSheetId="19" hidden="1">Test4!$I$9</definedName>
    <definedName name="solver_lhs1" localSheetId="71" hidden="1">Test43!$G$6</definedName>
    <definedName name="solver_lhs1" localSheetId="73" hidden="1">Test44_Seek!$G$6</definedName>
    <definedName name="solver_lhs1" localSheetId="74" hidden="1">'Test45_SheetName(1)+2-1'!$H$11</definedName>
    <definedName name="solver_lhs1" localSheetId="75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7" hidden="1">TestNewAutomodel!$B$20</definedName>
    <definedName name="solver_lhs10" localSheetId="31" hidden="1">Test13b!$H$16</definedName>
    <definedName name="solver_lhs10" localSheetId="52" hidden="1">Test29!$G$4</definedName>
    <definedName name="solver_lhs10" localSheetId="57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7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7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7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7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6" hidden="1">HighlightingExample!$G$9</definedName>
    <definedName name="solver_lhs2" localSheetId="21" hidden="1">'Test!6'!$H$10</definedName>
    <definedName name="solver_lhs2" localSheetId="2" hidden="1">Test1!$H$11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Test15e_Relax!$H$12</definedName>
    <definedName name="solver_lhs2" localSheetId="38" hidden="1">Test16!$H$12</definedName>
    <definedName name="solver_lhs2" localSheetId="39" hidden="1">Test16b!$H$12</definedName>
    <definedName name="solver_lhs2" localSheetId="40" hidden="1">Test17!$H$12</definedName>
    <definedName name="solver_lhs2" localSheetId="41" hidden="1">Test18!$H$10</definedName>
    <definedName name="solver_lhs2" localSheetId="42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3" hidden="1">Test20!$H$12</definedName>
    <definedName name="solver_lhs2" localSheetId="44" hidden="1">Test21!$H$11</definedName>
    <definedName name="solver_lhs2" localSheetId="45" hidden="1">Test22!$H$11</definedName>
    <definedName name="solver_lhs2" localSheetId="46" hidden="1">Test23!$H$11</definedName>
    <definedName name="solver_lhs2" localSheetId="47" hidden="1">Test24_IterativeCalc!$H$9:$H$10</definedName>
    <definedName name="solver_lhs2" localSheetId="48" hidden="1">Test25!$H$14</definedName>
    <definedName name="solver_lhs2" localSheetId="49" hidden="1">Test26!$H$12</definedName>
    <definedName name="solver_lhs2" localSheetId="50" hidden="1">Test27_Parameters!$H$9</definedName>
    <definedName name="solver_lhs2" localSheetId="51" hidden="1">Test28_CBCOptions!$H$17:$H$18</definedName>
    <definedName name="solver_lhs2" localSheetId="52" hidden="1">Test29!$H$8:$H$10</definedName>
    <definedName name="solver_lhs2" localSheetId="18" hidden="1">Test3!$I$8:$I$9</definedName>
    <definedName name="solver_lhs2" localSheetId="53" hidden="1">Test30!$K$10:$K$11</definedName>
    <definedName name="solver_lhs2" localSheetId="55" hidden="1">Test31!$G$10:$G$11</definedName>
    <definedName name="solver_lhs2" localSheetId="56" hidden="1">Test32!$I$8</definedName>
    <definedName name="solver_lhs2" localSheetId="57" hidden="1">Test33!$H$10:$H$11</definedName>
    <definedName name="solver_lhs2" localSheetId="58" hidden="1">Test34!$C$4:$D$4</definedName>
    <definedName name="solver_lhs2" localSheetId="59" hidden="1">Test35!$F$9</definedName>
    <definedName name="solver_lhs2" localSheetId="60" hidden="1">Test36!$G$8</definedName>
    <definedName name="solver_lhs2" localSheetId="61" hidden="1">Test37!$D$5:$H$5</definedName>
    <definedName name="solver_lhs2" localSheetId="62" hidden="1">Test38!$S$10:$S$11</definedName>
    <definedName name="solver_lhs2" localSheetId="65" hidden="1">Test39_SensNames!$D$17:$H$17</definedName>
    <definedName name="solver_lhs2" localSheetId="67" hidden="1">Test39_SensNames2!$D$17:$H$17</definedName>
    <definedName name="solver_lhs2" localSheetId="19" hidden="1">Test4!$I$10</definedName>
    <definedName name="solver_lhs2" localSheetId="71" hidden="1">Test43!$G$8:$G$9</definedName>
    <definedName name="solver_lhs2" localSheetId="73" hidden="1">Test44_Seek!$G$7</definedName>
    <definedName name="solver_lhs2" localSheetId="74" hidden="1">'Test45_SheetName(1)+2-1'!$H$8:$H$9</definedName>
    <definedName name="solver_lhs2" localSheetId="75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7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6" hidden="1">HighlightingExample!$G$10</definedName>
    <definedName name="solver_lhs3" localSheetId="21" hidden="1">'Test!6'!$H$11</definedName>
    <definedName name="solver_lhs3" localSheetId="2" hidden="1">Test1!$H$8:$H$9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Test15e_Relax!$H$11</definedName>
    <definedName name="solver_lhs3" localSheetId="38" hidden="1">Test16!$H$13</definedName>
    <definedName name="solver_lhs3" localSheetId="39" hidden="1">Test16b!$H$13</definedName>
    <definedName name="solver_lhs3" localSheetId="40" hidden="1">Test17!$H$13</definedName>
    <definedName name="solver_lhs3" localSheetId="41" hidden="1">Test18!$H$11</definedName>
    <definedName name="solver_lhs3" localSheetId="42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3" hidden="1">Test20!$H$13</definedName>
    <definedName name="solver_lhs3" localSheetId="44" hidden="1">Test21!$H$12</definedName>
    <definedName name="solver_lhs3" localSheetId="45" hidden="1">Test22!$H$12</definedName>
    <definedName name="solver_lhs3" localSheetId="46" hidden="1">Test23!$H$12</definedName>
    <definedName name="solver_lhs3" localSheetId="47" hidden="1">Test24_IterativeCalc!$H$11</definedName>
    <definedName name="solver_lhs3" localSheetId="48" hidden="1">Test25!$H$13</definedName>
    <definedName name="solver_lhs3" localSheetId="49" hidden="1">Test26!$H$9:$H$10</definedName>
    <definedName name="solver_lhs3" localSheetId="50" hidden="1">Test27_Parameters!$H$10</definedName>
    <definedName name="solver_lhs3" localSheetId="51" hidden="1">Test28_CBCOptions!$H$19</definedName>
    <definedName name="solver_lhs3" localSheetId="52" hidden="1">Test29!$H$9</definedName>
    <definedName name="solver_lhs3" localSheetId="18" hidden="1">Test3!$I$11</definedName>
    <definedName name="solver_lhs3" localSheetId="53" hidden="1">Test30!$K$9</definedName>
    <definedName name="solver_lhs3" localSheetId="55" hidden="1">Test31!$G$9</definedName>
    <definedName name="solver_lhs3" localSheetId="56" hidden="1">Test32!$I$10:$I$11</definedName>
    <definedName name="solver_lhs3" localSheetId="57" hidden="1">Test33!$H$9</definedName>
    <definedName name="solver_lhs3" localSheetId="59" hidden="1">Test35!$F$10</definedName>
    <definedName name="solver_lhs3" localSheetId="67" hidden="1">Test39_SensNames2!$D$14:$H$16</definedName>
    <definedName name="solver_lhs3" localSheetId="19" hidden="1">Test4!$I$11</definedName>
    <definedName name="solver_lhs3" localSheetId="71" hidden="1">Test43!$G$7</definedName>
    <definedName name="solver_lhs3" localSheetId="73" hidden="1">Test44_Seek!$G$8</definedName>
    <definedName name="solver_lhs3" localSheetId="74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7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6" hidden="1">HighlightingExample!$M$15</definedName>
    <definedName name="solver_lhs4" localSheetId="21" hidden="1">'Test!6'!$H$12</definedName>
    <definedName name="solver_lhs4" localSheetId="2" hidden="1">Test1!$H$8:$H$9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Test15e_Relax!$D$5:$F$5</definedName>
    <definedName name="solver_lhs4" localSheetId="38" hidden="1">Test16!$H$14</definedName>
    <definedName name="solver_lhs4" localSheetId="39" hidden="1">Test16b!$H$14</definedName>
    <definedName name="solver_lhs4" localSheetId="40" hidden="1">Test17!$H$14</definedName>
    <definedName name="solver_lhs4" localSheetId="41" hidden="1">Test18!$H$12</definedName>
    <definedName name="solver_lhs4" localSheetId="42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3" hidden="1">Test20!$D$5:$F$5</definedName>
    <definedName name="solver_lhs4" localSheetId="44" hidden="1">Test21!$H$13</definedName>
    <definedName name="solver_lhs4" localSheetId="45" hidden="1">Test22!$H$13</definedName>
    <definedName name="solver_lhs4" localSheetId="46" hidden="1">Test23!$H$13</definedName>
    <definedName name="solver_lhs4" localSheetId="47" hidden="1">Test24_IterativeCalc!$H$12</definedName>
    <definedName name="solver_lhs4" localSheetId="49" hidden="1">Test26!$H$12</definedName>
    <definedName name="solver_lhs4" localSheetId="50" hidden="1">Test27_Parameters!$D$4:$E$4</definedName>
    <definedName name="solver_lhs4" localSheetId="51" hidden="1">Test28_CBCOptions!$H$20</definedName>
    <definedName name="solver_lhs4" localSheetId="52" hidden="1">Test29!$H$10:$H$11</definedName>
    <definedName name="solver_lhs4" localSheetId="18" hidden="1">Test3!$Q$5:$R$5</definedName>
    <definedName name="solver_lhs4" localSheetId="55" hidden="1">Test31!$D$4:$F$4</definedName>
    <definedName name="solver_lhs4" localSheetId="56" hidden="1">Test32!$I$9</definedName>
    <definedName name="solver_lhs4" localSheetId="57" hidden="1">Test33!$H$12</definedName>
    <definedName name="solver_lhs4" localSheetId="59" hidden="1">Test35!$F$11</definedName>
    <definedName name="solver_lhs4" localSheetId="19" hidden="1">Test4!$E$5:$F$5</definedName>
    <definedName name="solver_lhs4" localSheetId="71" hidden="1">Test43!$G$9</definedName>
    <definedName name="solver_lhs4" localSheetId="73" hidden="1">Test44_Seek!$G$9</definedName>
    <definedName name="solver_lhs4" localSheetId="74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7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6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Test15e_Relax!$F$5</definedName>
    <definedName name="solver_lhs5" localSheetId="38" hidden="1">Test16!$D$6</definedName>
    <definedName name="solver_lhs5" localSheetId="39" hidden="1">Test16b!$D$6</definedName>
    <definedName name="solver_lhs5" localSheetId="40" hidden="1">Test17!$D$6</definedName>
    <definedName name="solver_lhs5" localSheetId="41" hidden="1">Test18!$D$4</definedName>
    <definedName name="solver_lhs5" localSheetId="42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3" hidden="1">Test20!$D$5</definedName>
    <definedName name="solver_lhs5" localSheetId="44" hidden="1">Test21!$D$5</definedName>
    <definedName name="solver_lhs5" localSheetId="45" hidden="1">Test22!$D$5</definedName>
    <definedName name="solver_lhs5" localSheetId="46" hidden="1">Test23!$D$5</definedName>
    <definedName name="solver_lhs5" localSheetId="47" hidden="1">Test24_IterativeCalc!$D$5</definedName>
    <definedName name="solver_lhs5" localSheetId="49" hidden="1">Test26!$D$5</definedName>
    <definedName name="solver_lhs5" localSheetId="50" hidden="1">Test27_Parameters!$H$11</definedName>
    <definedName name="solver_lhs5" localSheetId="52" hidden="1">Test29!$F$4</definedName>
    <definedName name="solver_lhs5" localSheetId="18" hidden="1">Test3!$I$10</definedName>
    <definedName name="solver_lhs5" localSheetId="57" hidden="1">Test35!$C$4</definedName>
    <definedName name="solver_lhs5" localSheetId="59" hidden="1">Test35!$F$12:$F$17</definedName>
    <definedName name="solver_lhs5" localSheetId="19" hidden="1">Test4!$D$5:$E$5</definedName>
    <definedName name="solver_lhs5" localSheetId="74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7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6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Test15e_Relax!$E$5:$F$5</definedName>
    <definedName name="solver_lhs6" localSheetId="38" hidden="1">Test16!$D$6:$F$6</definedName>
    <definedName name="solver_lhs6" localSheetId="39" hidden="1">Test16b!$D$6:$F$6</definedName>
    <definedName name="solver_lhs6" localSheetId="40" hidden="1">Test17!$D$6:$F$6</definedName>
    <definedName name="solver_lhs6" localSheetId="41" hidden="1">Test18!$D$4:$F$4</definedName>
    <definedName name="solver_lhs6" localSheetId="42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3" hidden="1">Test20!$D$5:$F$5</definedName>
    <definedName name="solver_lhs6" localSheetId="44" hidden="1">Test21!$D$5:$F$5</definedName>
    <definedName name="solver_lhs6" localSheetId="45" hidden="1">Test22!$D$5:$F$5</definedName>
    <definedName name="solver_lhs6" localSheetId="46" hidden="1">Test23!$D$5:$F$5</definedName>
    <definedName name="solver_lhs6" localSheetId="47" hidden="1">Test24_IterativeCalc!#REF!</definedName>
    <definedName name="solver_lhs6" localSheetId="49" hidden="1">Test26!#REF!</definedName>
    <definedName name="solver_lhs6" localSheetId="50" hidden="1">Test27_Parameters!#REF!</definedName>
    <definedName name="solver_lhs6" localSheetId="52" hidden="1">Test29!$G$4</definedName>
    <definedName name="solver_lhs6" localSheetId="18" hidden="1">Test3!$D$4</definedName>
    <definedName name="solver_lhs6" localSheetId="57" hidden="1">Test35!$C$4</definedName>
    <definedName name="solver_lhs6" localSheetId="59" hidden="1">Test35!$F$18</definedName>
    <definedName name="solver_lhs6" localSheetId="19" hidden="1">Test4!$I$12</definedName>
    <definedName name="solver_lhs6" localSheetId="74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7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6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Test15e_Relax!$E$5:$F$5</definedName>
    <definedName name="solver_lhs7" localSheetId="38" hidden="1">Test16!#REF!</definedName>
    <definedName name="solver_lhs7" localSheetId="39" hidden="1">Test16b!#REF!</definedName>
    <definedName name="solver_lhs7" localSheetId="40" hidden="1">Test17!#REF!</definedName>
    <definedName name="solver_lhs7" localSheetId="41" hidden="1">Test18!#REF!</definedName>
    <definedName name="solver_lhs7" localSheetId="42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3" hidden="1">Test20!#REF!</definedName>
    <definedName name="solver_lhs7" localSheetId="44" hidden="1">Test21!#REF!</definedName>
    <definedName name="solver_lhs7" localSheetId="45" hidden="1">Test22!#REF!</definedName>
    <definedName name="solver_lhs7" localSheetId="46" hidden="1">Test23!#REF!</definedName>
    <definedName name="solver_lhs7" localSheetId="47" hidden="1">Test24_IterativeCalc!#REF!</definedName>
    <definedName name="solver_lhs7" localSheetId="49" hidden="1">Test26!#REF!</definedName>
    <definedName name="solver_lhs7" localSheetId="50" hidden="1">Test27_Parameters!#REF!</definedName>
    <definedName name="solver_lhs7" localSheetId="52" hidden="1">Test29!$F$4:$G$4</definedName>
    <definedName name="solver_lhs7" localSheetId="18" hidden="1">Test3!$E$4</definedName>
    <definedName name="solver_lhs7" localSheetId="57" hidden="1">Test33!$E$4</definedName>
    <definedName name="solver_lhs7" localSheetId="19" hidden="1">Test4!$S$4:$S$5</definedName>
    <definedName name="solver_lhs7" localSheetId="74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7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6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Test15e_Relax!#REF!</definedName>
    <definedName name="solver_lhs8" localSheetId="38" hidden="1">Test16!#REF!</definedName>
    <definedName name="solver_lhs8" localSheetId="39" hidden="1">Test16b!#REF!</definedName>
    <definedName name="solver_lhs8" localSheetId="40" hidden="1">Test17!#REF!</definedName>
    <definedName name="solver_lhs8" localSheetId="41" hidden="1">Test18!#REF!</definedName>
    <definedName name="solver_lhs8" localSheetId="42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3" hidden="1">Test20!#REF!</definedName>
    <definedName name="solver_lhs8" localSheetId="44" hidden="1">Test21!#REF!</definedName>
    <definedName name="solver_lhs8" localSheetId="45" hidden="1">Test22!#REF!</definedName>
    <definedName name="solver_lhs8" localSheetId="46" hidden="1">Test23!#REF!</definedName>
    <definedName name="solver_lhs8" localSheetId="47" hidden="1">Test24_IterativeCalc!#REF!</definedName>
    <definedName name="solver_lhs8" localSheetId="49" hidden="1">Test26!#REF!</definedName>
    <definedName name="solver_lhs8" localSheetId="50" hidden="1">Test27_Parameters!#REF!</definedName>
    <definedName name="solver_lhs8" localSheetId="52" hidden="1">Test29!$F$4</definedName>
    <definedName name="solver_lhs8" localSheetId="18" hidden="1">Test3!$F$4</definedName>
    <definedName name="solver_lhs8" localSheetId="57" hidden="1">Test33!$E$4</definedName>
    <definedName name="solver_lhs8" localSheetId="19" hidden="1">Test4!$Q$6:$R$6</definedName>
    <definedName name="solver_lhs8" localSheetId="74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6" hidden="1">HighlightingExample!$L$9:$N$9</definedName>
    <definedName name="solver_lhs9" localSheetId="31" hidden="1">Test13b!$H$15</definedName>
    <definedName name="solver_lhs9" localSheetId="52" hidden="1">Test29!$H$9</definedName>
    <definedName name="solver_lhs9" localSheetId="57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6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42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52" hidden="1">1</definedName>
    <definedName name="solver_lin" localSheetId="18" hidden="1">1</definedName>
    <definedName name="solver_lin" localSheetId="53" hidden="1">1</definedName>
    <definedName name="solver_lin" localSheetId="55" hidden="1">1</definedName>
    <definedName name="solver_lin" localSheetId="54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5" hidden="1">1</definedName>
    <definedName name="solver_lin" localSheetId="67" hidden="1">1</definedName>
    <definedName name="solver_lin" localSheetId="19" hidden="1">1</definedName>
    <definedName name="solver_lin" localSheetId="68" hidden="1">1</definedName>
    <definedName name="solver_lin" localSheetId="69" hidden="1">1</definedName>
    <definedName name="solver_lin" localSheetId="70" hidden="1">1</definedName>
    <definedName name="solver_lin" localSheetId="71" hidden="1">1</definedName>
    <definedName name="solver_lin" localSheetId="73" hidden="1">1</definedName>
    <definedName name="solver_lin" localSheetId="74" hidden="1">1</definedName>
    <definedName name="solver_lin" localSheetId="75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7" hidden="1">1</definedName>
    <definedName name="solver_mip" localSheetId="2" hidden="1">2147483647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2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59" hidden="1">2147483647</definedName>
    <definedName name="solver_mip" localSheetId="68" hidden="1">2147483647</definedName>
    <definedName name="solver_mip" localSheetId="69" hidden="1">2147483647</definedName>
    <definedName name="solver_mni" localSheetId="2" hidden="1">30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2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59" hidden="1">30</definedName>
    <definedName name="solver_mni" localSheetId="68" hidden="1">30</definedName>
    <definedName name="solver_mni" localSheetId="69" hidden="1">30</definedName>
    <definedName name="solver_mrt" localSheetId="2" hidden="1">0.075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2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59" hidden="1">0.075</definedName>
    <definedName name="solver_mrt" localSheetId="68" hidden="1">0.075</definedName>
    <definedName name="solver_mrt" localSheetId="69" hidden="1">0.075</definedName>
    <definedName name="solver_msl" localSheetId="2" hidden="1">2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2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59" hidden="1">2</definedName>
    <definedName name="solver_msl" localSheetId="68" hidden="1">2</definedName>
    <definedName name="solver_msl" localSheetId="69" hidden="1">2</definedName>
    <definedName name="solver_neg" localSheetId="76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4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1</definedName>
    <definedName name="solver_neg" localSheetId="51" hidden="1">2</definedName>
    <definedName name="solver_neg" localSheetId="52" hidden="1">1</definedName>
    <definedName name="solver_neg" localSheetId="18" hidden="1">1</definedName>
    <definedName name="solver_neg" localSheetId="53" hidden="1">1</definedName>
    <definedName name="solver_neg" localSheetId="55" hidden="1">1</definedName>
    <definedName name="solver_neg" localSheetId="54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1</definedName>
    <definedName name="solver_neg" localSheetId="62" hidden="1">2</definedName>
    <definedName name="solver_neg" localSheetId="63" hidden="1">1</definedName>
    <definedName name="solver_neg" localSheetId="65" hidden="1">1</definedName>
    <definedName name="solver_neg" localSheetId="67" hidden="1">2</definedName>
    <definedName name="solver_neg" localSheetId="19" hidden="1">1</definedName>
    <definedName name="solver_neg" localSheetId="68" hidden="1">1</definedName>
    <definedName name="solver_neg" localSheetId="69" hidden="1">2</definedName>
    <definedName name="solver_neg" localSheetId="70" hidden="1">2</definedName>
    <definedName name="solver_neg" localSheetId="71" hidden="1">1</definedName>
    <definedName name="solver_neg" localSheetId="73" hidden="1">1</definedName>
    <definedName name="solver_neg" localSheetId="74" hidden="1">1</definedName>
    <definedName name="solver_neg" localSheetId="75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7" hidden="1">1</definedName>
    <definedName name="solver_nod" localSheetId="2" hidden="1">2147483647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2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59" hidden="1">2147483647</definedName>
    <definedName name="solver_nod" localSheetId="68" hidden="1">2147483647</definedName>
    <definedName name="solver_nod" localSheetId="69" hidden="1">2147483647</definedName>
    <definedName name="solver_num" localSheetId="76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6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42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3" hidden="1">3</definedName>
    <definedName name="solver_num" localSheetId="44" hidden="1">4</definedName>
    <definedName name="solver_num" localSheetId="45" hidden="1">4</definedName>
    <definedName name="solver_num" localSheetId="46" hidden="1">4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3</definedName>
    <definedName name="solver_num" localSheetId="52" hidden="1">2</definedName>
    <definedName name="solver_num" localSheetId="18" hidden="1">8</definedName>
    <definedName name="solver_num" localSheetId="53" hidden="1">3</definedName>
    <definedName name="solver_num" localSheetId="55" hidden="1">3</definedName>
    <definedName name="solver_num" localSheetId="54" hidden="1">0</definedName>
    <definedName name="solver_num" localSheetId="56" hidden="1">4</definedName>
    <definedName name="solver_num" localSheetId="57" hidden="1">4</definedName>
    <definedName name="solver_num" localSheetId="58" hidden="1">1</definedName>
    <definedName name="solver_num" localSheetId="59" hidden="1">6</definedName>
    <definedName name="solver_num" localSheetId="60" hidden="1">2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5" hidden="1">2</definedName>
    <definedName name="solver_num" localSheetId="67" hidden="1">3</definedName>
    <definedName name="solver_num" localSheetId="19" hidden="1">9</definedName>
    <definedName name="solver_num" localSheetId="68" hidden="1">0</definedName>
    <definedName name="solver_num" localSheetId="69" hidden="1">0</definedName>
    <definedName name="solver_num" localSheetId="70" hidden="1">0</definedName>
    <definedName name="solver_num" localSheetId="71" hidden="1">3</definedName>
    <definedName name="solver_num" localSheetId="73" hidden="1">4</definedName>
    <definedName name="solver_num" localSheetId="74" hidden="1">3</definedName>
    <definedName name="solver_num" localSheetId="75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7" hidden="1">7</definedName>
    <definedName name="solver_nwt" localSheetId="76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4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52" hidden="1">1</definedName>
    <definedName name="solver_nwt" localSheetId="18" hidden="1">1</definedName>
    <definedName name="solver_nwt" localSheetId="53" hidden="1">1</definedName>
    <definedName name="solver_nwt" localSheetId="55" hidden="1">1</definedName>
    <definedName name="solver_nwt" localSheetId="54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5" hidden="1">1</definedName>
    <definedName name="solver_nwt" localSheetId="67" hidden="1">1</definedName>
    <definedName name="solver_nwt" localSheetId="19" hidden="1">1</definedName>
    <definedName name="solver_nwt" localSheetId="68" hidden="1">1</definedName>
    <definedName name="solver_nwt" localSheetId="69" hidden="1">1</definedName>
    <definedName name="solver_nwt" localSheetId="70" hidden="1">1</definedName>
    <definedName name="solver_nwt" localSheetId="71" hidden="1">1</definedName>
    <definedName name="solver_nwt" localSheetId="73" hidden="1">1</definedName>
    <definedName name="solver_nwt" localSheetId="74" hidden="1">1</definedName>
    <definedName name="solver_nwt" localSheetId="75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7" hidden="1">1</definedName>
    <definedName name="solver_opt" localSheetId="76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Test15e_Relax!$H$9</definedName>
    <definedName name="solver_opt" localSheetId="38" hidden="1">Test16!$H$10</definedName>
    <definedName name="solver_opt" localSheetId="39" hidden="1">Test16b!$H$10</definedName>
    <definedName name="solver_opt" localSheetId="40" hidden="1">Test17!$H$10</definedName>
    <definedName name="solver_opt" localSheetId="41" hidden="1">Test18!$H$8</definedName>
    <definedName name="solver_opt" localSheetId="42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3" hidden="1">Test20!$H$9</definedName>
    <definedName name="solver_opt" localSheetId="44" hidden="1">Test21!$H$9</definedName>
    <definedName name="solver_opt" localSheetId="45" hidden="1">Test22!$H$9</definedName>
    <definedName name="solver_opt" localSheetId="46" hidden="1">Test23!$H$9</definedName>
    <definedName name="solver_opt" localSheetId="47" hidden="1">Test24_IterativeCalc!$H$7</definedName>
    <definedName name="solver_opt" localSheetId="48" hidden="1">Test25!$H$9</definedName>
    <definedName name="solver_opt" localSheetId="50" hidden="1">Test27_Parameters!$H$6</definedName>
    <definedName name="solver_opt" localSheetId="51" hidden="1">Test28_CBCOptions!$H$15</definedName>
    <definedName name="solver_opt" localSheetId="52" hidden="1">Test29!$H$6</definedName>
    <definedName name="solver_opt" localSheetId="18" hidden="1">Test3!$I$6</definedName>
    <definedName name="solver_opt" localSheetId="53" hidden="1">Test30!$K$6</definedName>
    <definedName name="solver_opt" localSheetId="55" hidden="1">Test31!$G$6</definedName>
    <definedName name="solver_opt" localSheetId="56" hidden="1">Test32!$I$6</definedName>
    <definedName name="solver_opt" localSheetId="57" hidden="1">Test33!$H$6</definedName>
    <definedName name="solver_opt" localSheetId="58" hidden="1">Test34!$F$4</definedName>
    <definedName name="solver_opt" localSheetId="59" hidden="1">Test35!$F$6</definedName>
    <definedName name="solver_opt" localSheetId="60" hidden="1">Test36!$G$6</definedName>
    <definedName name="solver_opt" localSheetId="61" hidden="1">Test37!$I$6</definedName>
    <definedName name="solver_opt" localSheetId="62" hidden="1">Test38!$S$13</definedName>
    <definedName name="solver_opt" localSheetId="65" hidden="1">Test39_SensNames!$D$20</definedName>
    <definedName name="solver_opt" localSheetId="67" hidden="1">Test39_SensNames2!$D$20</definedName>
    <definedName name="solver_opt" localSheetId="19" hidden="1">Test4!$I$7</definedName>
    <definedName name="solver_opt" localSheetId="68" hidden="1">Test40!$D$16</definedName>
    <definedName name="solver_opt" localSheetId="69" hidden="1">Test41!$J$7</definedName>
    <definedName name="solver_opt" localSheetId="70" hidden="1">Test42!$F$15</definedName>
    <definedName name="solver_opt" localSheetId="71" hidden="1">Test43!$G$4</definedName>
    <definedName name="solver_opt" localSheetId="73" hidden="1">Test44_Seek!$G$4</definedName>
    <definedName name="solver_opt" localSheetId="74" hidden="1">'Test45_SheetName(1)+2-1'!$H$6</definedName>
    <definedName name="solver_opt" localSheetId="75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7" hidden="1">TestNewAutomodel!$C$9</definedName>
    <definedName name="solver_pre" localSheetId="76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4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52" hidden="1">0.000001</definedName>
    <definedName name="solver_pre" localSheetId="18" hidden="1">0.000001</definedName>
    <definedName name="solver_pre" localSheetId="53" hidden="1">0.000001</definedName>
    <definedName name="solver_pre" localSheetId="55" hidden="1">0.000001</definedName>
    <definedName name="solver_pre" localSheetId="54" hidden="1">0.000001</definedName>
    <definedName name="solver_pre" localSheetId="56" hidden="1">0.000001</definedName>
    <definedName name="solver_pre" localSheetId="57" hidden="1">0.000001</definedName>
    <definedName name="solver_pre" localSheetId="58" hidden="1">0.00001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5" hidden="1">0.0001</definedName>
    <definedName name="solver_pre" localSheetId="67" hidden="1">0.00001</definedName>
    <definedName name="solver_pre" localSheetId="19" hidden="1">0.000001</definedName>
    <definedName name="solver_pre" localSheetId="68" hidden="1">0.000001</definedName>
    <definedName name="solver_pre" localSheetId="69" hidden="1">0.000001</definedName>
    <definedName name="solver_pre" localSheetId="70" hidden="1">0.000001</definedName>
    <definedName name="solver_pre" localSheetId="71" hidden="1">0.000001</definedName>
    <definedName name="solver_pre" localSheetId="73" hidden="1">0.000001</definedName>
    <definedName name="solver_pre" localSheetId="74" hidden="1">0.000001</definedName>
    <definedName name="solver_pre" localSheetId="75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7" hidden="1">0.000001</definedName>
    <definedName name="solver_rbv" localSheetId="2" hidden="1">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2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59" hidden="1">1</definedName>
    <definedName name="solver_rbv" localSheetId="68" hidden="1">1</definedName>
    <definedName name="solver_rbv" localSheetId="69" hidden="1">1</definedName>
    <definedName name="solver_rel1" localSheetId="76" hidden="1">1</definedName>
    <definedName name="solver_rel1" localSheetId="21" hidden="1">1</definedName>
    <definedName name="solver_rel1" localSheetId="2" hidden="1">3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42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1</definedName>
    <definedName name="solver_rel1" localSheetId="47" hidden="1">2</definedName>
    <definedName name="solver_rel1" localSheetId="48" hidden="1">1</definedName>
    <definedName name="solver_rel1" localSheetId="49" hidden="1">3</definedName>
    <definedName name="solver_rel1" localSheetId="50" hidden="1">1</definedName>
    <definedName name="solver_rel1" localSheetId="51" hidden="1">2</definedName>
    <definedName name="solver_rel1" localSheetId="52" hidden="1">1</definedName>
    <definedName name="solver_rel1" localSheetId="18" hidden="1">1</definedName>
    <definedName name="solver_rel1" localSheetId="53" hidden="1">1</definedName>
    <definedName name="solver_rel1" localSheetId="55" hidden="1">1</definedName>
    <definedName name="solver_rel1" localSheetId="56" hidden="1">2</definedName>
    <definedName name="solver_rel1" localSheetId="57" hidden="1">1</definedName>
    <definedName name="solver_rel1" localSheetId="58" hidden="1">3</definedName>
    <definedName name="solver_rel1" localSheetId="59" hidden="1">1</definedName>
    <definedName name="solver_rel1" localSheetId="60" hidden="1">4</definedName>
    <definedName name="solver_rel1" localSheetId="61" hidden="1">1</definedName>
    <definedName name="solver_rel1" localSheetId="62" hidden="1">1</definedName>
    <definedName name="solver_rel1" localSheetId="65" hidden="1">1</definedName>
    <definedName name="solver_rel1" localSheetId="67" hidden="1">1</definedName>
    <definedName name="solver_rel1" localSheetId="19" hidden="1">1</definedName>
    <definedName name="solver_rel1" localSheetId="71" hidden="1">2</definedName>
    <definedName name="solver_rel1" localSheetId="73" hidden="1">2</definedName>
    <definedName name="solver_rel1" localSheetId="74" hidden="1">2</definedName>
    <definedName name="solver_rel1" localSheetId="75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7" hidden="1">1</definedName>
    <definedName name="solver_rel10" localSheetId="31" hidden="1">3</definedName>
    <definedName name="solver_rel10" localSheetId="52" hidden="1">3</definedName>
    <definedName name="solver_rel10" localSheetId="57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7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7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7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7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6" hidden="1">3</definedName>
    <definedName name="solver_rel2" localSheetId="21" hidden="1">1</definedName>
    <definedName name="solver_rel2" localSheetId="2" hidden="1">2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42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3</definedName>
    <definedName name="solver_rel2" localSheetId="47" hidden="1">1</definedName>
    <definedName name="solver_rel2" localSheetId="48" hidden="1">1</definedName>
    <definedName name="solver_rel2" localSheetId="49" hidden="1">2</definedName>
    <definedName name="solver_rel2" localSheetId="50" hidden="1">3</definedName>
    <definedName name="solver_rel2" localSheetId="51" hidden="1">1</definedName>
    <definedName name="solver_rel2" localSheetId="52" hidden="1">3</definedName>
    <definedName name="solver_rel2" localSheetId="18" hidden="1">1</definedName>
    <definedName name="solver_rel2" localSheetId="53" hidden="1">1</definedName>
    <definedName name="solver_rel2" localSheetId="55" hidden="1">1</definedName>
    <definedName name="solver_rel2" localSheetId="56" hidden="1">1</definedName>
    <definedName name="solver_rel2" localSheetId="57" hidden="1">1</definedName>
    <definedName name="solver_rel2" localSheetId="58" hidden="1">5</definedName>
    <definedName name="solver_rel2" localSheetId="59" hidden="1">1</definedName>
    <definedName name="solver_rel2" localSheetId="60" hidden="1">1</definedName>
    <definedName name="solver_rel2" localSheetId="61" hidden="1">3</definedName>
    <definedName name="solver_rel2" localSheetId="62" hidden="1">3</definedName>
    <definedName name="solver_rel2" localSheetId="65" hidden="1">2</definedName>
    <definedName name="solver_rel2" localSheetId="67" hidden="1">2</definedName>
    <definedName name="solver_rel2" localSheetId="19" hidden="1">1</definedName>
    <definedName name="solver_rel2" localSheetId="71" hidden="1">1</definedName>
    <definedName name="solver_rel2" localSheetId="73" hidden="1">3</definedName>
    <definedName name="solver_rel2" localSheetId="74" hidden="1">1</definedName>
    <definedName name="solver_rel2" localSheetId="75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7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6" hidden="1">2</definedName>
    <definedName name="solver_rel3" localSheetId="21" hidden="1">3</definedName>
    <definedName name="solver_rel3" localSheetId="2" hidden="1">1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42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3</definedName>
    <definedName name="solver_rel3" localSheetId="49" hidden="1">1</definedName>
    <definedName name="solver_rel3" localSheetId="50" hidden="1">3</definedName>
    <definedName name="solver_rel3" localSheetId="51" hidden="1">3</definedName>
    <definedName name="solver_rel3" localSheetId="52" hidden="1">3</definedName>
    <definedName name="solver_rel3" localSheetId="18" hidden="1">1</definedName>
    <definedName name="solver_rel3" localSheetId="53" hidden="1">3</definedName>
    <definedName name="solver_rel3" localSheetId="55" hidden="1">3</definedName>
    <definedName name="solver_rel3" localSheetId="56" hidden="1">1</definedName>
    <definedName name="solver_rel3" localSheetId="57" hidden="1">3</definedName>
    <definedName name="solver_rel3" localSheetId="59" hidden="1">3</definedName>
    <definedName name="solver_rel3" localSheetId="67" hidden="1">3</definedName>
    <definedName name="solver_rel3" localSheetId="19" hidden="1">3</definedName>
    <definedName name="solver_rel3" localSheetId="71" hidden="1">3</definedName>
    <definedName name="solver_rel3" localSheetId="73" hidden="1">1</definedName>
    <definedName name="solver_rel3" localSheetId="74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7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6" hidden="1">1</definedName>
    <definedName name="solver_rel4" localSheetId="21" hidden="1">2</definedName>
    <definedName name="solver_rel4" localSheetId="2" hidden="1">1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42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3</definedName>
    <definedName name="solver_rel4" localSheetId="47" hidden="1">2</definedName>
    <definedName name="solver_rel4" localSheetId="49" hidden="1">2</definedName>
    <definedName name="solver_rel4" localSheetId="50" hidden="1">4</definedName>
    <definedName name="solver_rel4" localSheetId="51" hidden="1">2</definedName>
    <definedName name="solver_rel4" localSheetId="52" hidden="1">1</definedName>
    <definedName name="solver_rel4" localSheetId="18" hidden="1">3</definedName>
    <definedName name="solver_rel4" localSheetId="55" hidden="1">4</definedName>
    <definedName name="solver_rel4" localSheetId="56" hidden="1">3</definedName>
    <definedName name="solver_rel4" localSheetId="57" hidden="1">3</definedName>
    <definedName name="solver_rel4" localSheetId="59" hidden="1">3</definedName>
    <definedName name="solver_rel4" localSheetId="19" hidden="1">5</definedName>
    <definedName name="solver_rel4" localSheetId="71" hidden="1">1</definedName>
    <definedName name="solver_rel4" localSheetId="73" hidden="1">1</definedName>
    <definedName name="solver_rel4" localSheetId="74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7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6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5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42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7" hidden="1">1</definedName>
    <definedName name="solver_rel5" localSheetId="49" hidden="1">1</definedName>
    <definedName name="solver_rel5" localSheetId="50" hidden="1">2</definedName>
    <definedName name="solver_rel5" localSheetId="52" hidden="1">3</definedName>
    <definedName name="solver_rel5" localSheetId="18" hidden="1">3</definedName>
    <definedName name="solver_rel5" localSheetId="57" hidden="1">3</definedName>
    <definedName name="solver_rel5" localSheetId="59" hidden="1">1</definedName>
    <definedName name="solver_rel5" localSheetId="19" hidden="1">4</definedName>
    <definedName name="solver_rel5" localSheetId="74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7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6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4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42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3</definedName>
    <definedName name="solver_rel6" localSheetId="47" hidden="1">5</definedName>
    <definedName name="solver_rel6" localSheetId="49" hidden="1">5</definedName>
    <definedName name="solver_rel6" localSheetId="50" hidden="1">5</definedName>
    <definedName name="solver_rel6" localSheetId="52" hidden="1">1</definedName>
    <definedName name="solver_rel6" localSheetId="18" hidden="1">4</definedName>
    <definedName name="solver_rel6" localSheetId="57" hidden="1">1</definedName>
    <definedName name="solver_rel6" localSheetId="59" hidden="1">1</definedName>
    <definedName name="solver_rel6" localSheetId="19" hidden="1">1</definedName>
    <definedName name="solver_rel6" localSheetId="74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7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6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42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7" hidden="1">4</definedName>
    <definedName name="solver_rel7" localSheetId="49" hidden="1">4</definedName>
    <definedName name="solver_rel7" localSheetId="50" hidden="1">4</definedName>
    <definedName name="solver_rel7" localSheetId="52" hidden="1">4</definedName>
    <definedName name="solver_rel7" localSheetId="18" hidden="1">5</definedName>
    <definedName name="solver_rel7" localSheetId="57" hidden="1">3</definedName>
    <definedName name="solver_rel7" localSheetId="19" hidden="1">1</definedName>
    <definedName name="solver_rel7" localSheetId="74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7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6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42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7" hidden="1">5</definedName>
    <definedName name="solver_rel8" localSheetId="49" hidden="1">5</definedName>
    <definedName name="solver_rel8" localSheetId="50" hidden="1">5</definedName>
    <definedName name="solver_rel8" localSheetId="52" hidden="1">1</definedName>
    <definedName name="solver_rel8" localSheetId="18" hidden="1">5</definedName>
    <definedName name="solver_rel8" localSheetId="57" hidden="1">3</definedName>
    <definedName name="solver_rel8" localSheetId="19" hidden="1">3</definedName>
    <definedName name="solver_rel8" localSheetId="74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6" hidden="1">3</definedName>
    <definedName name="solver_rel9" localSheetId="31" hidden="1">3</definedName>
    <definedName name="solver_rel9" localSheetId="52" hidden="1">3</definedName>
    <definedName name="solver_rel9" localSheetId="57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6" hidden="1">HighlightingExample!$I$7:$I$8</definedName>
    <definedName name="solver_rhs1" localSheetId="21" hidden="1">'Test!6'!$J$9</definedName>
    <definedName name="solver_rhs1" localSheetId="2" hidden="1">Test1!$J$10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Test15e_Relax!$J$13</definedName>
    <definedName name="solver_rhs1" localSheetId="38" hidden="1">Test16!$D$8:$H$8</definedName>
    <definedName name="solver_rhs1" localSheetId="39" hidden="1">Test16b!$E$8:$H$8</definedName>
    <definedName name="solver_rhs1" localSheetId="40" hidden="1">Test17!$D$8:$H$8</definedName>
    <definedName name="solver_rhs1" localSheetId="41" hidden="1">Test18!$D$6:$F$6</definedName>
    <definedName name="solver_rhs1" localSheetId="42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3" hidden="1">Test20!$J$11</definedName>
    <definedName name="solver_rhs1" localSheetId="44" hidden="1">-10</definedName>
    <definedName name="solver_rhs1" localSheetId="45" hidden="1">-10*2</definedName>
    <definedName name="solver_rhs1" localSheetId="46" hidden="1">Test23!$D$5</definedName>
    <definedName name="solver_rhs1" localSheetId="47" hidden="1">Test24_IterativeCalc!$J$12</definedName>
    <definedName name="solver_rhs1" localSheetId="48" hidden="1">Test25!$J$11:$J$12</definedName>
    <definedName name="solver_rhs1" localSheetId="49" hidden="1">Test26!$J$11</definedName>
    <definedName name="solver_rhs1" localSheetId="50" hidden="1">Test27_Parameters!$J$8</definedName>
    <definedName name="solver_rhs1" localSheetId="51" hidden="1">Test28_CBCOptions!$J$20</definedName>
    <definedName name="solver_rhs1" localSheetId="52" hidden="1">Test29!$J$11</definedName>
    <definedName name="solver_rhs1" localSheetId="18" hidden="1">Test3!$U$3:$U$4</definedName>
    <definedName name="solver_rhs1" localSheetId="53" hidden="1">Test30!$M$8</definedName>
    <definedName name="solver_rhs1" localSheetId="55" hidden="1">Test31!$I$8</definedName>
    <definedName name="solver_rhs1" localSheetId="56" hidden="1">Test32!$K$12</definedName>
    <definedName name="solver_rhs1" localSheetId="57" hidden="1">Test33!$J$8</definedName>
    <definedName name="solver_rhs1" localSheetId="58" hidden="1">Test34!$G$6:$G$7</definedName>
    <definedName name="solver_rhs1" localSheetId="59" hidden="1">Test35!$H$8</definedName>
    <definedName name="solver_rhs1" localSheetId="60" hidden="1">integer</definedName>
    <definedName name="solver_rhs1" localSheetId="61" hidden="1">Test37!$K$7:$K$9</definedName>
    <definedName name="solver_rhs1" localSheetId="62" hidden="1">Test38!$U$10:$U$11</definedName>
    <definedName name="solver_rhs1" localSheetId="65" hidden="1">Test39_SensNames!$J$14:$J$16</definedName>
    <definedName name="solver_rhs1" localSheetId="67" hidden="1">Test39_SensNames2!$J$14:$J$16</definedName>
    <definedName name="solver_rhs1" localSheetId="19" hidden="1">Test4!$K$9</definedName>
    <definedName name="solver_rhs1" localSheetId="71" hidden="1">Test43!$I$6</definedName>
    <definedName name="solver_rhs1" localSheetId="73" hidden="1">Test44_Seek!$I$6</definedName>
    <definedName name="solver_rhs1" localSheetId="74" hidden="1">'Test45_SheetName(1)+2-1'!$J$11</definedName>
    <definedName name="solver_rhs1" localSheetId="75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7" hidden="1">TestNewAutomodel!$D$20</definedName>
    <definedName name="solver_rhs10" localSheetId="31" hidden="1">Test13b!$J$16</definedName>
    <definedName name="solver_rhs10" localSheetId="52" hidden="1">-20</definedName>
    <definedName name="solver_rhs10" localSheetId="57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7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7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7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7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6" hidden="1">HighlightingExample!$I$9</definedName>
    <definedName name="solver_rhs2" localSheetId="21" hidden="1">'Test!6'!$J$10</definedName>
    <definedName name="solver_rhs2" localSheetId="2" hidden="1">Test1!$J$11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Test15e_Relax!$J$12</definedName>
    <definedName name="solver_rhs2" localSheetId="38" hidden="1">Test16!$J$12</definedName>
    <definedName name="solver_rhs2" localSheetId="39" hidden="1">Test16b!$J$12</definedName>
    <definedName name="solver_rhs2" localSheetId="40" hidden="1">Test17!$J$12</definedName>
    <definedName name="solver_rhs2" localSheetId="41" hidden="1">Test18!$J$10</definedName>
    <definedName name="solver_rhs2" localSheetId="42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3" hidden="1">Test20!$J$12</definedName>
    <definedName name="solver_rhs2" localSheetId="44" hidden="1">Test21!$J$11</definedName>
    <definedName name="solver_rhs2" localSheetId="45" hidden="1">Test22!$J$11</definedName>
    <definedName name="solver_rhs2" localSheetId="46" hidden="1">Test23!$J$11</definedName>
    <definedName name="solver_rhs2" localSheetId="47" hidden="1">Test24_IterativeCalc!$J$9:$J$10</definedName>
    <definedName name="solver_rhs2" localSheetId="48" hidden="1">Test25!$J$14</definedName>
    <definedName name="solver_rhs2" localSheetId="49" hidden="1">Test26!$J$12</definedName>
    <definedName name="solver_rhs2" localSheetId="50" hidden="1">Test27_Parameters!$J$9</definedName>
    <definedName name="solver_rhs2" localSheetId="51" hidden="1">Test28_CBCOptions!$J$17:$J$18</definedName>
    <definedName name="solver_rhs2" localSheetId="52" hidden="1">Test29!$J$8:$J$10</definedName>
    <definedName name="solver_rhs2" localSheetId="18" hidden="1">Test3!$K$8:$K$9</definedName>
    <definedName name="solver_rhs2" localSheetId="53" hidden="1">Test30!$M$10:$M$11</definedName>
    <definedName name="solver_rhs2" localSheetId="55" hidden="1">Test31!$I$10:$I$11</definedName>
    <definedName name="solver_rhs2" localSheetId="56" hidden="1">Test32!$K$8</definedName>
    <definedName name="solver_rhs2" localSheetId="57" hidden="1">Test33!$J$10:$J$11</definedName>
    <definedName name="solver_rhs2" localSheetId="58" hidden="1">binary</definedName>
    <definedName name="solver_rhs2" localSheetId="59" hidden="1">Test35!$H$9</definedName>
    <definedName name="solver_rhs2" localSheetId="60" hidden="1">Test36!$I$8</definedName>
    <definedName name="solver_rhs2" localSheetId="61" hidden="1">-6</definedName>
    <definedName name="solver_rhs2" localSheetId="62" hidden="1">Test38!$Q$10:$Q$11</definedName>
    <definedName name="solver_rhs2" localSheetId="65" hidden="1">Test39_SensNames!$D$18:$H$18</definedName>
    <definedName name="solver_rhs2" localSheetId="67" hidden="1">Test39_SensNames2!$D$18:$H$18</definedName>
    <definedName name="solver_rhs2" localSheetId="19" hidden="1">Test4!$K$10</definedName>
    <definedName name="solver_rhs2" localSheetId="71" hidden="1">Test43!$I$8:$I$9</definedName>
    <definedName name="solver_rhs2" localSheetId="73" hidden="1">Test44_Seek!$I$7</definedName>
    <definedName name="solver_rhs2" localSheetId="74" hidden="1">'Test45_SheetName(1)+2-1'!$J$8:$J$9</definedName>
    <definedName name="solver_rhs2" localSheetId="75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7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6" hidden="1">HighlightingExample!$I$10</definedName>
    <definedName name="solver_rhs3" localSheetId="21" hidden="1">'Test!6'!$J$11</definedName>
    <definedName name="solver_rhs3" localSheetId="2" hidden="1">Test1!$J$8:$J$9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Test15e_Relax!$J$11</definedName>
    <definedName name="solver_rhs3" localSheetId="38" hidden="1">Test16!$J$13</definedName>
    <definedName name="solver_rhs3" localSheetId="39" hidden="1">Test16b!$J$13</definedName>
    <definedName name="solver_rhs3" localSheetId="40" hidden="1">Test17!$J$13</definedName>
    <definedName name="solver_rhs3" localSheetId="41" hidden="1">Test18!$J$11</definedName>
    <definedName name="solver_rhs3" localSheetId="42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3" hidden="1">Test20!$J$13</definedName>
    <definedName name="solver_rhs3" localSheetId="44" hidden="1">Test21!$J$12</definedName>
    <definedName name="solver_rhs3" localSheetId="45" hidden="1">Test22!$J$12</definedName>
    <definedName name="solver_rhs3" localSheetId="46" hidden="1">Test23!$J$12</definedName>
    <definedName name="solver_rhs3" localSheetId="47" hidden="1">Test24_IterativeCalc!$J$11</definedName>
    <definedName name="solver_rhs3" localSheetId="48" hidden="1">Test25!$J$13</definedName>
    <definedName name="solver_rhs3" localSheetId="49" hidden="1">Test26!$J$9:$J$10</definedName>
    <definedName name="solver_rhs3" localSheetId="50" hidden="1">Test27_Parameters!$J$10</definedName>
    <definedName name="solver_rhs3" localSheetId="51" hidden="1">Test28_CBCOptions!$J$19</definedName>
    <definedName name="solver_rhs3" localSheetId="52" hidden="1">Test29!$J$9</definedName>
    <definedName name="solver_rhs3" localSheetId="18" hidden="1">Test3!$K$11</definedName>
    <definedName name="solver_rhs3" localSheetId="53" hidden="1">Test30!$M$9</definedName>
    <definedName name="solver_rhs3" localSheetId="55" hidden="1">Test31!$I$9</definedName>
    <definedName name="solver_rhs3" localSheetId="56" hidden="1">Test32!$K$10:$K$11</definedName>
    <definedName name="solver_rhs3" localSheetId="57" hidden="1">Test33!$J$9</definedName>
    <definedName name="solver_rhs3" localSheetId="59" hidden="1">Test35!$H$10</definedName>
    <definedName name="solver_rhs3" localSheetId="67" hidden="1">0</definedName>
    <definedName name="solver_rhs3" localSheetId="19" hidden="1">Test4!$K$11</definedName>
    <definedName name="solver_rhs3" localSheetId="71" hidden="1">Test43!$I$7</definedName>
    <definedName name="solver_rhs3" localSheetId="73" hidden="1">Test44_Seek!$I$8</definedName>
    <definedName name="solver_rhs3" localSheetId="74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7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6" hidden="1">12</definedName>
    <definedName name="solver_rhs4" localSheetId="21" hidden="1">'Test!6'!$J$12</definedName>
    <definedName name="solver_rhs4" localSheetId="2" hidden="1">Test1!$J$8:$J$9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Test15e_Relax!$E$7</definedName>
    <definedName name="solver_rhs4" localSheetId="38" hidden="1">Test16!$J$14</definedName>
    <definedName name="solver_rhs4" localSheetId="39" hidden="1">Test16b!$J$14</definedName>
    <definedName name="solver_rhs4" localSheetId="40" hidden="1">Test17!$J$14</definedName>
    <definedName name="solver_rhs4" localSheetId="41" hidden="1">Test18!$J$12</definedName>
    <definedName name="solver_rhs4" localSheetId="42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3" hidden="1">Test20!$D$7:$F$7</definedName>
    <definedName name="solver_rhs4" localSheetId="44" hidden="1">Test21!$J$13</definedName>
    <definedName name="solver_rhs4" localSheetId="45" hidden="1">Test22!$J$13</definedName>
    <definedName name="solver_rhs4" localSheetId="46" hidden="1">Test23!$J$13</definedName>
    <definedName name="solver_rhs4" localSheetId="47" hidden="1">Test24_IterativeCalc!$J$12</definedName>
    <definedName name="solver_rhs4" localSheetId="49" hidden="1">Test26!$J$12</definedName>
    <definedName name="solver_rhs4" localSheetId="50" hidden="1">integer</definedName>
    <definedName name="solver_rhs4" localSheetId="51" hidden="1">Test28_CBCOptions!$J$20</definedName>
    <definedName name="solver_rhs4" localSheetId="52" hidden="1">Test29!$J$10:$J$11</definedName>
    <definedName name="solver_rhs4" localSheetId="18" hidden="1">Test3!$Q$7:$R$7</definedName>
    <definedName name="solver_rhs4" localSheetId="55" hidden="1">integer</definedName>
    <definedName name="solver_rhs4" localSheetId="56" hidden="1">Test32!$K$9</definedName>
    <definedName name="solver_rhs4" localSheetId="57" hidden="1">Test33!$J$12</definedName>
    <definedName name="solver_rhs4" localSheetId="59" hidden="1">Test35!$H$11</definedName>
    <definedName name="solver_rhs4" localSheetId="19" hidden="1">binary</definedName>
    <definedName name="solver_rhs4" localSheetId="71" hidden="1">Test43!$I$9</definedName>
    <definedName name="solver_rhs4" localSheetId="73" hidden="1">Test44_Seek!$I$9</definedName>
    <definedName name="solver_rhs4" localSheetId="74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7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6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binary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42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7" hidden="1">2</definedName>
    <definedName name="solver_rhs5" localSheetId="49" hidden="1">2</definedName>
    <definedName name="solver_rhs5" localSheetId="50" hidden="1">Test27_Parameters!$J$11</definedName>
    <definedName name="solver_rhs5" localSheetId="52" hidden="1">3</definedName>
    <definedName name="solver_rhs5" localSheetId="18" hidden="1">Test3!$K$10</definedName>
    <definedName name="solver_rhs5" localSheetId="57" hidden="1">6</definedName>
    <definedName name="solver_rhs5" localSheetId="59" hidden="1">Test35!$H$12:$H$17</definedName>
    <definedName name="solver_rhs5" localSheetId="19" hidden="1">integer</definedName>
    <definedName name="solver_rhs5" localSheetId="74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7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6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integer</definedName>
    <definedName name="solver_rhs6" localSheetId="38" hidden="1">Test16!$D$8:$F$8</definedName>
    <definedName name="solver_rhs6" localSheetId="39" hidden="1">Test16b!$D$8:$F$8</definedName>
    <definedName name="solver_rhs6" localSheetId="40" hidden="1">Test17!$D$8:$F$8</definedName>
    <definedName name="solver_rhs6" localSheetId="41" hidden="1">Test18!$D$6:$F$6</definedName>
    <definedName name="solver_rhs6" localSheetId="42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3" hidden="1">Test20!$D$7:$F$7</definedName>
    <definedName name="solver_rhs6" localSheetId="44" hidden="1">Test21!$D$7:$F$7</definedName>
    <definedName name="solver_rhs6" localSheetId="45" hidden="1">Test22!$D$7:$F$7</definedName>
    <definedName name="solver_rhs6" localSheetId="46" hidden="1">Test23!$D$7:$F$7</definedName>
    <definedName name="solver_rhs6" localSheetId="47" hidden="1">binary</definedName>
    <definedName name="solver_rhs6" localSheetId="49" hidden="1">binary</definedName>
    <definedName name="solver_rhs6" localSheetId="50" hidden="1">binary</definedName>
    <definedName name="solver_rhs6" localSheetId="52" hidden="1">12</definedName>
    <definedName name="solver_rhs6" localSheetId="18" hidden="1">integer</definedName>
    <definedName name="solver_rhs6" localSheetId="57" hidden="1">8</definedName>
    <definedName name="solver_rhs6" localSheetId="59" hidden="1">Test35!$H$18</definedName>
    <definedName name="solver_rhs6" localSheetId="19" hidden="1">Test4!$K$12</definedName>
    <definedName name="solver_rhs6" localSheetId="74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7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6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42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7" hidden="1">integer</definedName>
    <definedName name="solver_rhs7" localSheetId="49" hidden="1">integer</definedName>
    <definedName name="solver_rhs7" localSheetId="50" hidden="1">integer</definedName>
    <definedName name="solver_rhs7" localSheetId="52" hidden="1">integer</definedName>
    <definedName name="solver_rhs7" localSheetId="18" hidden="1">binary</definedName>
    <definedName name="solver_rhs7" localSheetId="57" hidden="1">5</definedName>
    <definedName name="solver_rhs7" localSheetId="19" hidden="1">Test4!$U$4:$U$5</definedName>
    <definedName name="solver_rhs7" localSheetId="74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7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6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42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7" hidden="1">binary</definedName>
    <definedName name="solver_rhs8" localSheetId="49" hidden="1">binary</definedName>
    <definedName name="solver_rhs8" localSheetId="50" hidden="1">binary</definedName>
    <definedName name="solver_rhs8" localSheetId="52" hidden="1">4</definedName>
    <definedName name="solver_rhs8" localSheetId="18" hidden="1">binary</definedName>
    <definedName name="solver_rhs8" localSheetId="57" hidden="1">4</definedName>
    <definedName name="solver_rhs8" localSheetId="19" hidden="1">Test4!$Q$8:$R$8</definedName>
    <definedName name="solver_rhs8" localSheetId="74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6" hidden="1">HighlightingExample!#REF!</definedName>
    <definedName name="solver_rhs9" localSheetId="31" hidden="1">Test13b!$J$15</definedName>
    <definedName name="solver_rhs9" localSheetId="52" hidden="1">Test29!$J$9</definedName>
    <definedName name="solver_rhs9" localSheetId="57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2" hidden="1">2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1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2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59" hidden="1">2</definedName>
    <definedName name="solver_rlx" localSheetId="65" hidden="1">2</definedName>
    <definedName name="solver_rlx" localSheetId="67" hidden="1">2</definedName>
    <definedName name="solver_rlx" localSheetId="68" hidden="1">2</definedName>
    <definedName name="solver_rlx" localSheetId="69" hidden="1">2</definedName>
    <definedName name="solver_rsd" localSheetId="2" hidden="1">0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2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59" hidden="1">0</definedName>
    <definedName name="solver_rsd" localSheetId="68" hidden="1">0</definedName>
    <definedName name="solver_rsd" localSheetId="69" hidden="1">0</definedName>
    <definedName name="solver_scl" localSheetId="76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42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52" hidden="1">2</definedName>
    <definedName name="solver_scl" localSheetId="18" hidden="1">2</definedName>
    <definedName name="solver_scl" localSheetId="53" hidden="1">2</definedName>
    <definedName name="solver_scl" localSheetId="55" hidden="1">2</definedName>
    <definedName name="solver_scl" localSheetId="54" hidden="1">2</definedName>
    <definedName name="solver_scl" localSheetId="56" hidden="1">2</definedName>
    <definedName name="solver_scl" localSheetId="57" hidden="1">2</definedName>
    <definedName name="solver_scl" localSheetId="58" hidden="1">2</definedName>
    <definedName name="solver_scl" localSheetId="59" hidden="1">1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5" hidden="1">2</definedName>
    <definedName name="solver_scl" localSheetId="67" hidden="1">2</definedName>
    <definedName name="solver_scl" localSheetId="19" hidden="1">2</definedName>
    <definedName name="solver_scl" localSheetId="68" hidden="1">2</definedName>
    <definedName name="solver_scl" localSheetId="69" hidden="1">2</definedName>
    <definedName name="solver_scl" localSheetId="70" hidden="1">2</definedName>
    <definedName name="solver_scl" localSheetId="71" hidden="1">2</definedName>
    <definedName name="solver_scl" localSheetId="73" hidden="1">2</definedName>
    <definedName name="solver_scl" localSheetId="74" hidden="1">2</definedName>
    <definedName name="solver_scl" localSheetId="75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7" hidden="1">2</definedName>
    <definedName name="solver_sho" localSheetId="76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1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4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2</definedName>
    <definedName name="solver_sho" localSheetId="52" hidden="1">1</definedName>
    <definedName name="solver_sho" localSheetId="18" hidden="1">2</definedName>
    <definedName name="solver_sho" localSheetId="53" hidden="1">1</definedName>
    <definedName name="solver_sho" localSheetId="55" hidden="1">1</definedName>
    <definedName name="solver_sho" localSheetId="54" hidden="1">2</definedName>
    <definedName name="solver_sho" localSheetId="56" hidden="1">1</definedName>
    <definedName name="solver_sho" localSheetId="57" hidden="1">2</definedName>
    <definedName name="solver_sho" localSheetId="58" hidden="1">1</definedName>
    <definedName name="solver_sho" localSheetId="59" hidden="1">1</definedName>
    <definedName name="solver_sho" localSheetId="60" hidden="1">2</definedName>
    <definedName name="solver_sho" localSheetId="61" hidden="1">2</definedName>
    <definedName name="solver_sho" localSheetId="62" hidden="1">1</definedName>
    <definedName name="solver_sho" localSheetId="63" hidden="1">2</definedName>
    <definedName name="solver_sho" localSheetId="65" hidden="1">2</definedName>
    <definedName name="solver_sho" localSheetId="67" hidden="1">2</definedName>
    <definedName name="solver_sho" localSheetId="19" hidden="1">2</definedName>
    <definedName name="solver_sho" localSheetId="68" hidden="1">1</definedName>
    <definedName name="solver_sho" localSheetId="69" hidden="1">1</definedName>
    <definedName name="solver_sho" localSheetId="70" hidden="1">2</definedName>
    <definedName name="solver_sho" localSheetId="71" hidden="1">2</definedName>
    <definedName name="solver_sho" localSheetId="73" hidden="1">2</definedName>
    <definedName name="solver_sho" localSheetId="74" hidden="1">2</definedName>
    <definedName name="solver_sho" localSheetId="75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7" hidden="1">2</definedName>
    <definedName name="solver_ssz" localSheetId="2" hidden="1">100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2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59" hidden="1">100</definedName>
    <definedName name="solver_ssz" localSheetId="68" hidden="1">100</definedName>
    <definedName name="solver_ssz" localSheetId="69" hidden="1">100</definedName>
    <definedName name="solver_tim" localSheetId="76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100000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4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100</definedName>
    <definedName name="solver_tim" localSheetId="47" hidden="1">9999999999</definedName>
    <definedName name="solver_tim" localSheetId="48" hidden="1">9999999999</definedName>
    <definedName name="solver_tim" localSheetId="49" hidden="1">9999999999</definedName>
    <definedName name="solver_tim" localSheetId="50" hidden="1">100</definedName>
    <definedName name="solver_tim" localSheetId="51" hidden="1">100</definedName>
    <definedName name="solver_tim" localSheetId="52" hidden="1">9999999999</definedName>
    <definedName name="solver_tim" localSheetId="18" hidden="1">100</definedName>
    <definedName name="solver_tim" localSheetId="53" hidden="1">9999999999</definedName>
    <definedName name="solver_tim" localSheetId="55" hidden="1">9999999999</definedName>
    <definedName name="solver_tim" localSheetId="54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9999999999</definedName>
    <definedName name="solver_tim" localSheetId="59" hidden="1">2000</definedName>
    <definedName name="solver_tim" localSheetId="60" hidden="1">100</definedName>
    <definedName name="solver_tim" localSheetId="61" hidden="1">100</definedName>
    <definedName name="solver_tim" localSheetId="62" hidden="1">9999999999</definedName>
    <definedName name="solver_tim" localSheetId="63" hidden="1">9999999999</definedName>
    <definedName name="solver_tim" localSheetId="65" hidden="1">100</definedName>
    <definedName name="solver_tim" localSheetId="67" hidden="1">100</definedName>
    <definedName name="solver_tim" localSheetId="19" hidden="1">100</definedName>
    <definedName name="solver_tim" localSheetId="68" hidden="1">100</definedName>
    <definedName name="solver_tim" localSheetId="69" hidden="1">100</definedName>
    <definedName name="solver_tim" localSheetId="70" hidden="1">100</definedName>
    <definedName name="solver_tim" localSheetId="71" hidden="1">9999999999</definedName>
    <definedName name="solver_tim" localSheetId="73" hidden="1">9999999999</definedName>
    <definedName name="solver_tim" localSheetId="74" hidden="1">100</definedName>
    <definedName name="solver_tim" localSheetId="75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7" hidden="1">100</definedName>
    <definedName name="solver_tol" localSheetId="76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0.01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42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52" hidden="1">0.05</definedName>
    <definedName name="solver_tol" localSheetId="18" hidden="1">0.05</definedName>
    <definedName name="solver_tol" localSheetId="53" hidden="1">0.05</definedName>
    <definedName name="solver_tol" localSheetId="55" hidden="1">0.05</definedName>
    <definedName name="solver_tol" localSheetId="54" hidden="1">0.05</definedName>
    <definedName name="solver_tol" localSheetId="56" hidden="1">0.05</definedName>
    <definedName name="solver_tol" localSheetId="57" hidden="1">0.05</definedName>
    <definedName name="solver_tol" localSheetId="58" hidden="1">0.05</definedName>
    <definedName name="solver_tol" localSheetId="59" hidden="1">0.0001</definedName>
    <definedName name="solver_tol" localSheetId="60" hidden="1">0.05</definedName>
    <definedName name="solver_tol" localSheetId="61" hidden="1">0.05</definedName>
    <definedName name="solver_tol" localSheetId="62" hidden="1">0.0001</definedName>
    <definedName name="solver_tol" localSheetId="63" hidden="1">0.05</definedName>
    <definedName name="solver_tol" localSheetId="65" hidden="1">0.05</definedName>
    <definedName name="solver_tol" localSheetId="67" hidden="1">0.05</definedName>
    <definedName name="solver_tol" localSheetId="19" hidden="1">0.05</definedName>
    <definedName name="solver_tol" localSheetId="68" hidden="1">0.05</definedName>
    <definedName name="solver_tol" localSheetId="69" hidden="1">0.0001</definedName>
    <definedName name="solver_tol" localSheetId="70" hidden="1">0.05</definedName>
    <definedName name="solver_tol" localSheetId="71" hidden="1">0.05</definedName>
    <definedName name="solver_tol" localSheetId="73" hidden="1">0.05</definedName>
    <definedName name="solver_tol" localSheetId="74" hidden="1">0.05</definedName>
    <definedName name="solver_tol" localSheetId="75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7" hidden="1">0.05</definedName>
    <definedName name="solver_typ" localSheetId="76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4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2</definedName>
    <definedName name="solver_typ" localSheetId="52" hidden="1">1</definedName>
    <definedName name="solver_typ" localSheetId="18" hidden="1">2</definedName>
    <definedName name="solver_typ" localSheetId="53" hidden="1">2</definedName>
    <definedName name="solver_typ" localSheetId="55" hidden="1">1</definedName>
    <definedName name="solver_typ" localSheetId="54" hidden="1">1</definedName>
    <definedName name="solver_typ" localSheetId="56" hidden="1">2</definedName>
    <definedName name="solver_typ" localSheetId="57" hidden="1">2</definedName>
    <definedName name="solver_typ" localSheetId="58" hidden="1">2</definedName>
    <definedName name="solver_typ" localSheetId="59" hidden="1">1</definedName>
    <definedName name="solver_typ" localSheetId="60" hidden="1">1</definedName>
    <definedName name="solver_typ" localSheetId="61" hidden="1">2</definedName>
    <definedName name="solver_typ" localSheetId="62" hidden="1">2</definedName>
    <definedName name="solver_typ" localSheetId="63" hidden="1">1</definedName>
    <definedName name="solver_typ" localSheetId="65" hidden="1">2</definedName>
    <definedName name="solver_typ" localSheetId="67" hidden="1">2</definedName>
    <definedName name="solver_typ" localSheetId="19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3" hidden="1">3</definedName>
    <definedName name="solver_typ" localSheetId="74" hidden="1">2</definedName>
    <definedName name="solver_typ" localSheetId="75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7" hidden="1">2</definedName>
    <definedName name="solver_val" localSheetId="76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4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0</definedName>
    <definedName name="solver_val" localSheetId="52" hidden="1">7</definedName>
    <definedName name="solver_val" localSheetId="18" hidden="1">0</definedName>
    <definedName name="solver_val" localSheetId="53" hidden="1">0</definedName>
    <definedName name="solver_val" localSheetId="55" hidden="1">0</definedName>
    <definedName name="solver_val" localSheetId="54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5" hidden="1">0</definedName>
    <definedName name="solver_val" localSheetId="67" hidden="1">0</definedName>
    <definedName name="solver_val" localSheetId="19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3" hidden="1">50</definedName>
    <definedName name="solver_val" localSheetId="74" hidden="1">0</definedName>
    <definedName name="solver_val" localSheetId="75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7" hidden="1">0</definedName>
    <definedName name="solver_ver" localSheetId="2" hidden="1">3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2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9" hidden="1">3</definedName>
    <definedName name="solver_ver" localSheetId="52" hidden="1">3</definedName>
    <definedName name="solver_ver" localSheetId="53" hidden="1">3</definedName>
    <definedName name="solver_ver" localSheetId="59" hidden="1">3</definedName>
    <definedName name="solver_ver" localSheetId="61" hidden="1">3</definedName>
    <definedName name="solver_ver" localSheetId="68" hidden="1">3</definedName>
    <definedName name="solver_ver" localSheetId="69" hidden="1">3</definedName>
    <definedName name="TestType">Data!$D$1:$D$2</definedName>
    <definedName name="uhj">Test36!$B$1</definedName>
    <definedName name="wa" localSheetId="68">#REF!</definedName>
    <definedName name="wa" localSheetId="69">#REF!</definedName>
    <definedName name="wa" localSheetId="70">#REF!</definedName>
    <definedName name="wa">Test38!$P$3</definedName>
    <definedName name="wb" localSheetId="68">#REF!</definedName>
    <definedName name="wb" localSheetId="69">#REF!</definedName>
    <definedName name="wb" localSheetId="70">#REF!</definedName>
    <definedName name="wb">Test38!$P$4</definedName>
    <definedName name="wc" localSheetId="68">#REF!</definedName>
    <definedName name="wc" localSheetId="69">#REF!</definedName>
    <definedName name="wc" localSheetId="70">#REF!</definedName>
    <definedName name="wc">Test38!$P$5</definedName>
    <definedName name="wd" localSheetId="68">#REF!</definedName>
    <definedName name="wd" localSheetId="69">#REF!</definedName>
    <definedName name="wd" localSheetId="70">#REF!</definedName>
    <definedName name="wd">Test38!$P$6</definedName>
    <definedName name="x" localSheetId="37">#REF!</definedName>
    <definedName name="x" localSheetId="63">'Test38_(Data)'!$B$4:$AP$4</definedName>
    <definedName name="x" localSheetId="67">#REF!</definedName>
    <definedName name="x" localSheetId="70">Test42!$E$6</definedName>
    <definedName name="x" localSheetId="73">#REF!</definedName>
    <definedName name="x" localSheetId="74">#REF!</definedName>
    <definedName name="x">#REF!</definedName>
    <definedName name="xa" localSheetId="68">#REF!</definedName>
    <definedName name="xa" localSheetId="69">#REF!</definedName>
    <definedName name="xa" localSheetId="70">#REF!</definedName>
    <definedName name="xa">Test38!$N$3</definedName>
    <definedName name="xb" localSheetId="68">#REF!</definedName>
    <definedName name="xb" localSheetId="69">#REF!</definedName>
    <definedName name="xb" localSheetId="70">#REF!</definedName>
    <definedName name="xb">Test38!$N$4</definedName>
    <definedName name="xc" localSheetId="68">#REF!</definedName>
    <definedName name="xc" localSheetId="69">#REF!</definedName>
    <definedName name="xc" localSheetId="70">#REF!</definedName>
    <definedName name="xc">Test38!$N$5</definedName>
    <definedName name="xd" localSheetId="68">#REF!</definedName>
    <definedName name="xd" localSheetId="69">#REF!</definedName>
    <definedName name="xd" localSheetId="70">#REF!</definedName>
    <definedName name="xd">Test38!$N$6</definedName>
    <definedName name="xstep" localSheetId="37">#REF!</definedName>
    <definedName name="xstep" localSheetId="67">#REF!</definedName>
    <definedName name="xstep" localSheetId="73">#REF!</definedName>
    <definedName name="xstep" localSheetId="74">#REF!</definedName>
    <definedName name="xstep">#REF!</definedName>
    <definedName name="y" localSheetId="37">#REF!</definedName>
    <definedName name="y" localSheetId="63">'Test38_(Data)'!$A$5:$A$45</definedName>
    <definedName name="y" localSheetId="67">#REF!</definedName>
    <definedName name="y" localSheetId="70">Test42!$E$7</definedName>
    <definedName name="y" localSheetId="73">#REF!</definedName>
    <definedName name="y" localSheetId="74">#REF!</definedName>
    <definedName name="y">#REF!</definedName>
    <definedName name="ya" localSheetId="68">#REF!</definedName>
    <definedName name="ya" localSheetId="69">#REF!</definedName>
    <definedName name="ya" localSheetId="70">#REF!</definedName>
    <definedName name="ya">Test38!$O$3</definedName>
    <definedName name="yb" localSheetId="68">#REF!</definedName>
    <definedName name="yb" localSheetId="69">#REF!</definedName>
    <definedName name="yb" localSheetId="70">#REF!</definedName>
    <definedName name="yb">Test38!$O$4</definedName>
    <definedName name="yc" localSheetId="68">#REF!</definedName>
    <definedName name="yc" localSheetId="69">#REF!</definedName>
    <definedName name="yc" localSheetId="70">#REF!</definedName>
    <definedName name="yc">Test38!$O$5</definedName>
    <definedName name="yd" localSheetId="68">#REF!</definedName>
    <definedName name="yd" localSheetId="69">#REF!</definedName>
    <definedName name="yd" localSheetId="70">#REF!</definedName>
    <definedName name="yd">Test38!$O$6</definedName>
    <definedName name="ystep" localSheetId="37">#REF!</definedName>
    <definedName name="ystep" localSheetId="67">#REF!</definedName>
    <definedName name="ystep" localSheetId="73">#REF!</definedName>
    <definedName name="ystep" localSheetId="74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A71" i="60" l="1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H9" i="98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 l="1"/>
  <c r="C6" i="95"/>
  <c r="H6" i="94"/>
  <c r="G4" i="92"/>
  <c r="G4" i="90"/>
  <c r="J7" i="87"/>
  <c r="D20" i="96"/>
  <c r="D20" i="77"/>
  <c r="S13" i="75"/>
  <c r="I6" i="71"/>
  <c r="G6" i="70"/>
  <c r="F6" i="69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D23" i="98" l="1"/>
  <c r="D19" i="98"/>
  <c r="A10" i="98"/>
  <c r="A9" i="98"/>
  <c r="F19" i="98" l="1"/>
  <c r="H11" i="98"/>
  <c r="E19" i="98"/>
  <c r="H12" i="98"/>
  <c r="H13" i="98"/>
  <c r="A6" i="98" l="1"/>
  <c r="D24" i="96"/>
  <c r="A6" i="96" s="1"/>
  <c r="A10" i="96"/>
  <c r="A9" i="96"/>
  <c r="I15" i="96" l="1"/>
  <c r="D17" i="96"/>
  <c r="I14" i="96"/>
  <c r="F17" i="96"/>
  <c r="G17" i="96"/>
  <c r="I16" i="96"/>
  <c r="H17" i="96"/>
  <c r="E17" i="96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24" i="87" l="1"/>
  <c r="D16" i="85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F26" i="76"/>
  <c r="K25" i="76"/>
  <c r="C25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I18" i="76"/>
  <c r="F17" i="76"/>
  <c r="I16" i="76"/>
  <c r="C16" i="76"/>
  <c r="I15" i="76"/>
  <c r="D15" i="76"/>
  <c r="I14" i="76"/>
  <c r="D14" i="76"/>
  <c r="J13" i="76"/>
  <c r="D13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A6" i="52"/>
  <c r="A6" i="46"/>
  <c r="A6" i="38"/>
  <c r="N24" i="76" l="1"/>
  <c r="Q26" i="76"/>
  <c r="F16" i="88"/>
  <c r="A6" i="88" s="1"/>
  <c r="O12" i="76"/>
  <c r="N20" i="76"/>
  <c r="N9" i="76"/>
  <c r="N16" i="76"/>
  <c r="Q38" i="76"/>
  <c r="Q18" i="76"/>
  <c r="O9" i="76"/>
  <c r="J44" i="3"/>
  <c r="O44" i="3" s="1"/>
  <c r="J40" i="3"/>
  <c r="O40" i="3" s="1"/>
  <c r="Q14" i="76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M9" i="57"/>
  <c r="N9" i="57"/>
</calcChain>
</file>

<file path=xl/sharedStrings.xml><?xml version="1.0" encoding="utf-8"?>
<sst xmlns="http://schemas.openxmlformats.org/spreadsheetml/2006/main" count="2665" uniqueCount="441">
  <si>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</si>
  <si>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</si>
  <si>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</si>
  <si>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</si>
  <si>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</si>
  <si>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</si>
  <si>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</si>
  <si>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</si>
  <si>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</si>
  <si>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</si>
  <si>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</si>
  <si>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</si>
  <si>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</si>
  <si>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</si>
  <si>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</si>
  <si>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</si>
  <si>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</si>
  <si>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</si>
  <si>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</si>
  <si>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</si>
  <si>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</si>
  <si>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</si>
  <si>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</si>
  <si>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</si>
  <si>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</si>
  <si>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</si>
  <si>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</si>
  <si>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</si>
  <si>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</si>
  <si>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</si>
  <si>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</si>
  <si>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</si>
  <si>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</si>
  <si>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</si>
  <si>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</si>
  <si>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</si>
  <si>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</si>
  <si>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</si>
  <si>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</si>
  <si>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</si>
  <si>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</si>
  <si>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</si>
  <si>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</si>
  <si>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</si>
  <si>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</si>
  <si>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</si>
  <si>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</si>
  <si>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</si>
  <si>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</si>
  <si>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</si>
  <si>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</si>
  <si>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</si>
  <si>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</si>
  <si>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</si>
  <si>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</si>
  <si>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</si>
  <si>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</si>
  <si>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</si>
  <si>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</si>
  <si>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</si>
  <si>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</si>
  <si>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</si>
  <si>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</si>
  <si>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</si>
  <si>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</si>
  <si>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</si>
  <si>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</si>
  <si>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</si>
  <si>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</si>
  <si>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</si>
  <si>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</si>
  <si>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</si>
  <si>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</si>
  <si>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</si>
  <si>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</si>
  <si>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</si>
  <si>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</si>
  <si>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</si>
  <si>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</si>
  <si>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</si>
  <si>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</si>
  <si>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</si>
  <si>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</si>
  <si>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</si>
  <si>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</si>
  <si>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</si>
  <si>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</si>
  <si>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</si>
  <si>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</si>
  <si>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</si>
  <si>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</si>
  <si>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</si>
  <si>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</si>
  <si>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</si>
  <si>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</si>
  <si>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</si>
  <si>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</si>
  <si>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</si>
  <si>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</si>
  <si>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</si>
  <si>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</si>
  <si>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</si>
  <si>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</si>
  <si>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</si>
  <si>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</si>
  <si>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</si>
  <si>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</si>
  <si>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</si>
  <si>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</si>
  <si>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</si>
  <si>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</si>
  <si>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</si>
  <si>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</si>
  <si>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</si>
  <si>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</si>
  <si>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</si>
  <si>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</si>
  <si>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</si>
  <si>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</si>
  <si>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</si>
  <si>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</si>
  <si>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</si>
  <si>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</si>
  <si>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</si>
  <si>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</si>
  <si>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</si>
  <si>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</si>
  <si>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</si>
  <si>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</si>
  <si>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</si>
  <si>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</si>
  <si>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</si>
  <si>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</si>
  <si>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</si>
  <si>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</si>
  <si>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</si>
  <si>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</si>
  <si>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</si>
  <si>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</si>
  <si>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</si>
  <si>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</si>
  <si>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</si>
  <si>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</si>
  <si>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</si>
  <si>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</si>
  <si>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</si>
  <si>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</si>
  <si>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</si>
  <si>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</si>
  <si>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</si>
  <si>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</si>
  <si>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</si>
  <si>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</si>
  <si>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</si>
  <si>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</si>
  <si>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</si>
  <si>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</si>
  <si>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</si>
  <si>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</si>
  <si>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</si>
  <si>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</si>
  <si>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</si>
  <si>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</si>
  <si>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</si>
  <si>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</si>
  <si>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</si>
  <si>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</si>
  <si>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</si>
  <si>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</si>
  <si>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</si>
  <si>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</si>
  <si>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</si>
  <si>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</si>
  <si>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</si>
  <si>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</si>
  <si>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</si>
  <si>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</si>
  <si>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</si>
  <si>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</si>
  <si>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</si>
  <si>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</si>
  <si>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</si>
  <si>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</si>
  <si>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</si>
  <si>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</si>
  <si>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</si>
  <si>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</si>
  <si>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</si>
  <si>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</si>
  <si>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</si>
  <si>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</si>
  <si>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</si>
  <si>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</si>
  <si>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</si>
  <si>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</si>
  <si>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</si>
  <si>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</si>
  <si>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</si>
  <si>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</si>
  <si>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</si>
  <si>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</si>
  <si>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</si>
  <si>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</si>
  <si>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</si>
  <si>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</si>
  <si>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</si>
  <si>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</si>
  <si>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</si>
  <si>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</si>
  <si>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</si>
  <si>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</si>
  <si>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</si>
  <si>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</si>
  <si>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</si>
  <si>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</si>
  <si>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</si>
  <si>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</si>
  <si>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</si>
  <si>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</si>
  <si>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</si>
  <si>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</si>
  <si>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</si>
  <si>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</si>
  <si>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</si>
  <si>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</si>
  <si>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</si>
  <si>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</si>
  <si>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</si>
  <si>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</si>
  <si>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</si>
  <si>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</si>
  <si>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</si>
  <si>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</si>
  <si>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</si>
  <si>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</si>
  <si>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</si>
  <si>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</si>
  <si>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</si>
  <si>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</si>
  <si>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</si>
  <si>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</si>
  <si>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</si>
  <si>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</si>
  <si>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</si>
  <si>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</si>
  <si>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</si>
  <si>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</si>
  <si>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</si>
  <si>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</si>
  <si>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</si>
  <si>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</si>
  <si>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</si>
  <si>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</si>
  <si>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</si>
  <si>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</si>
  <si>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</si>
  <si>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</si>
  <si>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</si>
  <si>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</si>
  <si>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</si>
  <si>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</si>
  <si>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</si>
  <si>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</si>
  <si>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</si>
  <si>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</si>
  <si>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</si>
  <si>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</si>
  <si>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</si>
  <si>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</si>
  <si>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</si>
  <si>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</si>
  <si>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</si>
  <si>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</si>
  <si>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</si>
  <si>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</si>
  <si>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</si>
  <si>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</si>
  <si>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</si>
  <si>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</si>
  <si>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</si>
  <si>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</si>
  <si>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</si>
  <si>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</si>
  <si>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</si>
  <si>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</si>
  <si>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</si>
  <si>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</si>
  <si>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</si>
  <si>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</si>
  <si>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</si>
  <si>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</si>
  <si>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</si>
  <si>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</si>
  <si>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</si>
  <si>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</si>
  <si>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</si>
  <si>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</si>
  <si>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G14</t>
  </si>
  <si>
    <t>H14</t>
  </si>
  <si>
    <t>G15</t>
  </si>
  <si>
    <t>H15</t>
  </si>
  <si>
    <t>G16</t>
  </si>
  <si>
    <t>H16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</si>
  <si>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</si>
  <si>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</si>
  <si>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</si>
  <si>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</si>
  <si>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</si>
  <si>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</si>
  <si>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</si>
  <si>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</si>
  <si>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</si>
  <si>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</si>
  <si>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</si>
  <si>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</si>
  <si>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</si>
  <si>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</si>
  <si>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</si>
  <si>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</si>
  <si>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</si>
  <si>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</si>
  <si>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</si>
  <si>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</si>
  <si>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</si>
  <si>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</si>
  <si>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</si>
  <si>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</si>
  <si>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</si>
  <si>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</si>
  <si>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</si>
  <si>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</si>
  <si>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</si>
  <si>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</si>
  <si>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</si>
  <si>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</si>
  <si>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</si>
  <si>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</si>
  <si>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</si>
  <si>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</si>
  <si>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</si>
  <si>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</si>
  <si>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</si>
  <si>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</si>
  <si>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</si>
  <si>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</si>
  <si>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</si>
  <si>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</si>
  <si>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</si>
  <si>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</si>
  <si>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</si>
  <si>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</si>
  <si>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</si>
  <si>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</si>
  <si>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</si>
  <si>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</si>
  <si>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</si>
  <si>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</si>
  <si>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</si>
  <si>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</si>
  <si>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</si>
  <si>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</si>
  <si>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</si>
  <si>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</si>
  <si>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</si>
  <si>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</si>
  <si>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</si>
  <si>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</si>
  <si>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</si>
  <si>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</si>
  <si>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</si>
  <si>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</si>
  <si>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</si>
  <si>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</si>
  <si>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</si>
  <si>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</si>
  <si>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</si>
  <si>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</si>
  <si>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</si>
  <si>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</si>
  <si>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</si>
  <si>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</si>
  <si>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</si>
  <si>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</si>
  <si>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</si>
  <si>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</si>
  <si>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</si>
  <si>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</si>
  <si>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</si>
  <si>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</si>
  <si>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</si>
  <si>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</si>
  <si>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</si>
  <si>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</si>
  <si>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</si>
  <si>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</si>
  <si>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</t>
  </si>
  <si>
    <t>This is an unused variable cell</t>
  </si>
  <si>
    <t>It tests what happens with sensitivity analysis and duals for missing vars</t>
  </si>
  <si>
    <t>OpenSolver Sensitivity Report - Gurobi</t>
  </si>
  <si>
    <t>I14&lt;=J14</t>
  </si>
  <si>
    <t>KWR Total</t>
  </si>
  <si>
    <t>I15&lt;=J15</t>
  </si>
  <si>
    <t>BYR Total</t>
  </si>
  <si>
    <t>I16&lt;=J16</t>
  </si>
  <si>
    <t>ALB Total</t>
  </si>
  <si>
    <t>D17=D18</t>
  </si>
  <si>
    <t>Total AUCK</t>
  </si>
  <si>
    <t>E17=E18</t>
  </si>
  <si>
    <t>Total SYD</t>
  </si>
  <si>
    <t>F17=F18</t>
  </si>
  <si>
    <t>Total MEL</t>
  </si>
  <si>
    <t>G17=G18</t>
  </si>
  <si>
    <t>Total BRI</t>
  </si>
  <si>
    <t>H17=H18</t>
  </si>
  <si>
    <t>Total ADEL</t>
  </si>
  <si>
    <t>This problem doesn't have AssumeNonNegative, and instead bounds set explicitly</t>
  </si>
  <si>
    <t>Worksheet: [OpenSolver Tester.xlsm] Test39_SensNames2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</si>
  <si>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</si>
  <si>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</si>
  <si>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</si>
  <si>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</si>
  <si>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</si>
  <si>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</si>
  <si>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</si>
  <si>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</si>
  <si>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</si>
  <si>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</si>
  <si>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</si>
  <si>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</si>
  <si>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</si>
  <si>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</si>
  <si>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</si>
  <si>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SPARE</t>
  </si>
  <si>
    <t>J21</t>
  </si>
  <si>
    <t>FAIL*</t>
  </si>
  <si>
    <t>PASS*</t>
  </si>
  <si>
    <t>NA</t>
  </si>
  <si>
    <t>Report Created: 20/02/2015 11:36:15 a.m.</t>
  </si>
  <si>
    <t>Report Created: 20/02/2015 11:43:56 a.m.</t>
  </si>
  <si>
    <t>Report Created: 20/02/2015 11:45:02 a.m.</t>
  </si>
  <si>
    <t>Report Created: 20/02/2015 11:50:35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</si>
</sst>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71597616"/>
        <c:axId val="271598008"/>
        <c:axId val="409300872"/>
      </c:surface3DChart>
      <c:catAx>
        <c:axId val="27159761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59800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7159800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597616"/>
        <c:crosses val="min"/>
        <c:crossBetween val="between"/>
        <c:majorUnit val="0.1"/>
      </c:valAx>
      <c:serAx>
        <c:axId val="409300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59800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95656"/>
        <c:axId val="271598792"/>
      </c:scatterChart>
      <c:valAx>
        <c:axId val="27159565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598792"/>
        <c:crosses val="autoZero"/>
        <c:crossBetween val="midCat"/>
        <c:majorUnit val="0.5"/>
      </c:valAx>
      <c:valAx>
        <c:axId val="27159879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59565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2.3571428571423514</c:v>
                </c:pt>
                <c:pt idx="2">
                  <c:v>6.9999999999994724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1.8557687223958681</c:v>
                </c:pt>
                <c:pt idx="2">
                  <c:v>5.8664184621193272E-13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94480"/>
        <c:axId val="271600360"/>
      </c:scatterChart>
      <c:valAx>
        <c:axId val="27159448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600360"/>
        <c:crosses val="autoZero"/>
        <c:crossBetween val="midCat"/>
        <c:majorUnit val="1"/>
      </c:valAx>
      <c:valAx>
        <c:axId val="27160036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15944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8" name="OpenSolver 7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6" name="OpenSolver 15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6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68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9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0" name="OpenSolver 6"/>
        <xdr:cNvCxnSpPr>
          <a:stCxn id="68" idx="2"/>
          <a:endCxn id="69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71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2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3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4" name="OpenSolver 10"/>
        <xdr:cNvCxnSpPr>
          <a:stCxn id="72" idx="3"/>
          <a:endCxn id="73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5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76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77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8" name="OpenSolver 14"/>
        <xdr:cNvCxnSpPr>
          <a:stCxn id="76" idx="3"/>
          <a:endCxn id="7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79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0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1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" name="OpenSolver 18"/>
        <xdr:cNvCxnSpPr>
          <a:stCxn id="80" idx="3"/>
          <a:endCxn id="81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3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84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85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6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27" name="OpenSolver2"/>
        <xdr:cNvSpPr/>
      </xdr:nvSpPr>
      <xdr:spPr>
        <a:xfrm>
          <a:off x="4743450" y="40481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28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29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30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31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33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34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35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36" name="OpenSolver 11"/>
        <xdr:cNvCxnSpPr>
          <a:stCxn id="34" idx="2"/>
          <a:endCxn id="35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37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5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6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7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8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9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20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1" name="OpenSolver 7"/>
        <xdr:cNvCxnSpPr>
          <a:stCxn id="19" idx="3"/>
          <a:endCxn id="20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2" name="OpenSolver 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3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4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5" name="OpenSolver 11"/>
        <xdr:cNvCxnSpPr>
          <a:stCxn id="23" idx="2"/>
          <a:endCxn id="24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6" name="OpenSolver 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27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352</v>
      </c>
    </row>
    <row r="5" spans="1:12" x14ac:dyDescent="0.25">
      <c r="A5" s="62" t="s">
        <v>202</v>
      </c>
      <c r="B5" s="62">
        <v>4</v>
      </c>
      <c r="L5" s="62" t="s">
        <v>358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71"/>
  <sheetViews>
    <sheetView tabSelected="1" zoomScale="85" zoomScaleNormal="85" zoomScalePageLayoutView="85" workbookViewId="0">
      <selection activeCell="Q11" sqref="Q11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81" t="s">
        <v>374</v>
      </c>
      <c r="D1" s="181"/>
      <c r="E1" s="181"/>
      <c r="F1" s="181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352</v>
      </c>
      <c r="I2" s="166" t="s">
        <v>358</v>
      </c>
    </row>
    <row r="3" spans="1:9" x14ac:dyDescent="0.25">
      <c r="A3" s="172" t="str">
        <f>HYPERLINK("[OpenSolver Tester.xlsm]Test1!A1", "Test1")</f>
        <v>Test1</v>
      </c>
      <c r="B3" s="60" t="s">
        <v>393</v>
      </c>
      <c r="C3" s="60" t="s">
        <v>393</v>
      </c>
      <c r="D3" s="60" t="s">
        <v>393</v>
      </c>
      <c r="E3" s="60" t="s">
        <v>393</v>
      </c>
      <c r="F3" s="60" t="s">
        <v>393</v>
      </c>
      <c r="G3" s="60" t="s">
        <v>393</v>
      </c>
      <c r="H3" s="60" t="s">
        <v>393</v>
      </c>
      <c r="I3" s="60" t="s">
        <v>393</v>
      </c>
    </row>
    <row r="4" spans="1:9" x14ac:dyDescent="0.25">
      <c r="A4" s="172" t="str">
        <f>HYPERLINK("[OpenSolver Tester.xlsm]Test1b!A1", "Test1b")</f>
        <v>Test1b</v>
      </c>
      <c r="B4" s="60" t="s">
        <v>393</v>
      </c>
      <c r="C4" s="60" t="s">
        <v>393</v>
      </c>
      <c r="D4" s="60" t="s">
        <v>393</v>
      </c>
      <c r="E4" s="60" t="s">
        <v>393</v>
      </c>
      <c r="F4" s="60" t="s">
        <v>393</v>
      </c>
      <c r="G4" s="60" t="s">
        <v>393</v>
      </c>
      <c r="H4" s="60" t="s">
        <v>393</v>
      </c>
      <c r="I4" s="60" t="s">
        <v>393</v>
      </c>
    </row>
    <row r="5" spans="1:9" x14ac:dyDescent="0.25">
      <c r="A5" s="172" t="str">
        <f>HYPERLINK("[OpenSolver Tester.xlsm]Test1c!A1", "Test1c")</f>
        <v>Test1c</v>
      </c>
      <c r="B5" s="60" t="s">
        <v>393</v>
      </c>
      <c r="C5" s="60" t="s">
        <v>393</v>
      </c>
      <c r="D5" s="60" t="s">
        <v>393</v>
      </c>
      <c r="E5" s="60" t="s">
        <v>393</v>
      </c>
      <c r="F5" s="60" t="s">
        <v>393</v>
      </c>
      <c r="G5" s="60" t="s">
        <v>393</v>
      </c>
      <c r="H5" s="60" t="s">
        <v>393</v>
      </c>
      <c r="I5" s="60" t="s">
        <v>393</v>
      </c>
    </row>
    <row r="6" spans="1:9" x14ac:dyDescent="0.25">
      <c r="A6" s="172" t="str">
        <f>HYPERLINK("[OpenSolver Tester.xlsm]Test1c2!A1", "Test1c2")</f>
        <v>Test1c2</v>
      </c>
      <c r="B6" s="60" t="s">
        <v>393</v>
      </c>
      <c r="C6" s="60" t="s">
        <v>393</v>
      </c>
      <c r="D6" s="60" t="s">
        <v>393</v>
      </c>
      <c r="E6" s="60" t="s">
        <v>393</v>
      </c>
      <c r="F6" s="60" t="s">
        <v>393</v>
      </c>
      <c r="G6" s="60" t="s">
        <v>393</v>
      </c>
      <c r="H6" s="60" t="s">
        <v>393</v>
      </c>
      <c r="I6" s="60" t="s">
        <v>393</v>
      </c>
    </row>
    <row r="7" spans="1:9" x14ac:dyDescent="0.25">
      <c r="A7" s="172" t="str">
        <f>HYPERLINK("[OpenSolver Tester.xlsm]Test1d!A1", "Test1d")</f>
        <v>Test1d</v>
      </c>
      <c r="B7" s="60" t="s">
        <v>393</v>
      </c>
      <c r="C7" s="60" t="s">
        <v>393</v>
      </c>
      <c r="D7" s="60" t="s">
        <v>393</v>
      </c>
      <c r="E7" s="60" t="s">
        <v>393</v>
      </c>
      <c r="F7" s="60" t="s">
        <v>393</v>
      </c>
      <c r="G7" s="60" t="s">
        <v>393</v>
      </c>
      <c r="H7" s="60" t="s">
        <v>393</v>
      </c>
      <c r="I7" s="60" t="s">
        <v>393</v>
      </c>
    </row>
    <row r="8" spans="1:9" x14ac:dyDescent="0.25">
      <c r="A8" s="172" t="str">
        <f>HYPERLINK("[OpenSolver Tester.xlsm]Test1e!A1", "Test1e")</f>
        <v>Test1e</v>
      </c>
      <c r="B8" s="60" t="s">
        <v>393</v>
      </c>
      <c r="C8" s="60" t="s">
        <v>393</v>
      </c>
      <c r="D8" s="60" t="s">
        <v>393</v>
      </c>
      <c r="E8" s="60" t="s">
        <v>393</v>
      </c>
      <c r="F8" s="60" t="s">
        <v>393</v>
      </c>
      <c r="G8" s="60" t="s">
        <v>393</v>
      </c>
      <c r="H8" s="60" t="s">
        <v>393</v>
      </c>
      <c r="I8" s="60" t="s">
        <v>393</v>
      </c>
    </row>
    <row r="9" spans="1:9" x14ac:dyDescent="0.25">
      <c r="A9" s="172" t="str">
        <f>HYPERLINK("[OpenSolver Tester.xlsm]Test1f!A1", "Test1f")</f>
        <v>Test1f</v>
      </c>
      <c r="B9" s="60" t="s">
        <v>393</v>
      </c>
      <c r="C9" s="60" t="s">
        <v>393</v>
      </c>
      <c r="D9" s="60" t="s">
        <v>393</v>
      </c>
      <c r="E9" s="60" t="s">
        <v>393</v>
      </c>
      <c r="F9" s="60" t="s">
        <v>393</v>
      </c>
      <c r="G9" s="60" t="s">
        <v>393</v>
      </c>
      <c r="H9" s="60" t="s">
        <v>393</v>
      </c>
      <c r="I9" s="60" t="s">
        <v>393</v>
      </c>
    </row>
    <row r="10" spans="1:9" x14ac:dyDescent="0.25">
      <c r="A10" s="172" t="str">
        <f>HYPERLINK("[OpenSolver Tester.xlsm]Test1g!A1", "Test1g")</f>
        <v>Test1g</v>
      </c>
      <c r="B10" s="60" t="s">
        <v>393</v>
      </c>
      <c r="C10" s="60" t="s">
        <v>393</v>
      </c>
      <c r="D10" s="60" t="s">
        <v>393</v>
      </c>
      <c r="E10" s="60" t="s">
        <v>393</v>
      </c>
      <c r="F10" s="60" t="s">
        <v>393</v>
      </c>
      <c r="G10" s="60" t="s">
        <v>393</v>
      </c>
      <c r="H10" s="60" t="s">
        <v>393</v>
      </c>
      <c r="I10" s="60" t="s">
        <v>393</v>
      </c>
    </row>
    <row r="11" spans="1:9" x14ac:dyDescent="0.25">
      <c r="A11" s="172" t="str">
        <f>HYPERLINK("[OpenSolver Tester.xlsm]Test1h!A1", "Test1h")</f>
        <v>Test1h</v>
      </c>
      <c r="B11" s="60" t="s">
        <v>393</v>
      </c>
      <c r="C11" s="60" t="s">
        <v>393</v>
      </c>
      <c r="D11" s="60" t="s">
        <v>393</v>
      </c>
      <c r="E11" s="60" t="s">
        <v>393</v>
      </c>
      <c r="F11" s="60" t="s">
        <v>393</v>
      </c>
      <c r="G11" s="60" t="s">
        <v>393</v>
      </c>
      <c r="H11" s="60" t="s">
        <v>393</v>
      </c>
      <c r="I11" s="60" t="s">
        <v>393</v>
      </c>
    </row>
    <row r="12" spans="1:9" x14ac:dyDescent="0.25">
      <c r="A12" s="172" t="str">
        <f>HYPERLINK("[OpenSolver Tester.xlsm]Test1i!A1", "Test1i")</f>
        <v>Test1i</v>
      </c>
      <c r="B12" s="60" t="s">
        <v>393</v>
      </c>
      <c r="C12" s="60" t="s">
        <v>393</v>
      </c>
      <c r="D12" s="60" t="s">
        <v>393</v>
      </c>
      <c r="E12" s="60" t="s">
        <v>393</v>
      </c>
      <c r="F12" s="60" t="s">
        <v>393</v>
      </c>
      <c r="G12" s="60" t="s">
        <v>393</v>
      </c>
      <c r="H12" s="60" t="s">
        <v>393</v>
      </c>
      <c r="I12" s="60" t="s">
        <v>393</v>
      </c>
    </row>
    <row r="13" spans="1:9" x14ac:dyDescent="0.25">
      <c r="A13" s="172" t="str">
        <f>HYPERLINK("[OpenSolver Tester.xlsm]Test1j!A1", "Test1j")</f>
        <v>Test1j</v>
      </c>
      <c r="B13" s="60" t="s">
        <v>393</v>
      </c>
      <c r="C13" s="60" t="s">
        <v>393</v>
      </c>
      <c r="D13" s="60" t="s">
        <v>393</v>
      </c>
      <c r="E13" s="60" t="s">
        <v>393</v>
      </c>
      <c r="F13" s="60" t="s">
        <v>393</v>
      </c>
      <c r="G13" s="60" t="s">
        <v>393</v>
      </c>
      <c r="H13" s="60" t="s">
        <v>393</v>
      </c>
      <c r="I13" s="60" t="s">
        <v>393</v>
      </c>
    </row>
    <row r="14" spans="1:9" x14ac:dyDescent="0.25">
      <c r="A14" s="172" t="str">
        <f>HYPERLINK("[OpenSolver Tester.xlsm]Test1j2!A1", "Test1j2")</f>
        <v>Test1j2</v>
      </c>
      <c r="B14" s="60" t="s">
        <v>393</v>
      </c>
      <c r="C14" s="60" t="s">
        <v>393</v>
      </c>
      <c r="D14" s="60" t="s">
        <v>393</v>
      </c>
      <c r="E14" s="60" t="s">
        <v>393</v>
      </c>
      <c r="F14" s="60" t="s">
        <v>393</v>
      </c>
      <c r="G14" s="60" t="s">
        <v>393</v>
      </c>
      <c r="H14" s="60" t="s">
        <v>393</v>
      </c>
      <c r="I14" s="60" t="s">
        <v>393</v>
      </c>
    </row>
    <row r="15" spans="1:9" x14ac:dyDescent="0.25">
      <c r="A15" s="172" t="str">
        <f>HYPERLINK("[OpenSolver Tester.xlsm]Test1k!A1", "Test1k")</f>
        <v>Test1k</v>
      </c>
      <c r="B15" s="60" t="s">
        <v>393</v>
      </c>
      <c r="C15" s="60" t="s">
        <v>393</v>
      </c>
      <c r="D15" s="60" t="s">
        <v>393</v>
      </c>
      <c r="E15" s="60" t="s">
        <v>393</v>
      </c>
      <c r="F15" s="60" t="s">
        <v>393</v>
      </c>
      <c r="G15" s="60" t="s">
        <v>393</v>
      </c>
      <c r="H15" s="60" t="s">
        <v>393</v>
      </c>
      <c r="I15" s="60" t="s">
        <v>393</v>
      </c>
    </row>
    <row r="16" spans="1:9" x14ac:dyDescent="0.25">
      <c r="A16" s="172" t="str">
        <f>HYPERLINK("[OpenSolver Tester.xlsm]Test1l!A1", "Test1l")</f>
        <v>Test1l</v>
      </c>
      <c r="B16" s="60" t="s">
        <v>393</v>
      </c>
      <c r="C16" s="60" t="s">
        <v>393</v>
      </c>
      <c r="D16" s="60" t="s">
        <v>393</v>
      </c>
      <c r="E16" s="60" t="s">
        <v>393</v>
      </c>
      <c r="F16" s="60" t="s">
        <v>393</v>
      </c>
      <c r="G16" s="60" t="s">
        <v>393</v>
      </c>
      <c r="H16" s="60" t="s">
        <v>393</v>
      </c>
      <c r="I16" s="60" t="s">
        <v>393</v>
      </c>
    </row>
    <row r="17" spans="1:9" x14ac:dyDescent="0.25">
      <c r="A17" s="172" t="str">
        <f>HYPERLINK("[OpenSolver Tester.xlsm]Test1m!A1", "Test1m")</f>
        <v>Test1m</v>
      </c>
      <c r="B17" s="60" t="s">
        <v>393</v>
      </c>
      <c r="C17" s="60" t="s">
        <v>393</v>
      </c>
      <c r="D17" s="60" t="s">
        <v>393</v>
      </c>
      <c r="E17" s="60" t="s">
        <v>393</v>
      </c>
      <c r="F17" s="60" t="s">
        <v>393</v>
      </c>
      <c r="G17" s="60" t="s">
        <v>393</v>
      </c>
      <c r="H17" s="60" t="s">
        <v>393</v>
      </c>
      <c r="I17" s="60" t="s">
        <v>393</v>
      </c>
    </row>
    <row r="18" spans="1:9" x14ac:dyDescent="0.25">
      <c r="A18" s="172" t="str">
        <f>HYPERLINK("[OpenSolver Tester.xlsm]Test2!A1", "Test2")</f>
        <v>Test2</v>
      </c>
      <c r="B18" s="60" t="s">
        <v>393</v>
      </c>
      <c r="C18" s="60" t="s">
        <v>393</v>
      </c>
      <c r="D18" s="60" t="s">
        <v>393</v>
      </c>
      <c r="E18" s="60" t="s">
        <v>393</v>
      </c>
      <c r="F18" s="60" t="s">
        <v>393</v>
      </c>
      <c r="G18" s="60" t="s">
        <v>393</v>
      </c>
      <c r="H18" s="60" t="s">
        <v>393</v>
      </c>
      <c r="I18" s="60" t="s">
        <v>393</v>
      </c>
    </row>
    <row r="19" spans="1:9" x14ac:dyDescent="0.25">
      <c r="A19" s="172" t="str">
        <f>HYPERLINK("[OpenSolver Tester.xlsm]Test3!A1", "Test3")</f>
        <v>Test3</v>
      </c>
      <c r="B19" s="60" t="s">
        <v>393</v>
      </c>
      <c r="C19" s="60" t="s">
        <v>393</v>
      </c>
      <c r="D19" s="60" t="s">
        <v>393</v>
      </c>
      <c r="E19" s="60" t="s">
        <v>393</v>
      </c>
      <c r="F19" s="60" t="s">
        <v>393</v>
      </c>
      <c r="G19" s="60" t="s">
        <v>393</v>
      </c>
      <c r="H19" s="60" t="s">
        <v>393</v>
      </c>
      <c r="I19" s="60" t="s">
        <v>393</v>
      </c>
    </row>
    <row r="20" spans="1:9" x14ac:dyDescent="0.25">
      <c r="A20" s="172" t="str">
        <f>HYPERLINK("[OpenSolver Tester.xlsm]Test4!A1", "Test4")</f>
        <v>Test4</v>
      </c>
      <c r="B20" s="60" t="s">
        <v>393</v>
      </c>
      <c r="C20" s="60" t="s">
        <v>393</v>
      </c>
      <c r="D20" s="60" t="s">
        <v>393</v>
      </c>
      <c r="E20" s="60" t="s">
        <v>393</v>
      </c>
      <c r="F20" s="60" t="s">
        <v>393</v>
      </c>
      <c r="G20" s="60" t="s">
        <v>393</v>
      </c>
      <c r="H20" s="60" t="s">
        <v>393</v>
      </c>
      <c r="I20" s="60" t="s">
        <v>393</v>
      </c>
    </row>
    <row r="21" spans="1:9" x14ac:dyDescent="0.25">
      <c r="A21" s="172" t="str">
        <f>HYPERLINK("[OpenSolver Tester.xlsm]Test5!A1", "Test5")</f>
        <v>Test5</v>
      </c>
      <c r="B21" s="60" t="s">
        <v>393</v>
      </c>
      <c r="C21" s="60" t="s">
        <v>393</v>
      </c>
      <c r="D21" s="60" t="s">
        <v>393</v>
      </c>
      <c r="E21" s="60" t="s">
        <v>393</v>
      </c>
      <c r="F21" s="60" t="s">
        <v>393</v>
      </c>
      <c r="G21" s="60" t="s">
        <v>393</v>
      </c>
      <c r="H21" s="60" t="s">
        <v>393</v>
      </c>
      <c r="I21" s="60" t="s">
        <v>393</v>
      </c>
    </row>
    <row r="22" spans="1:9" x14ac:dyDescent="0.25">
      <c r="A22" s="172" t="str">
        <f>HYPERLINK("[OpenSolver Tester.xlsm]Test!6!A1", "Test!6")</f>
        <v>Test!6</v>
      </c>
      <c r="B22" s="60" t="s">
        <v>393</v>
      </c>
      <c r="C22" s="60" t="s">
        <v>393</v>
      </c>
      <c r="D22" s="60" t="s">
        <v>393</v>
      </c>
      <c r="E22" s="60" t="s">
        <v>393</v>
      </c>
      <c r="F22" s="60" t="s">
        <v>393</v>
      </c>
      <c r="G22" s="60" t="s">
        <v>393</v>
      </c>
      <c r="H22" s="60" t="s">
        <v>393</v>
      </c>
      <c r="I22" s="60" t="s">
        <v>393</v>
      </c>
    </row>
    <row r="23" spans="1:9" x14ac:dyDescent="0.25">
      <c r="A23" s="172" t="str">
        <f>HYPERLINK("[OpenSolver Tester.xlsm]Test7!A1", "Test7")</f>
        <v>Test7</v>
      </c>
      <c r="B23" s="60" t="s">
        <v>393</v>
      </c>
      <c r="C23" s="60" t="s">
        <v>393</v>
      </c>
      <c r="D23" s="60" t="s">
        <v>393</v>
      </c>
      <c r="E23" s="60" t="s">
        <v>393</v>
      </c>
      <c r="F23" s="60" t="s">
        <v>393</v>
      </c>
      <c r="G23" s="60" t="s">
        <v>393</v>
      </c>
      <c r="H23" s="60" t="s">
        <v>393</v>
      </c>
      <c r="I23" s="60" t="s">
        <v>393</v>
      </c>
    </row>
    <row r="24" spans="1:9" x14ac:dyDescent="0.25">
      <c r="A24" s="172" t="str">
        <f>HYPERLINK("[OpenSolver Tester.xlsm]Test8!A1", "Test8")</f>
        <v>Test8</v>
      </c>
      <c r="B24" s="60" t="s">
        <v>393</v>
      </c>
      <c r="C24" s="60" t="s">
        <v>393</v>
      </c>
      <c r="D24" s="60" t="s">
        <v>393</v>
      </c>
      <c r="E24" s="60" t="s">
        <v>393</v>
      </c>
      <c r="F24" s="60" t="s">
        <v>393</v>
      </c>
      <c r="G24" s="60" t="s">
        <v>393</v>
      </c>
      <c r="H24" s="60" t="s">
        <v>393</v>
      </c>
      <c r="I24" s="60" t="s">
        <v>393</v>
      </c>
    </row>
    <row r="25" spans="1:9" x14ac:dyDescent="0.25">
      <c r="A25" s="172" t="str">
        <f>HYPERLINK("[OpenSolver Tester.xlsm]Test8B!A1", "Test8B")</f>
        <v>Test8B</v>
      </c>
      <c r="B25" s="60" t="s">
        <v>393</v>
      </c>
      <c r="C25" s="60" t="s">
        <v>393</v>
      </c>
      <c r="D25" s="60" t="s">
        <v>393</v>
      </c>
      <c r="E25" s="60" t="s">
        <v>393</v>
      </c>
      <c r="F25" s="60" t="s">
        <v>393</v>
      </c>
      <c r="G25" s="60" t="s">
        <v>393</v>
      </c>
      <c r="H25" s="60" t="s">
        <v>393</v>
      </c>
      <c r="I25" s="60" t="s">
        <v>393</v>
      </c>
    </row>
    <row r="26" spans="1:9" x14ac:dyDescent="0.25">
      <c r="A26" s="172" t="str">
        <f>HYPERLINK("[OpenSolver Tester.xlsm]Test9A!A1", "Test9A")</f>
        <v>Test9A</v>
      </c>
      <c r="B26" s="60" t="s">
        <v>393</v>
      </c>
      <c r="C26" s="60" t="s">
        <v>393</v>
      </c>
      <c r="D26" s="60" t="s">
        <v>393</v>
      </c>
      <c r="E26" s="60" t="s">
        <v>393</v>
      </c>
      <c r="F26" s="60" t="s">
        <v>393</v>
      </c>
      <c r="G26" s="60" t="s">
        <v>393</v>
      </c>
      <c r="H26" s="60" t="s">
        <v>434</v>
      </c>
      <c r="I26" s="60" t="s">
        <v>393</v>
      </c>
    </row>
    <row r="27" spans="1:9" x14ac:dyDescent="0.25">
      <c r="A27" s="172" t="str">
        <f>HYPERLINK("[OpenSolver Tester.xlsm]Test9B!A1", "Test9B")</f>
        <v>Test9B</v>
      </c>
      <c r="B27" s="60" t="s">
        <v>393</v>
      </c>
      <c r="C27" s="60" t="s">
        <v>393</v>
      </c>
      <c r="D27" s="60" t="s">
        <v>393</v>
      </c>
      <c r="E27" s="60" t="s">
        <v>393</v>
      </c>
      <c r="F27" s="60" t="s">
        <v>393</v>
      </c>
      <c r="G27" s="60" t="s">
        <v>393</v>
      </c>
      <c r="H27" s="60" t="s">
        <v>393</v>
      </c>
      <c r="I27" s="60" t="s">
        <v>393</v>
      </c>
    </row>
    <row r="28" spans="1:9" x14ac:dyDescent="0.25">
      <c r="A28" s="172" t="str">
        <f>HYPERLINK("[OpenSolver Tester.xlsm]Test10!A1", "Test10")</f>
        <v>Test10</v>
      </c>
      <c r="B28" s="60" t="s">
        <v>393</v>
      </c>
      <c r="C28" s="60" t="s">
        <v>393</v>
      </c>
      <c r="D28" s="60" t="s">
        <v>393</v>
      </c>
      <c r="E28" s="60" t="s">
        <v>393</v>
      </c>
      <c r="F28" s="60" t="s">
        <v>393</v>
      </c>
      <c r="G28" s="60" t="s">
        <v>393</v>
      </c>
      <c r="H28" s="60" t="s">
        <v>393</v>
      </c>
      <c r="I28" s="60" t="s">
        <v>393</v>
      </c>
    </row>
    <row r="29" spans="1:9" x14ac:dyDescent="0.25">
      <c r="A29" s="172" t="str">
        <f>HYPERLINK("[OpenSolver Tester.xlsm]Test11!A1", "Test11")</f>
        <v>Test11</v>
      </c>
      <c r="B29" s="60" t="s">
        <v>393</v>
      </c>
      <c r="C29" s="60" t="s">
        <v>393</v>
      </c>
      <c r="D29" s="60" t="s">
        <v>393</v>
      </c>
      <c r="E29" s="60" t="s">
        <v>393</v>
      </c>
      <c r="F29" s="60" t="s">
        <v>393</v>
      </c>
      <c r="G29" s="60" t="s">
        <v>435</v>
      </c>
      <c r="H29" s="60" t="s">
        <v>393</v>
      </c>
      <c r="I29" s="60" t="s">
        <v>393</v>
      </c>
    </row>
    <row r="30" spans="1:9" x14ac:dyDescent="0.25">
      <c r="A30" s="172" t="str">
        <f>HYPERLINK("[OpenSolver Tester.xlsm]Test12!A1", "Test12")</f>
        <v>Test12</v>
      </c>
      <c r="B30" s="60" t="s">
        <v>393</v>
      </c>
      <c r="C30" s="60" t="s">
        <v>393</v>
      </c>
      <c r="D30" s="60" t="s">
        <v>393</v>
      </c>
      <c r="E30" s="60" t="s">
        <v>393</v>
      </c>
      <c r="F30" s="60" t="s">
        <v>393</v>
      </c>
      <c r="G30" s="60" t="s">
        <v>435</v>
      </c>
      <c r="H30" s="60" t="s">
        <v>393</v>
      </c>
      <c r="I30" s="60" t="s">
        <v>393</v>
      </c>
    </row>
    <row r="31" spans="1:9" x14ac:dyDescent="0.25">
      <c r="A31" s="172" t="str">
        <f>HYPERLINK("[OpenSolver Tester.xlsm]Test13!A1", "Test13")</f>
        <v>Test13</v>
      </c>
      <c r="B31" s="60" t="s">
        <v>393</v>
      </c>
      <c r="C31" s="60" t="s">
        <v>393</v>
      </c>
      <c r="D31" s="60" t="s">
        <v>393</v>
      </c>
      <c r="E31" s="60" t="s">
        <v>393</v>
      </c>
      <c r="F31" s="60" t="s">
        <v>393</v>
      </c>
      <c r="G31" s="60" t="s">
        <v>435</v>
      </c>
      <c r="H31" s="60" t="s">
        <v>393</v>
      </c>
      <c r="I31" s="60" t="s">
        <v>393</v>
      </c>
    </row>
    <row r="32" spans="1:9" x14ac:dyDescent="0.25">
      <c r="A32" s="172" t="str">
        <f>HYPERLINK("[OpenSolver Tester.xlsm]Test13b!A1", "Test13b")</f>
        <v>Test13b</v>
      </c>
      <c r="B32" s="60" t="s">
        <v>393</v>
      </c>
      <c r="C32" s="60" t="s">
        <v>393</v>
      </c>
      <c r="D32" s="60" t="s">
        <v>393</v>
      </c>
      <c r="E32" s="60" t="s">
        <v>393</v>
      </c>
      <c r="F32" s="60" t="s">
        <v>393</v>
      </c>
      <c r="G32" s="60" t="s">
        <v>435</v>
      </c>
      <c r="H32" s="60" t="s">
        <v>393</v>
      </c>
      <c r="I32" s="60" t="s">
        <v>393</v>
      </c>
    </row>
    <row r="33" spans="1:9" x14ac:dyDescent="0.25">
      <c r="A33" s="172" t="str">
        <f>HYPERLINK("[OpenSolver Tester.xlsm]Test14!A1", "Test14")</f>
        <v>Test14</v>
      </c>
      <c r="B33" s="60" t="s">
        <v>393</v>
      </c>
      <c r="C33" s="60" t="s">
        <v>393</v>
      </c>
      <c r="D33" s="60" t="s">
        <v>393</v>
      </c>
      <c r="E33" s="60" t="s">
        <v>393</v>
      </c>
      <c r="F33" s="60" t="s">
        <v>393</v>
      </c>
      <c r="G33" s="60" t="s">
        <v>393</v>
      </c>
      <c r="H33" s="60" t="s">
        <v>393</v>
      </c>
      <c r="I33" s="60" t="s">
        <v>393</v>
      </c>
    </row>
    <row r="34" spans="1:9" x14ac:dyDescent="0.25">
      <c r="A34" s="172" t="str">
        <f>HYPERLINK("[OpenSolver Tester.xlsm]Test15!A1", "Test15")</f>
        <v>Test15</v>
      </c>
      <c r="B34" s="60" t="s">
        <v>393</v>
      </c>
      <c r="C34" s="60" t="s">
        <v>393</v>
      </c>
      <c r="D34" s="60" t="s">
        <v>393</v>
      </c>
      <c r="E34" s="60" t="s">
        <v>393</v>
      </c>
      <c r="F34" s="60" t="s">
        <v>393</v>
      </c>
      <c r="G34" s="60" t="s">
        <v>393</v>
      </c>
      <c r="H34" s="60" t="s">
        <v>393</v>
      </c>
      <c r="I34" s="60" t="s">
        <v>393</v>
      </c>
    </row>
    <row r="35" spans="1:9" x14ac:dyDescent="0.25">
      <c r="A35" s="172" t="str">
        <f>HYPERLINK("[OpenSolver Tester.xlsm]Test15b!A1", "Test15b")</f>
        <v>Test15b</v>
      </c>
      <c r="B35" s="60" t="s">
        <v>393</v>
      </c>
      <c r="C35" s="60" t="s">
        <v>393</v>
      </c>
      <c r="D35" s="60" t="s">
        <v>393</v>
      </c>
      <c r="E35" s="60" t="s">
        <v>393</v>
      </c>
      <c r="F35" s="60" t="s">
        <v>393</v>
      </c>
      <c r="G35" s="60" t="s">
        <v>393</v>
      </c>
      <c r="H35" s="60" t="s">
        <v>393</v>
      </c>
      <c r="I35" s="60" t="s">
        <v>393</v>
      </c>
    </row>
    <row r="36" spans="1:9" x14ac:dyDescent="0.25">
      <c r="A36" s="172" t="str">
        <f>HYPERLINK("[OpenSolver Tester.xlsm]Test15c!A1", "Test15c")</f>
        <v>Test15c</v>
      </c>
      <c r="B36" s="60" t="s">
        <v>393</v>
      </c>
      <c r="C36" s="60" t="s">
        <v>393</v>
      </c>
      <c r="D36" s="60" t="s">
        <v>393</v>
      </c>
      <c r="E36" s="60" t="s">
        <v>393</v>
      </c>
      <c r="F36" s="60" t="s">
        <v>393</v>
      </c>
      <c r="G36" s="60" t="s">
        <v>393</v>
      </c>
      <c r="H36" s="60" t="s">
        <v>434</v>
      </c>
      <c r="I36" s="60" t="s">
        <v>393</v>
      </c>
    </row>
    <row r="37" spans="1:9" x14ac:dyDescent="0.25">
      <c r="A37" s="172" t="str">
        <f>HYPERLINK("[OpenSolver Tester.xlsm]Test15d!A1", "Test15d")</f>
        <v>Test15d</v>
      </c>
      <c r="B37" s="60" t="s">
        <v>393</v>
      </c>
      <c r="C37" s="60" t="s">
        <v>393</v>
      </c>
      <c r="D37" s="60" t="s">
        <v>393</v>
      </c>
      <c r="E37" s="60" t="s">
        <v>393</v>
      </c>
      <c r="F37" s="60" t="s">
        <v>393</v>
      </c>
      <c r="G37" s="60" t="s">
        <v>393</v>
      </c>
      <c r="H37" s="60" t="s">
        <v>434</v>
      </c>
      <c r="I37" s="60" t="s">
        <v>393</v>
      </c>
    </row>
    <row r="38" spans="1:9" x14ac:dyDescent="0.25">
      <c r="A38" s="172" t="str">
        <f>HYPERLINK("[OpenSolver Tester.xlsm]Test15e_Relax!A1", "Test15e_Relax")</f>
        <v>Test15e_Relax</v>
      </c>
      <c r="B38" s="60" t="s">
        <v>393</v>
      </c>
      <c r="C38" s="180" t="s">
        <v>393</v>
      </c>
      <c r="D38" s="60" t="s">
        <v>393</v>
      </c>
      <c r="E38" s="60" t="s">
        <v>393</v>
      </c>
      <c r="F38" s="60" t="s">
        <v>393</v>
      </c>
      <c r="G38" s="60" t="s">
        <v>393</v>
      </c>
      <c r="H38" s="60" t="s">
        <v>393</v>
      </c>
      <c r="I38" s="60" t="s">
        <v>393</v>
      </c>
    </row>
    <row r="39" spans="1:9" x14ac:dyDescent="0.25">
      <c r="A39" s="172" t="str">
        <f>HYPERLINK("[OpenSolver Tester.xlsm]Test16!A1", "Test16")</f>
        <v>Test16</v>
      </c>
      <c r="B39" s="60" t="s">
        <v>393</v>
      </c>
      <c r="C39" s="60" t="s">
        <v>393</v>
      </c>
      <c r="D39" s="60" t="s">
        <v>393</v>
      </c>
      <c r="E39" s="60" t="s">
        <v>393</v>
      </c>
      <c r="F39" s="60" t="s">
        <v>393</v>
      </c>
      <c r="G39" s="60" t="s">
        <v>393</v>
      </c>
      <c r="H39" s="60" t="s">
        <v>393</v>
      </c>
      <c r="I39" s="60" t="s">
        <v>393</v>
      </c>
    </row>
    <row r="40" spans="1:9" x14ac:dyDescent="0.25">
      <c r="A40" s="172" t="str">
        <f>HYPERLINK("[OpenSolver Tester.xlsm]Test16b!A1", "Test16b")</f>
        <v>Test16b</v>
      </c>
      <c r="B40" s="60" t="s">
        <v>393</v>
      </c>
      <c r="C40" s="60" t="s">
        <v>393</v>
      </c>
      <c r="D40" s="60" t="s">
        <v>393</v>
      </c>
      <c r="E40" s="60" t="s">
        <v>393</v>
      </c>
      <c r="F40" s="60" t="s">
        <v>393</v>
      </c>
      <c r="G40" s="60" t="s">
        <v>393</v>
      </c>
      <c r="H40" s="60" t="s">
        <v>393</v>
      </c>
      <c r="I40" s="60" t="s">
        <v>393</v>
      </c>
    </row>
    <row r="41" spans="1:9" x14ac:dyDescent="0.25">
      <c r="A41" s="172" t="str">
        <f>HYPERLINK("[OpenSolver Tester.xlsm]Test17!A1", "Test17")</f>
        <v>Test17</v>
      </c>
      <c r="B41" s="60" t="s">
        <v>393</v>
      </c>
      <c r="C41" s="60" t="s">
        <v>393</v>
      </c>
      <c r="D41" s="60" t="s">
        <v>393</v>
      </c>
      <c r="E41" s="60" t="s">
        <v>393</v>
      </c>
      <c r="F41" s="60" t="s">
        <v>393</v>
      </c>
      <c r="G41" s="60" t="s">
        <v>393</v>
      </c>
      <c r="H41" s="60" t="s">
        <v>393</v>
      </c>
      <c r="I41" s="60" t="s">
        <v>393</v>
      </c>
    </row>
    <row r="42" spans="1:9" x14ac:dyDescent="0.25">
      <c r="A42" s="172" t="str">
        <f>HYPERLINK("[OpenSolver Tester.xlsm]Test18!A1", "Test18")</f>
        <v>Test18</v>
      </c>
      <c r="B42" s="60" t="s">
        <v>393</v>
      </c>
      <c r="C42" s="60" t="s">
        <v>393</v>
      </c>
      <c r="D42" s="60" t="s">
        <v>393</v>
      </c>
      <c r="E42" s="60" t="s">
        <v>393</v>
      </c>
      <c r="F42" s="60" t="s">
        <v>393</v>
      </c>
      <c r="G42" s="60" t="s">
        <v>393</v>
      </c>
      <c r="H42" s="60" t="s">
        <v>393</v>
      </c>
      <c r="I42" s="60" t="s">
        <v>393</v>
      </c>
    </row>
    <row r="43" spans="1:9" x14ac:dyDescent="0.25">
      <c r="A43" s="172" t="str">
        <f>HYPERLINK("[OpenSolver Tester.xlsm]Test19!A1", "Test19")</f>
        <v>Test19</v>
      </c>
      <c r="B43" s="60" t="s">
        <v>393</v>
      </c>
      <c r="C43" s="60" t="s">
        <v>393</v>
      </c>
      <c r="D43" s="60" t="s">
        <v>393</v>
      </c>
      <c r="E43" s="60" t="s">
        <v>393</v>
      </c>
      <c r="F43" s="60" t="s">
        <v>393</v>
      </c>
      <c r="G43" s="60" t="s">
        <v>393</v>
      </c>
      <c r="H43" s="60" t="s">
        <v>393</v>
      </c>
      <c r="I43" s="60" t="s">
        <v>393</v>
      </c>
    </row>
    <row r="44" spans="1:9" x14ac:dyDescent="0.25">
      <c r="A44" s="172" t="str">
        <f>HYPERLINK("[OpenSolver Tester.xlsm]Test20!A1", "Test20")</f>
        <v>Test20</v>
      </c>
      <c r="B44" s="60" t="s">
        <v>393</v>
      </c>
      <c r="C44" s="60" t="s">
        <v>393</v>
      </c>
      <c r="D44" s="60" t="s">
        <v>393</v>
      </c>
      <c r="E44" s="60" t="s">
        <v>393</v>
      </c>
      <c r="F44" s="60" t="s">
        <v>393</v>
      </c>
      <c r="G44" s="60" t="s">
        <v>393</v>
      </c>
      <c r="H44" s="60" t="s">
        <v>393</v>
      </c>
      <c r="I44" s="60" t="s">
        <v>393</v>
      </c>
    </row>
    <row r="45" spans="1:9" x14ac:dyDescent="0.25">
      <c r="A45" s="172" t="str">
        <f>HYPERLINK("[OpenSolver Tester.xlsm]Test21!A1", "Test21")</f>
        <v>Test21</v>
      </c>
      <c r="B45" s="60" t="s">
        <v>393</v>
      </c>
      <c r="C45" s="60" t="s">
        <v>393</v>
      </c>
      <c r="D45" s="60" t="s">
        <v>393</v>
      </c>
      <c r="E45" s="60" t="s">
        <v>393</v>
      </c>
      <c r="F45" s="60" t="s">
        <v>393</v>
      </c>
      <c r="G45" s="60" t="s">
        <v>393</v>
      </c>
      <c r="H45" s="60" t="s">
        <v>393</v>
      </c>
      <c r="I45" s="60" t="s">
        <v>393</v>
      </c>
    </row>
    <row r="46" spans="1:9" x14ac:dyDescent="0.25">
      <c r="A46" s="172" t="str">
        <f>HYPERLINK("[OpenSolver Tester.xlsm]Test22!A1", "Test22")</f>
        <v>Test22</v>
      </c>
      <c r="B46" s="60" t="s">
        <v>393</v>
      </c>
      <c r="C46" s="60" t="s">
        <v>393</v>
      </c>
      <c r="D46" s="60" t="s">
        <v>393</v>
      </c>
      <c r="E46" s="60" t="s">
        <v>393</v>
      </c>
      <c r="F46" s="60" t="s">
        <v>393</v>
      </c>
      <c r="G46" s="60" t="s">
        <v>393</v>
      </c>
      <c r="H46" s="60" t="s">
        <v>434</v>
      </c>
      <c r="I46" s="60" t="s">
        <v>393</v>
      </c>
    </row>
    <row r="47" spans="1:9" x14ac:dyDescent="0.25">
      <c r="A47" s="172" t="str">
        <f>HYPERLINK("[OpenSolver Tester.xlsm]Test23!A1", "Test23")</f>
        <v>Test23</v>
      </c>
      <c r="B47" s="60" t="s">
        <v>393</v>
      </c>
      <c r="C47" s="60" t="s">
        <v>393</v>
      </c>
      <c r="D47" s="60" t="s">
        <v>393</v>
      </c>
      <c r="E47" s="60" t="s">
        <v>393</v>
      </c>
      <c r="F47" s="60" t="s">
        <v>393</v>
      </c>
      <c r="G47" s="60" t="s">
        <v>393</v>
      </c>
      <c r="H47" s="60" t="s">
        <v>434</v>
      </c>
      <c r="I47" s="60" t="s">
        <v>393</v>
      </c>
    </row>
    <row r="48" spans="1:9" x14ac:dyDescent="0.25">
      <c r="A48" s="172" t="str">
        <f>HYPERLINK("[OpenSolver Tester.xlsm]Test24_IterativeCalc!A1", "Test24_IterativeCalc")</f>
        <v>Test24_IterativeCalc</v>
      </c>
      <c r="B48" s="60" t="s">
        <v>393</v>
      </c>
      <c r="C48" s="60" t="s">
        <v>393</v>
      </c>
      <c r="D48" s="60" t="s">
        <v>393</v>
      </c>
      <c r="E48" s="60" t="s">
        <v>393</v>
      </c>
      <c r="F48" s="60" t="s">
        <v>393</v>
      </c>
      <c r="G48" s="60" t="s">
        <v>393</v>
      </c>
      <c r="H48" s="60" t="s">
        <v>393</v>
      </c>
      <c r="I48" s="60" t="s">
        <v>393</v>
      </c>
    </row>
    <row r="49" spans="1:9" x14ac:dyDescent="0.25">
      <c r="A49" s="172" t="str">
        <f>HYPERLINK("[OpenSolver Tester.xlsm]Test25!A1", "Test25")</f>
        <v>Test25</v>
      </c>
      <c r="B49" s="60" t="s">
        <v>393</v>
      </c>
      <c r="C49" s="60" t="s">
        <v>393</v>
      </c>
      <c r="D49" s="60" t="s">
        <v>393</v>
      </c>
      <c r="E49" s="60" t="s">
        <v>393</v>
      </c>
      <c r="F49" s="60" t="s">
        <v>393</v>
      </c>
      <c r="G49" s="60" t="s">
        <v>393</v>
      </c>
      <c r="H49" s="60" t="s">
        <v>393</v>
      </c>
      <c r="I49" s="60" t="s">
        <v>393</v>
      </c>
    </row>
    <row r="50" spans="1:9" x14ac:dyDescent="0.25">
      <c r="A50" s="172" t="str">
        <f>HYPERLINK("[OpenSolver Tester.xlsm]Test26!A1", "Test26")</f>
        <v>Test26</v>
      </c>
      <c r="B50" s="60" t="s">
        <v>393</v>
      </c>
      <c r="C50" s="60" t="s">
        <v>393</v>
      </c>
      <c r="D50" s="60" t="s">
        <v>393</v>
      </c>
      <c r="E50" s="60" t="s">
        <v>393</v>
      </c>
      <c r="F50" s="60" t="s">
        <v>393</v>
      </c>
      <c r="G50" s="60" t="s">
        <v>393</v>
      </c>
      <c r="H50" s="60" t="s">
        <v>393</v>
      </c>
      <c r="I50" s="60" t="s">
        <v>393</v>
      </c>
    </row>
    <row r="51" spans="1:9" x14ac:dyDescent="0.25">
      <c r="A51" s="172" t="str">
        <f>HYPERLINK("[OpenSolver Tester.xlsm]Test27_Parameters!A1", "Test27_Parameters")</f>
        <v>Test27_Parameters</v>
      </c>
      <c r="B51" s="60" t="s">
        <v>393</v>
      </c>
      <c r="C51" s="60" t="s">
        <v>393</v>
      </c>
      <c r="D51" s="60" t="s">
        <v>393</v>
      </c>
      <c r="E51" s="60" t="s">
        <v>436</v>
      </c>
      <c r="F51" s="60" t="s">
        <v>436</v>
      </c>
      <c r="G51" s="60" t="s">
        <v>436</v>
      </c>
      <c r="H51" s="60" t="s">
        <v>436</v>
      </c>
      <c r="I51" s="60" t="s">
        <v>436</v>
      </c>
    </row>
    <row r="52" spans="1:9" x14ac:dyDescent="0.25">
      <c r="A52" s="172" t="str">
        <f>HYPERLINK("[OpenSolver Tester.xlsm]Test28_CBCOptions!A1", "Test28_CBCOptions")</f>
        <v>Test28_CBCOptions</v>
      </c>
      <c r="B52" s="60" t="s">
        <v>393</v>
      </c>
      <c r="C52" s="60" t="s">
        <v>393</v>
      </c>
      <c r="D52" s="60" t="s">
        <v>393</v>
      </c>
      <c r="E52" s="60" t="s">
        <v>434</v>
      </c>
      <c r="F52" s="60" t="s">
        <v>393</v>
      </c>
      <c r="G52" s="60" t="s">
        <v>434</v>
      </c>
      <c r="H52" s="60" t="s">
        <v>434</v>
      </c>
      <c r="I52" s="60" t="s">
        <v>395</v>
      </c>
    </row>
    <row r="53" spans="1:9" x14ac:dyDescent="0.25">
      <c r="A53" s="172" t="str">
        <f>HYPERLINK("[OpenSolver Tester.xlsm]Test29!A1", "Test29")</f>
        <v>Test29</v>
      </c>
      <c r="B53" s="60" t="s">
        <v>393</v>
      </c>
      <c r="C53" s="60" t="s">
        <v>393</v>
      </c>
      <c r="D53" s="60" t="s">
        <v>393</v>
      </c>
      <c r="E53" s="60" t="s">
        <v>393</v>
      </c>
      <c r="F53" s="60" t="s">
        <v>393</v>
      </c>
      <c r="G53" s="60" t="s">
        <v>393</v>
      </c>
      <c r="H53" s="60" t="s">
        <v>393</v>
      </c>
      <c r="I53" s="60" t="s">
        <v>393</v>
      </c>
    </row>
    <row r="54" spans="1:9" x14ac:dyDescent="0.25">
      <c r="A54" s="172" t="str">
        <f>HYPERLINK("[OpenSolver Tester.xlsm]Test30!A1", "Test30")</f>
        <v>Test30</v>
      </c>
      <c r="B54" s="60" t="s">
        <v>393</v>
      </c>
      <c r="C54" s="60" t="s">
        <v>393</v>
      </c>
      <c r="D54" s="60" t="s">
        <v>393</v>
      </c>
      <c r="E54" s="60" t="s">
        <v>393</v>
      </c>
      <c r="F54" s="60" t="s">
        <v>393</v>
      </c>
      <c r="G54" s="60" t="s">
        <v>393</v>
      </c>
      <c r="H54" s="60" t="s">
        <v>393</v>
      </c>
      <c r="I54" s="60" t="s">
        <v>393</v>
      </c>
    </row>
    <row r="55" spans="1:9" x14ac:dyDescent="0.25">
      <c r="A55" s="172" t="str">
        <f>HYPERLINK("[OpenSolver Tester.xlsm]Test31!A1", "Test31")</f>
        <v>Test31</v>
      </c>
      <c r="B55" s="60" t="s">
        <v>393</v>
      </c>
      <c r="C55" s="60" t="s">
        <v>393</v>
      </c>
      <c r="D55" s="60" t="s">
        <v>393</v>
      </c>
      <c r="E55" s="60" t="s">
        <v>393</v>
      </c>
      <c r="F55" s="60" t="s">
        <v>393</v>
      </c>
      <c r="G55" s="60" t="s">
        <v>393</v>
      </c>
      <c r="H55" s="60" t="s">
        <v>393</v>
      </c>
      <c r="I55" s="60" t="s">
        <v>393</v>
      </c>
    </row>
    <row r="56" spans="1:9" x14ac:dyDescent="0.25">
      <c r="A56" s="172" t="str">
        <f>HYPERLINK("[OpenSolver Tester.xlsm]Test32!A1", "Test32")</f>
        <v>Test32</v>
      </c>
      <c r="B56" s="60" t="s">
        <v>393</v>
      </c>
      <c r="C56" s="60" t="s">
        <v>393</v>
      </c>
      <c r="D56" s="60" t="s">
        <v>393</v>
      </c>
      <c r="E56" s="60" t="s">
        <v>393</v>
      </c>
      <c r="F56" s="60" t="s">
        <v>393</v>
      </c>
      <c r="G56" s="60" t="s">
        <v>393</v>
      </c>
      <c r="H56" s="60" t="s">
        <v>393</v>
      </c>
      <c r="I56" s="60" t="s">
        <v>393</v>
      </c>
    </row>
    <row r="57" spans="1:9" x14ac:dyDescent="0.25">
      <c r="A57" s="172" t="str">
        <f>HYPERLINK("[OpenSolver Tester.xlsm]Test33!A1", "Test33")</f>
        <v>Test33</v>
      </c>
      <c r="B57" s="60" t="s">
        <v>393</v>
      </c>
      <c r="C57" s="60" t="s">
        <v>393</v>
      </c>
      <c r="D57" s="60" t="s">
        <v>393</v>
      </c>
      <c r="E57" s="60" t="s">
        <v>393</v>
      </c>
      <c r="F57" s="60" t="s">
        <v>393</v>
      </c>
      <c r="G57" s="60" t="s">
        <v>393</v>
      </c>
      <c r="H57" s="60" t="s">
        <v>393</v>
      </c>
      <c r="I57" s="60" t="s">
        <v>393</v>
      </c>
    </row>
    <row r="58" spans="1:9" x14ac:dyDescent="0.25">
      <c r="A58" s="172" t="str">
        <f>HYPERLINK("[OpenSolver Tester.xlsm]Test34!A1", "Test34")</f>
        <v>Test34</v>
      </c>
      <c r="B58" s="60" t="s">
        <v>393</v>
      </c>
      <c r="C58" s="60" t="s">
        <v>393</v>
      </c>
      <c r="D58" s="60" t="s">
        <v>393</v>
      </c>
      <c r="E58" s="60" t="s">
        <v>393</v>
      </c>
      <c r="F58" s="60" t="s">
        <v>393</v>
      </c>
      <c r="G58" s="60" t="s">
        <v>393</v>
      </c>
      <c r="H58" s="60" t="s">
        <v>393</v>
      </c>
      <c r="I58" s="60" t="s">
        <v>393</v>
      </c>
    </row>
    <row r="59" spans="1:9" x14ac:dyDescent="0.25">
      <c r="A59" s="172" t="str">
        <f>HYPERLINK("[OpenSolver Tester.xlsm]Test35!A1", "Test35")</f>
        <v>Test35</v>
      </c>
      <c r="B59" s="60" t="s">
        <v>393</v>
      </c>
      <c r="C59" s="60" t="s">
        <v>393</v>
      </c>
      <c r="D59" s="60" t="s">
        <v>393</v>
      </c>
      <c r="E59" s="60" t="s">
        <v>393</v>
      </c>
      <c r="F59" s="60" t="s">
        <v>393</v>
      </c>
      <c r="G59" s="60" t="s">
        <v>435</v>
      </c>
      <c r="H59" s="60" t="s">
        <v>393</v>
      </c>
      <c r="I59" s="60" t="s">
        <v>393</v>
      </c>
    </row>
    <row r="60" spans="1:9" x14ac:dyDescent="0.25">
      <c r="A60" s="172" t="str">
        <f>HYPERLINK("[OpenSolver Tester.xlsm]Test36!A1", "Test36")</f>
        <v>Test36</v>
      </c>
      <c r="B60" s="60" t="s">
        <v>393</v>
      </c>
      <c r="C60" s="60" t="s">
        <v>393</v>
      </c>
      <c r="D60" s="60" t="s">
        <v>393</v>
      </c>
      <c r="E60" s="60" t="s">
        <v>434</v>
      </c>
      <c r="F60" s="60" t="s">
        <v>393</v>
      </c>
      <c r="G60" s="60" t="s">
        <v>393</v>
      </c>
      <c r="H60" s="60" t="s">
        <v>434</v>
      </c>
      <c r="I60" s="60" t="s">
        <v>393</v>
      </c>
    </row>
    <row r="61" spans="1:9" x14ac:dyDescent="0.25">
      <c r="A61" s="172" t="str">
        <f>HYPERLINK("[OpenSolver Tester.xlsm]Test37!A1", "Test37")</f>
        <v>Test37</v>
      </c>
      <c r="B61" s="60" t="s">
        <v>393</v>
      </c>
      <c r="C61" s="60" t="s">
        <v>393</v>
      </c>
      <c r="D61" s="60" t="s">
        <v>393</v>
      </c>
      <c r="E61" s="60" t="s">
        <v>393</v>
      </c>
      <c r="F61" s="60" t="s">
        <v>393</v>
      </c>
      <c r="G61" s="60" t="s">
        <v>393</v>
      </c>
      <c r="H61" s="60" t="s">
        <v>393</v>
      </c>
      <c r="I61" s="60" t="s">
        <v>393</v>
      </c>
    </row>
    <row r="62" spans="1:9" x14ac:dyDescent="0.25">
      <c r="A62" s="172" t="str">
        <f>HYPERLINK("[OpenSolver Tester.xlsm]Test38!A1", "Test38")</f>
        <v>Test38</v>
      </c>
      <c r="B62" s="60" t="s">
        <v>393</v>
      </c>
      <c r="C62" s="60" t="s">
        <v>393</v>
      </c>
      <c r="D62" s="60" t="s">
        <v>393</v>
      </c>
      <c r="E62" s="60" t="s">
        <v>393</v>
      </c>
      <c r="F62" s="60" t="s">
        <v>393</v>
      </c>
      <c r="G62" s="60" t="s">
        <v>393</v>
      </c>
      <c r="H62" s="60" t="s">
        <v>393</v>
      </c>
      <c r="I62" s="60" t="s">
        <v>393</v>
      </c>
    </row>
    <row r="63" spans="1:9" x14ac:dyDescent="0.25">
      <c r="A63" s="172" t="str">
        <f>HYPERLINK("[OpenSolver Tester.xlsm]Test39_SensNames!A1", "Test39_SensNames")</f>
        <v>Test39_SensNames</v>
      </c>
      <c r="B63" s="60" t="s">
        <v>393</v>
      </c>
      <c r="C63" s="60" t="s">
        <v>393</v>
      </c>
      <c r="D63" s="60" t="s">
        <v>393</v>
      </c>
      <c r="E63" s="60" t="s">
        <v>393</v>
      </c>
      <c r="F63" s="60" t="s">
        <v>393</v>
      </c>
      <c r="G63" s="60" t="s">
        <v>393</v>
      </c>
      <c r="H63" s="60" t="s">
        <v>393</v>
      </c>
      <c r="I63" s="60" t="s">
        <v>393</v>
      </c>
    </row>
    <row r="64" spans="1:9" x14ac:dyDescent="0.25">
      <c r="A64" s="172" t="str">
        <f>HYPERLINK("[OpenSolver Tester.xlsm]Test39_SensNames2!A1", "Test39_SensNames2")</f>
        <v>Test39_SensNames2</v>
      </c>
      <c r="B64" s="60" t="s">
        <v>393</v>
      </c>
      <c r="C64" s="60" t="s">
        <v>393</v>
      </c>
      <c r="D64" s="60" t="s">
        <v>393</v>
      </c>
      <c r="E64" s="60" t="s">
        <v>393</v>
      </c>
      <c r="F64" s="60" t="s">
        <v>393</v>
      </c>
      <c r="G64" s="60" t="s">
        <v>393</v>
      </c>
      <c r="H64" s="60" t="s">
        <v>393</v>
      </c>
      <c r="I64" s="60" t="s">
        <v>393</v>
      </c>
    </row>
    <row r="65" spans="1:9" x14ac:dyDescent="0.25">
      <c r="A65" s="172" t="str">
        <f>HYPERLINK("[OpenSolver Tester.xlsm]Test40!A1", "Test40")</f>
        <v>Test40</v>
      </c>
      <c r="B65" s="60" t="s">
        <v>393</v>
      </c>
      <c r="C65" s="60" t="s">
        <v>393</v>
      </c>
      <c r="D65" s="60" t="s">
        <v>393</v>
      </c>
      <c r="E65" s="60" t="s">
        <v>393</v>
      </c>
      <c r="F65" s="60" t="s">
        <v>435</v>
      </c>
      <c r="G65" s="60" t="s">
        <v>393</v>
      </c>
      <c r="H65" s="60" t="s">
        <v>393</v>
      </c>
      <c r="I65" s="60" t="s">
        <v>393</v>
      </c>
    </row>
    <row r="66" spans="1:9" x14ac:dyDescent="0.25">
      <c r="A66" s="172" t="str">
        <f>HYPERLINK("[OpenSolver Tester.xlsm]Test41!A1", "Test41")</f>
        <v>Test41</v>
      </c>
      <c r="B66" s="60" t="s">
        <v>393</v>
      </c>
      <c r="C66" s="60" t="s">
        <v>393</v>
      </c>
      <c r="D66" s="60" t="s">
        <v>393</v>
      </c>
      <c r="E66" s="60" t="s">
        <v>393</v>
      </c>
      <c r="F66" s="60" t="s">
        <v>434</v>
      </c>
      <c r="G66" s="60" t="s">
        <v>393</v>
      </c>
      <c r="H66" s="60" t="s">
        <v>393</v>
      </c>
      <c r="I66" s="60" t="s">
        <v>434</v>
      </c>
    </row>
    <row r="67" spans="1:9" x14ac:dyDescent="0.25">
      <c r="A67" s="172" t="str">
        <f>HYPERLINK("[OpenSolver Tester.xlsm]Test42!A1", "Test42")</f>
        <v>Test42</v>
      </c>
      <c r="B67" s="60" t="s">
        <v>393</v>
      </c>
      <c r="C67" s="60" t="s">
        <v>393</v>
      </c>
      <c r="D67" s="60" t="s">
        <v>393</v>
      </c>
      <c r="E67" s="60" t="s">
        <v>393</v>
      </c>
      <c r="F67" s="60" t="s">
        <v>393</v>
      </c>
      <c r="G67" s="60" t="s">
        <v>393</v>
      </c>
      <c r="H67" s="60" t="s">
        <v>393</v>
      </c>
      <c r="I67" s="60" t="s">
        <v>393</v>
      </c>
    </row>
    <row r="68" spans="1:9" x14ac:dyDescent="0.25">
      <c r="A68" s="172" t="str">
        <f>HYPERLINK("[OpenSolver Tester.xlsm]Test43!A1", "Test43")</f>
        <v>Test43</v>
      </c>
      <c r="B68" s="60" t="s">
        <v>393</v>
      </c>
      <c r="C68" s="60" t="s">
        <v>393</v>
      </c>
      <c r="D68" s="60" t="s">
        <v>393</v>
      </c>
      <c r="E68" s="60" t="s">
        <v>393</v>
      </c>
      <c r="F68" s="60" t="s">
        <v>393</v>
      </c>
      <c r="G68" s="60" t="s">
        <v>393</v>
      </c>
      <c r="H68" s="60" t="s">
        <v>393</v>
      </c>
      <c r="I68" s="60" t="s">
        <v>393</v>
      </c>
    </row>
    <row r="69" spans="1:9" x14ac:dyDescent="0.25">
      <c r="A69" s="172" t="str">
        <f>HYPERLINK("[OpenSolver Tester.xlsm]Test44_Seek!A1", "Test44_Seek")</f>
        <v>Test44_Seek</v>
      </c>
      <c r="B69" s="60" t="s">
        <v>393</v>
      </c>
      <c r="C69" s="60" t="s">
        <v>393</v>
      </c>
      <c r="D69" s="60" t="s">
        <v>393</v>
      </c>
      <c r="E69" s="60" t="s">
        <v>393</v>
      </c>
      <c r="F69" s="60" t="s">
        <v>393</v>
      </c>
      <c r="G69" s="60" t="s">
        <v>393</v>
      </c>
      <c r="H69" s="60" t="s">
        <v>393</v>
      </c>
      <c r="I69" s="60" t="s">
        <v>393</v>
      </c>
    </row>
    <row r="70" spans="1:9" x14ac:dyDescent="0.25">
      <c r="A70" s="172" t="str">
        <f>HYPERLINK("[OpenSolver Tester.xlsm]Test45_SheetName(1)+2-1!A1", "Test45_SheetName(1)+2-1")</f>
        <v>Test45_SheetName(1)+2-1</v>
      </c>
      <c r="B70" s="60" t="s">
        <v>393</v>
      </c>
      <c r="C70" s="60" t="s">
        <v>393</v>
      </c>
      <c r="D70" s="60" t="s">
        <v>393</v>
      </c>
      <c r="E70" s="60" t="s">
        <v>393</v>
      </c>
      <c r="F70" s="60" t="s">
        <v>393</v>
      </c>
      <c r="G70" s="60" t="s">
        <v>393</v>
      </c>
      <c r="H70" s="60" t="s">
        <v>393</v>
      </c>
      <c r="I70" s="60" t="s">
        <v>393</v>
      </c>
    </row>
    <row r="71" spans="1:9" x14ac:dyDescent="0.25">
      <c r="A71" s="172" t="str">
        <f>HYPERLINK("[OpenSolver Tester.xlsm]Test46_NonLinBinary!A1", "Test46_NonLinBinary")</f>
        <v>Test46_NonLinBinary</v>
      </c>
      <c r="B71" s="60" t="s">
        <v>393</v>
      </c>
      <c r="C71" s="60" t="s">
        <v>393</v>
      </c>
      <c r="D71" s="60" t="s">
        <v>393</v>
      </c>
      <c r="E71" s="60" t="s">
        <v>393</v>
      </c>
      <c r="F71" s="60" t="s">
        <v>393</v>
      </c>
      <c r="G71" s="60" t="s">
        <v>393</v>
      </c>
      <c r="H71" s="60" t="s">
        <v>393</v>
      </c>
      <c r="I71" s="60" t="s">
        <v>393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5.2941176432133004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N21" sqref="N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82">
        <v>5.2941175999999999</v>
      </c>
      <c r="F5" s="182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82">
        <v>5.2941176526297902</v>
      </c>
      <c r="F5" s="182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82">
        <v>2</v>
      </c>
      <c r="D5" s="182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82">
        <v>150</v>
      </c>
      <c r="K10" s="182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2">
        <f>SUMPRODUCT($D$5:$F$5,D10:F10)</f>
        <v>116.47058835785538</v>
      </c>
      <c r="H10" s="182"/>
      <c r="I10" s="1" t="s">
        <v>8</v>
      </c>
      <c r="J10" s="1">
        <v>200</v>
      </c>
      <c r="K10" s="1"/>
      <c r="L10" t="s">
        <v>360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1.7507114455074735</v>
      </c>
      <c r="E5" s="1">
        <v>4.1227663537320467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15.869721952211087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62.857544346127249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3">
        <v>5</v>
      </c>
      <c r="H10" s="183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3"/>
      <c r="H11" s="183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173.43757349153157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1220703125</v>
      </c>
      <c r="Q4" s="162">
        <v>2441406250</v>
      </c>
      <c r="R4" s="10">
        <v>0</v>
      </c>
      <c r="S4" s="9">
        <f>SUM(Q4:R4)</f>
        <v>2441406250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1831054687.5</v>
      </c>
      <c r="J5"/>
      <c r="K5"/>
      <c r="M5" t="s">
        <v>20</v>
      </c>
      <c r="N5">
        <v>0</v>
      </c>
      <c r="Q5" s="4">
        <v>0</v>
      </c>
      <c r="R5" s="5">
        <v>1831054687.5</v>
      </c>
      <c r="S5" s="4">
        <f>SUM(Q5:R5)</f>
        <v>1831054687.5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2441406250</v>
      </c>
      <c r="R6" s="10">
        <f>SUM(R4:R5)</f>
        <v>1831054687.5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64062500000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21972656250</v>
      </c>
      <c r="J9" s="1" t="s">
        <v>8</v>
      </c>
      <c r="K9" s="1">
        <f>61.2345678+2.3*N4-S5</f>
        <v>976562561.23456764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42114257812.5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-42114257812.5</v>
      </c>
      <c r="Q11" t="s">
        <v>22</v>
      </c>
    </row>
    <row r="12" spans="1:21" x14ac:dyDescent="0.25">
      <c r="G12" s="1">
        <v>-32</v>
      </c>
      <c r="I12" s="16">
        <f>SUMPRODUCT($D$5:$G$5,D12:G12)</f>
        <v>-58593750000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1.9999999561495314</v>
      </c>
      <c r="E5" s="1">
        <v>72692.273533903062</v>
      </c>
      <c r="F5" s="1">
        <v>58667.865232564509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452752.28153187956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1503649.3916632691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2948632.91809393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249911.11739596282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594203.61270980677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J11" sqref="J11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73" t="str">
        <f>HYPERLINK("[OpenSolver Tester.xlsm]Results!A1", "&lt;- Results")</f>
        <v>&lt;- Results</v>
      </c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357</v>
      </c>
      <c r="I1" s="153" t="s">
        <v>1</v>
      </c>
      <c r="J1" s="154" t="s">
        <v>2</v>
      </c>
      <c r="K1" s="154" t="s">
        <v>3</v>
      </c>
      <c r="L1" s="155" t="s">
        <v>356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N11" sqref="N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178" customWidth="1"/>
    <col min="5" max="5" width="7.28515625" style="178" customWidth="1"/>
    <col min="6" max="6" width="5.140625" style="178" customWidth="1"/>
    <col min="7" max="7" width="3.140625" style="178" customWidth="1"/>
    <col min="8" max="8" width="8.42578125" style="178" customWidth="1"/>
    <col min="9" max="9" width="3" style="178" bestFit="1" customWidth="1"/>
    <col min="10" max="10" width="6" style="178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206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178" t="s">
        <v>1</v>
      </c>
      <c r="E4" s="178" t="s">
        <v>2</v>
      </c>
      <c r="F4" s="178" t="s">
        <v>3</v>
      </c>
    </row>
    <row r="5" spans="1:10" x14ac:dyDescent="0.25">
      <c r="A5" s="63" t="s">
        <v>210</v>
      </c>
      <c r="D5" s="150">
        <v>-1.9000000189949999</v>
      </c>
      <c r="E5" s="178">
        <v>-1.9000000189966699</v>
      </c>
      <c r="F5" s="178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178" t="s">
        <v>9</v>
      </c>
      <c r="E6" s="178" t="s">
        <v>9</v>
      </c>
      <c r="F6" s="178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178">
        <v>-1.9</v>
      </c>
      <c r="H7"/>
      <c r="I7"/>
      <c r="J7"/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  <c r="C9" s="16" t="s">
        <v>0</v>
      </c>
      <c r="D9" s="178">
        <v>2</v>
      </c>
      <c r="E9" s="178">
        <v>3</v>
      </c>
      <c r="F9" s="178">
        <v>4</v>
      </c>
      <c r="H9" s="178">
        <f>SUMPRODUCT($D$5:$F$5,D9:F9)</f>
        <v>-9.5000000949800096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178">
        <v>1</v>
      </c>
      <c r="H11" s="178">
        <f>SUMPRODUCT($D$5:$F$5,D11:F11)+5*P10</f>
        <v>-1.9000000189949999</v>
      </c>
      <c r="I11" s="178" t="s">
        <v>9</v>
      </c>
      <c r="J11" s="178">
        <v>-50</v>
      </c>
    </row>
    <row r="12" spans="1:10" x14ac:dyDescent="0.25">
      <c r="E12" s="178">
        <v>1</v>
      </c>
      <c r="H12" s="178">
        <f>SUMPRODUCT($D$5:$F$5,D12:F12)</f>
        <v>-1.9000000189966699</v>
      </c>
      <c r="I12" s="178" t="s">
        <v>9</v>
      </c>
      <c r="J12" s="178">
        <v>-50</v>
      </c>
    </row>
    <row r="13" spans="1:10" x14ac:dyDescent="0.25">
      <c r="F13" s="178">
        <v>1</v>
      </c>
      <c r="H13" s="178">
        <f>SUMPRODUCT($D$5:$F$5,D13:F13)</f>
        <v>0</v>
      </c>
      <c r="I13" s="178" t="s">
        <v>9</v>
      </c>
      <c r="J13" s="178">
        <v>-50</v>
      </c>
    </row>
    <row r="17" spans="1:6" x14ac:dyDescent="0.25">
      <c r="C17" s="56" t="s">
        <v>15</v>
      </c>
    </row>
    <row r="18" spans="1:6" s="178" customFormat="1" x14ac:dyDescent="0.25">
      <c r="A18" s="61"/>
      <c r="C18" s="16"/>
      <c r="D18" s="178">
        <v>-1.9</v>
      </c>
      <c r="E18" s="178">
        <v>-1.9</v>
      </c>
      <c r="F18" s="178">
        <v>0</v>
      </c>
    </row>
    <row r="19" spans="1:6" s="178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78" customFormat="1" x14ac:dyDescent="0.25">
      <c r="A21" s="61"/>
      <c r="C21" s="56" t="s">
        <v>16</v>
      </c>
    </row>
    <row r="22" spans="1:6" s="178" customFormat="1" x14ac:dyDescent="0.25">
      <c r="A22" s="61"/>
      <c r="C22" s="16"/>
      <c r="D22" s="178">
        <v>-9.5</v>
      </c>
    </row>
    <row r="23" spans="1:6" s="178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359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372</v>
      </c>
    </row>
    <row r="2" spans="1:13" ht="15.75" thickBot="1" x14ac:dyDescent="0.3">
      <c r="A2" s="64" t="s">
        <v>205</v>
      </c>
      <c r="D2" s="18" t="s">
        <v>373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362799</v>
      </c>
      <c r="N9" s="58">
        <f ca="1">M9+1</f>
        <v>362800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5452.1551717812144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16356.465515343643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59973.706889593363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119947.41377918673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119947.41377918673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185373.27584056128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0.166344261963907</v>
      </c>
      <c r="E5" s="59">
        <v>5.2243727263413797</v>
      </c>
      <c r="F5" s="59">
        <v>2.4662927278789399E-2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59.427497736739717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118.99667680816455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117.86218215334023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243</v>
      </c>
      <c r="B2" s="179"/>
      <c r="C2" s="179"/>
      <c r="D2" s="179"/>
      <c r="E2" s="179"/>
      <c r="F2" s="179"/>
      <c r="G2" s="179"/>
      <c r="H2" s="179"/>
    </row>
    <row r="3" spans="1:8" x14ac:dyDescent="0.25">
      <c r="A3" s="17" t="s">
        <v>437</v>
      </c>
      <c r="B3" s="179"/>
      <c r="C3" s="179"/>
      <c r="D3" s="179"/>
      <c r="E3" s="179"/>
      <c r="F3" s="179"/>
      <c r="G3" s="179"/>
      <c r="H3" s="179"/>
    </row>
    <row r="4" spans="1:8" x14ac:dyDescent="0.25">
      <c r="B4" s="179"/>
      <c r="C4" s="179"/>
      <c r="D4" s="179"/>
      <c r="E4" s="179"/>
      <c r="F4" s="179"/>
      <c r="G4" s="179"/>
      <c r="H4" s="179"/>
    </row>
    <row r="5" spans="1:8" ht="15.75" thickBot="1" x14ac:dyDescent="0.3">
      <c r="A5" s="17" t="s">
        <v>228</v>
      </c>
      <c r="B5" s="179"/>
      <c r="C5" s="179"/>
      <c r="D5" s="179"/>
      <c r="E5" s="179"/>
      <c r="F5" s="179"/>
      <c r="G5" s="179"/>
      <c r="H5" s="17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361</v>
      </c>
      <c r="C7" s="75" t="s">
        <v>362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363</v>
      </c>
      <c r="C8" s="75" t="s">
        <v>364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365</v>
      </c>
      <c r="C9" s="111" t="s">
        <v>366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9"/>
      <c r="C10" s="179"/>
      <c r="D10" s="179"/>
      <c r="E10" s="179"/>
      <c r="F10" s="179"/>
      <c r="G10" s="179"/>
      <c r="H10" s="179"/>
    </row>
    <row r="11" spans="1:8" ht="15.75" thickBot="1" x14ac:dyDescent="0.3">
      <c r="A11" s="17" t="s">
        <v>134</v>
      </c>
      <c r="B11" s="179"/>
      <c r="C11" s="179"/>
      <c r="D11" s="179"/>
      <c r="E11" s="179"/>
      <c r="F11" s="179"/>
      <c r="G11" s="179"/>
      <c r="H11" s="179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367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368</v>
      </c>
      <c r="C14" s="75" t="s">
        <v>392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369</v>
      </c>
      <c r="C15" s="75" t="s">
        <v>370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371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9"/>
      <c r="C17" s="179"/>
      <c r="D17" s="179"/>
      <c r="E17" s="179"/>
      <c r="F17" s="179"/>
      <c r="G17" s="179"/>
      <c r="H17" s="179"/>
    </row>
  </sheetData>
  <pageMargins left="0.7" right="0.7" top="0.75" bottom="0.75" header="0.3" footer="0.3"/>
  <pageSetup paperSize="9" orientation="portrait" horizontalDpi="0" verticalDpi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O15" sqref="O15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26952.150733450253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26952.150733450253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26952.150733450253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26952.150733450253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21.825132132814002</v>
      </c>
      <c r="E5">
        <v>0.91637475907556099</v>
      </c>
    </row>
    <row r="6" spans="1:15" ht="15.75" thickBot="1" x14ac:dyDescent="0.3">
      <c r="A6" s="64" t="b">
        <f>AND(F22)</f>
        <v>1</v>
      </c>
      <c r="F6">
        <f>D5^2*E5^2</f>
        <v>400.00000799998867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20.000000199999715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22.741506891889564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21.825132132814002</v>
      </c>
      <c r="G10" t="s">
        <v>9</v>
      </c>
      <c r="H10">
        <v>0</v>
      </c>
    </row>
    <row r="11" spans="1:15" x14ac:dyDescent="0.25">
      <c r="F11">
        <f>E5</f>
        <v>0.91637475907556099</v>
      </c>
      <c r="H11">
        <v>0</v>
      </c>
    </row>
    <row r="12" spans="1:15" x14ac:dyDescent="0.25">
      <c r="F12">
        <f>E5*D5+E5+D5</f>
        <v>42.741507091889275</v>
      </c>
      <c r="G12" t="s">
        <v>8</v>
      </c>
      <c r="H12">
        <v>60</v>
      </c>
      <c r="I12" t="s">
        <v>353</v>
      </c>
    </row>
    <row r="13" spans="1:15" x14ac:dyDescent="0.25">
      <c r="F13">
        <f>E5+D5*E5+D5</f>
        <v>42.741507091889275</v>
      </c>
      <c r="G13" t="s">
        <v>8</v>
      </c>
      <c r="H13">
        <v>60</v>
      </c>
      <c r="I13" t="s">
        <v>354</v>
      </c>
    </row>
    <row r="14" spans="1:15" x14ac:dyDescent="0.25">
      <c r="F14">
        <f>E5+D5+E5*D5</f>
        <v>42.741507091889275</v>
      </c>
      <c r="G14" t="s">
        <v>8</v>
      </c>
      <c r="H14">
        <v>60</v>
      </c>
      <c r="I14" t="s">
        <v>355</v>
      </c>
    </row>
    <row r="15" spans="1:15" ht="15.75" customHeight="1" x14ac:dyDescent="0.25">
      <c r="F15">
        <f>E5*D5-E5-D5</f>
        <v>-2.7415066918898496</v>
      </c>
      <c r="G15" t="s">
        <v>8</v>
      </c>
      <c r="H15">
        <v>0</v>
      </c>
      <c r="O15" s="83"/>
    </row>
    <row r="16" spans="1:15" x14ac:dyDescent="0.25">
      <c r="F16">
        <f>E5-D5*E5+D5</f>
        <v>2.7415066918898496</v>
      </c>
      <c r="G16" t="s">
        <v>8</v>
      </c>
      <c r="H16">
        <v>60</v>
      </c>
      <c r="O16" s="83"/>
    </row>
    <row r="17" spans="6:15" x14ac:dyDescent="0.25">
      <c r="F17">
        <f>E5-D5+E5*D5</f>
        <v>-0.90875717373872433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391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6" sqref="G6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23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2.6485896119144701</v>
      </c>
      <c r="E5">
        <v>2.6485896119144599</v>
      </c>
      <c r="F5">
        <v>2.6485896119144599</v>
      </c>
      <c r="G5">
        <v>2.6485896119144599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-13.128609165950888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-29.248824624680509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-18.654466177022659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0.94240514092658001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0.41277404754643199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4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281</v>
      </c>
      <c r="B2" s="179"/>
      <c r="C2" s="179"/>
      <c r="D2" s="179"/>
      <c r="E2" s="179"/>
      <c r="F2" s="179"/>
      <c r="G2" s="179"/>
      <c r="H2" s="179"/>
    </row>
    <row r="3" spans="1:8" x14ac:dyDescent="0.25">
      <c r="A3" s="17" t="s">
        <v>438</v>
      </c>
      <c r="B3" s="179"/>
      <c r="C3" s="179"/>
      <c r="D3" s="179"/>
      <c r="E3" s="179"/>
      <c r="F3" s="179"/>
      <c r="G3" s="179"/>
      <c r="H3" s="179"/>
    </row>
    <row r="4" spans="1:8" x14ac:dyDescent="0.25">
      <c r="B4" s="179"/>
      <c r="C4" s="179"/>
      <c r="D4" s="179"/>
      <c r="E4" s="179"/>
      <c r="F4" s="179"/>
      <c r="G4" s="179"/>
      <c r="H4" s="179"/>
    </row>
    <row r="5" spans="1:8" ht="15.75" thickBot="1" x14ac:dyDescent="0.3">
      <c r="A5" s="17" t="s">
        <v>228</v>
      </c>
      <c r="B5" s="179"/>
      <c r="C5" s="179"/>
      <c r="D5" s="179"/>
      <c r="E5" s="179"/>
      <c r="F5" s="179"/>
      <c r="G5" s="179"/>
      <c r="H5" s="17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433</v>
      </c>
      <c r="C22" s="111" t="s">
        <v>432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9"/>
      <c r="C23" s="179"/>
      <c r="D23" s="179"/>
      <c r="E23" s="179"/>
      <c r="F23" s="179"/>
      <c r="G23" s="179"/>
      <c r="H23" s="179"/>
    </row>
    <row r="24" spans="1:8" ht="15.75" thickBot="1" x14ac:dyDescent="0.3">
      <c r="A24" s="17" t="s">
        <v>134</v>
      </c>
      <c r="B24" s="179"/>
      <c r="C24" s="179"/>
      <c r="D24" s="179"/>
      <c r="E24" s="179"/>
      <c r="F24" s="179"/>
      <c r="G24" s="179"/>
      <c r="H24" s="179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399</v>
      </c>
      <c r="C26" s="75" t="s">
        <v>400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401</v>
      </c>
      <c r="C27" s="75" t="s">
        <v>402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403</v>
      </c>
      <c r="C28" s="75" t="s">
        <v>404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405</v>
      </c>
      <c r="C29" s="75" t="s">
        <v>406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407</v>
      </c>
      <c r="C30" s="75" t="s">
        <v>408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409</v>
      </c>
      <c r="C31" s="75" t="s">
        <v>410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411</v>
      </c>
      <c r="C32" s="75" t="s">
        <v>412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ht="15.75" thickBot="1" x14ac:dyDescent="0.3">
      <c r="B33" s="110" t="s">
        <v>413</v>
      </c>
      <c r="C33" s="111" t="s">
        <v>414</v>
      </c>
      <c r="D33" s="111">
        <v>150</v>
      </c>
      <c r="E33" s="111">
        <v>35</v>
      </c>
      <c r="F33" s="111">
        <v>150</v>
      </c>
      <c r="G33" s="111">
        <v>0</v>
      </c>
      <c r="H33" s="113">
        <v>100</v>
      </c>
    </row>
    <row r="34" spans="2:8" x14ac:dyDescent="0.25">
      <c r="B34" s="179"/>
      <c r="C34" s="179"/>
      <c r="D34" s="179"/>
      <c r="E34" s="179"/>
      <c r="F34" s="179"/>
      <c r="G34" s="179"/>
      <c r="H34" s="179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M11" sqref="M11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 s="177">
        <v>100.00000002</v>
      </c>
      <c r="E14" s="177">
        <v>99.999993509999896</v>
      </c>
      <c r="F14" s="177">
        <v>0</v>
      </c>
      <c r="G14" s="177">
        <v>0</v>
      </c>
      <c r="H14" s="177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 s="177">
        <v>0</v>
      </c>
      <c r="E15" s="177">
        <v>2.98000238028243E-6</v>
      </c>
      <c r="F15" s="177">
        <v>200.000000019997</v>
      </c>
      <c r="G15" s="177">
        <v>100.000000019997</v>
      </c>
      <c r="H15" s="177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 s="177">
        <v>0</v>
      </c>
      <c r="E16" s="177">
        <v>200.00000350999801</v>
      </c>
      <c r="F16" s="177">
        <v>0</v>
      </c>
      <c r="G16" s="177">
        <v>0</v>
      </c>
      <c r="H16" s="177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396</v>
      </c>
    </row>
    <row r="19" spans="3:10" x14ac:dyDescent="0.25">
      <c r="J19" t="s">
        <v>397</v>
      </c>
    </row>
    <row r="20" spans="3:10" x14ac:dyDescent="0.25">
      <c r="C20" t="s">
        <v>0</v>
      </c>
      <c r="D20">
        <f>SUMPRODUCT(D9:H11,D14:H16)</f>
        <v>13249.999901199888</v>
      </c>
      <c r="J20" t="s">
        <v>432</v>
      </c>
    </row>
    <row r="21" spans="3:10" x14ac:dyDescent="0.25">
      <c r="J21">
        <v>99999.999999990003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H49"/>
  <sheetViews>
    <sheetView showGridLines="0" topLeftCell="A4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416</v>
      </c>
      <c r="B2" s="179"/>
      <c r="C2" s="179"/>
      <c r="D2" s="179"/>
      <c r="E2" s="179"/>
      <c r="F2" s="179"/>
      <c r="G2" s="179"/>
      <c r="H2" s="179"/>
    </row>
    <row r="3" spans="1:8" x14ac:dyDescent="0.25">
      <c r="A3" s="17" t="s">
        <v>439</v>
      </c>
      <c r="B3" s="179"/>
      <c r="C3" s="179"/>
      <c r="D3" s="179"/>
      <c r="E3" s="179"/>
      <c r="F3" s="179"/>
      <c r="G3" s="179"/>
      <c r="H3" s="179"/>
    </row>
    <row r="4" spans="1:8" x14ac:dyDescent="0.25">
      <c r="B4" s="179"/>
      <c r="C4" s="179"/>
      <c r="D4" s="179"/>
      <c r="E4" s="179"/>
      <c r="F4" s="179"/>
      <c r="G4" s="179"/>
      <c r="H4" s="179"/>
    </row>
    <row r="5" spans="1:8" ht="15.75" thickBot="1" x14ac:dyDescent="0.3">
      <c r="A5" s="17" t="s">
        <v>228</v>
      </c>
      <c r="B5" s="179"/>
      <c r="C5" s="179"/>
      <c r="D5" s="179"/>
      <c r="E5" s="179"/>
      <c r="F5" s="179"/>
      <c r="G5" s="179"/>
      <c r="H5" s="17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282</v>
      </c>
      <c r="D7" s="75">
        <v>100</v>
      </c>
      <c r="E7" s="75">
        <v>0</v>
      </c>
      <c r="F7" s="75">
        <v>10</v>
      </c>
      <c r="G7" s="75">
        <v>35</v>
      </c>
      <c r="H7" s="107">
        <v>1E+100</v>
      </c>
    </row>
    <row r="8" spans="1:8" x14ac:dyDescent="0.25">
      <c r="B8" s="106" t="s">
        <v>271</v>
      </c>
      <c r="C8" s="75" t="s">
        <v>283</v>
      </c>
      <c r="D8" s="75">
        <v>100</v>
      </c>
      <c r="E8" s="75">
        <v>0</v>
      </c>
      <c r="F8" s="75">
        <v>30</v>
      </c>
      <c r="G8" s="75">
        <v>10</v>
      </c>
      <c r="H8" s="108">
        <v>10</v>
      </c>
    </row>
    <row r="9" spans="1:8" x14ac:dyDescent="0.25">
      <c r="B9" s="106" t="s">
        <v>272</v>
      </c>
      <c r="C9" s="75" t="s">
        <v>284</v>
      </c>
      <c r="D9" s="75">
        <v>0</v>
      </c>
      <c r="E9" s="75">
        <v>0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297</v>
      </c>
      <c r="C10" s="75" t="s">
        <v>285</v>
      </c>
      <c r="D10" s="75">
        <v>0</v>
      </c>
      <c r="E10" s="75">
        <v>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298</v>
      </c>
      <c r="C11" s="75" t="s">
        <v>286</v>
      </c>
      <c r="D11" s="75">
        <v>0</v>
      </c>
      <c r="E11" s="75">
        <v>0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287</v>
      </c>
      <c r="D12" s="75">
        <v>0</v>
      </c>
      <c r="E12" s="75">
        <v>0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288</v>
      </c>
      <c r="D13" s="75">
        <v>0</v>
      </c>
      <c r="E13" s="75">
        <v>0</v>
      </c>
      <c r="F13" s="75">
        <v>20</v>
      </c>
      <c r="G13" s="75">
        <v>5</v>
      </c>
      <c r="H13" s="108">
        <v>5</v>
      </c>
    </row>
    <row r="14" spans="1:8" x14ac:dyDescent="0.25">
      <c r="B14" s="106" t="s">
        <v>275</v>
      </c>
      <c r="C14" s="75" t="s">
        <v>289</v>
      </c>
      <c r="D14" s="75">
        <v>200</v>
      </c>
      <c r="E14" s="75">
        <v>0</v>
      </c>
      <c r="F14" s="75">
        <v>15</v>
      </c>
      <c r="G14" s="75">
        <v>5</v>
      </c>
      <c r="H14" s="107">
        <v>1E+100</v>
      </c>
    </row>
    <row r="15" spans="1:8" x14ac:dyDescent="0.25">
      <c r="B15" s="106" t="s">
        <v>299</v>
      </c>
      <c r="C15" s="75" t="s">
        <v>290</v>
      </c>
      <c r="D15" s="75">
        <v>100</v>
      </c>
      <c r="E15" s="75">
        <v>0</v>
      </c>
      <c r="F15" s="75">
        <v>20</v>
      </c>
      <c r="G15" s="75">
        <v>5</v>
      </c>
      <c r="H15" s="107">
        <v>1E+100</v>
      </c>
    </row>
    <row r="16" spans="1:8" x14ac:dyDescent="0.25">
      <c r="B16" s="106" t="s">
        <v>300</v>
      </c>
      <c r="C16" s="75" t="s">
        <v>291</v>
      </c>
      <c r="D16" s="75">
        <v>0</v>
      </c>
      <c r="E16" s="75">
        <v>0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292</v>
      </c>
      <c r="D17" s="75">
        <v>0</v>
      </c>
      <c r="E17" s="75">
        <v>0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293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294</v>
      </c>
      <c r="D19" s="75">
        <v>0</v>
      </c>
      <c r="E19" s="75">
        <v>0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301</v>
      </c>
      <c r="C20" s="75" t="s">
        <v>295</v>
      </c>
      <c r="D20" s="75">
        <v>0</v>
      </c>
      <c r="E20" s="75">
        <v>0</v>
      </c>
      <c r="F20" s="75">
        <v>15</v>
      </c>
      <c r="G20" s="109">
        <v>1E+100</v>
      </c>
      <c r="H20" s="108">
        <v>5</v>
      </c>
    </row>
    <row r="21" spans="1:8" x14ac:dyDescent="0.25">
      <c r="B21" s="106" t="s">
        <v>302</v>
      </c>
      <c r="C21" s="75" t="s">
        <v>296</v>
      </c>
      <c r="D21" s="75">
        <v>150</v>
      </c>
      <c r="E21" s="75">
        <v>0</v>
      </c>
      <c r="F21" s="75">
        <v>15</v>
      </c>
      <c r="G21" s="75">
        <v>5</v>
      </c>
      <c r="H21" s="107">
        <v>1E+100</v>
      </c>
    </row>
    <row r="22" spans="1:8" ht="15.75" thickBot="1" x14ac:dyDescent="0.3">
      <c r="B22" s="110" t="s">
        <v>433</v>
      </c>
      <c r="C22" s="111" t="s">
        <v>432</v>
      </c>
      <c r="D22" s="111">
        <v>0</v>
      </c>
      <c r="E22" s="111">
        <v>0</v>
      </c>
      <c r="F22" s="111">
        <v>0</v>
      </c>
      <c r="G22" s="111">
        <v>0</v>
      </c>
      <c r="H22" s="113">
        <v>0</v>
      </c>
    </row>
    <row r="23" spans="1:8" x14ac:dyDescent="0.25">
      <c r="B23" s="179"/>
      <c r="C23" s="179"/>
      <c r="D23" s="179"/>
      <c r="E23" s="179"/>
      <c r="F23" s="179"/>
      <c r="G23" s="179"/>
      <c r="H23" s="179"/>
    </row>
    <row r="24" spans="1:8" ht="15.75" thickBot="1" x14ac:dyDescent="0.3">
      <c r="A24" s="17" t="s">
        <v>134</v>
      </c>
      <c r="B24" s="179"/>
      <c r="C24" s="179"/>
      <c r="D24" s="179"/>
      <c r="E24" s="179"/>
      <c r="F24" s="179"/>
      <c r="G24" s="179"/>
      <c r="H24" s="179"/>
    </row>
    <row r="25" spans="1:8" ht="15.75" thickBot="1" x14ac:dyDescent="0.3">
      <c r="B25" s="114" t="s">
        <v>229</v>
      </c>
      <c r="C25" s="115" t="s">
        <v>230</v>
      </c>
      <c r="D25" s="115" t="s">
        <v>231</v>
      </c>
      <c r="E25" s="115" t="s">
        <v>279</v>
      </c>
      <c r="F25" s="115" t="s">
        <v>280</v>
      </c>
      <c r="G25" s="115" t="s">
        <v>234</v>
      </c>
      <c r="H25" s="116" t="s">
        <v>235</v>
      </c>
    </row>
    <row r="26" spans="1:8" x14ac:dyDescent="0.25">
      <c r="B26" s="106" t="s">
        <v>399</v>
      </c>
      <c r="C26" s="75" t="s">
        <v>400</v>
      </c>
      <c r="D26" s="75">
        <v>200</v>
      </c>
      <c r="E26" s="75">
        <v>0</v>
      </c>
      <c r="F26" s="75">
        <v>200</v>
      </c>
      <c r="G26" s="109">
        <v>1E+100</v>
      </c>
      <c r="H26" s="108">
        <v>0</v>
      </c>
    </row>
    <row r="27" spans="1:8" x14ac:dyDescent="0.25">
      <c r="B27" s="106" t="s">
        <v>401</v>
      </c>
      <c r="C27" s="75" t="s">
        <v>402</v>
      </c>
      <c r="D27" s="75">
        <v>300</v>
      </c>
      <c r="E27" s="75">
        <v>-10</v>
      </c>
      <c r="F27" s="75">
        <v>300</v>
      </c>
      <c r="G27" s="75">
        <v>100</v>
      </c>
      <c r="H27" s="108">
        <v>0</v>
      </c>
    </row>
    <row r="28" spans="1:8" x14ac:dyDescent="0.25">
      <c r="B28" s="106" t="s">
        <v>403</v>
      </c>
      <c r="C28" s="75" t="s">
        <v>404</v>
      </c>
      <c r="D28" s="75">
        <v>350</v>
      </c>
      <c r="E28" s="75">
        <v>-20</v>
      </c>
      <c r="F28" s="75">
        <v>350</v>
      </c>
      <c r="G28" s="75">
        <v>100</v>
      </c>
      <c r="H28" s="108">
        <v>0</v>
      </c>
    </row>
    <row r="29" spans="1:8" x14ac:dyDescent="0.25">
      <c r="B29" s="106" t="s">
        <v>405</v>
      </c>
      <c r="C29" s="75" t="s">
        <v>406</v>
      </c>
      <c r="D29" s="75">
        <v>100</v>
      </c>
      <c r="E29" s="75">
        <v>10</v>
      </c>
      <c r="F29" s="75">
        <v>100</v>
      </c>
      <c r="G29" s="75">
        <v>0</v>
      </c>
      <c r="H29" s="108">
        <v>100</v>
      </c>
    </row>
    <row r="30" spans="1:8" x14ac:dyDescent="0.25">
      <c r="B30" s="106" t="s">
        <v>407</v>
      </c>
      <c r="C30" s="75" t="s">
        <v>408</v>
      </c>
      <c r="D30" s="75">
        <v>300</v>
      </c>
      <c r="E30" s="75">
        <v>30</v>
      </c>
      <c r="F30" s="75">
        <v>300</v>
      </c>
      <c r="G30" s="75">
        <v>0</v>
      </c>
      <c r="H30" s="108">
        <v>100</v>
      </c>
    </row>
    <row r="31" spans="1:8" x14ac:dyDescent="0.25">
      <c r="B31" s="106" t="s">
        <v>409</v>
      </c>
      <c r="C31" s="75" t="s">
        <v>410</v>
      </c>
      <c r="D31" s="75">
        <v>200</v>
      </c>
      <c r="E31" s="75">
        <v>25</v>
      </c>
      <c r="F31" s="75">
        <v>200</v>
      </c>
      <c r="G31" s="75">
        <v>0</v>
      </c>
      <c r="H31" s="108">
        <v>100</v>
      </c>
    </row>
    <row r="32" spans="1:8" x14ac:dyDescent="0.25">
      <c r="B32" s="106" t="s">
        <v>411</v>
      </c>
      <c r="C32" s="75" t="s">
        <v>412</v>
      </c>
      <c r="D32" s="75">
        <v>100</v>
      </c>
      <c r="E32" s="75">
        <v>30</v>
      </c>
      <c r="F32" s="75">
        <v>100</v>
      </c>
      <c r="G32" s="75">
        <v>0</v>
      </c>
      <c r="H32" s="108">
        <v>100</v>
      </c>
    </row>
    <row r="33" spans="2:8" x14ac:dyDescent="0.25">
      <c r="B33" s="106" t="s">
        <v>413</v>
      </c>
      <c r="C33" s="75" t="s">
        <v>414</v>
      </c>
      <c r="D33" s="75">
        <v>150</v>
      </c>
      <c r="E33" s="75">
        <v>35</v>
      </c>
      <c r="F33" s="75">
        <v>150</v>
      </c>
      <c r="G33" s="75">
        <v>0</v>
      </c>
      <c r="H33" s="108">
        <v>100</v>
      </c>
    </row>
    <row r="34" spans="2:8" x14ac:dyDescent="0.25">
      <c r="B34" s="106" t="s">
        <v>417</v>
      </c>
      <c r="C34" s="75" t="s">
        <v>282</v>
      </c>
      <c r="D34" s="75">
        <v>100</v>
      </c>
      <c r="E34" s="75">
        <v>0</v>
      </c>
      <c r="F34" s="75">
        <v>0</v>
      </c>
      <c r="G34" s="75">
        <v>100</v>
      </c>
      <c r="H34" s="107">
        <v>1E+100</v>
      </c>
    </row>
    <row r="35" spans="2:8" x14ac:dyDescent="0.25">
      <c r="B35" s="106" t="s">
        <v>418</v>
      </c>
      <c r="C35" s="75" t="s">
        <v>283</v>
      </c>
      <c r="D35" s="75">
        <v>100</v>
      </c>
      <c r="E35" s="75">
        <v>0</v>
      </c>
      <c r="F35" s="75">
        <v>0</v>
      </c>
      <c r="G35" s="75">
        <v>100</v>
      </c>
      <c r="H35" s="107">
        <v>1E+100</v>
      </c>
    </row>
    <row r="36" spans="2:8" x14ac:dyDescent="0.25">
      <c r="B36" s="106" t="s">
        <v>419</v>
      </c>
      <c r="C36" s="75" t="s">
        <v>284</v>
      </c>
      <c r="D36" s="75">
        <v>0</v>
      </c>
      <c r="E36" s="75">
        <v>15</v>
      </c>
      <c r="F36" s="75">
        <v>0</v>
      </c>
      <c r="G36" s="75">
        <v>100</v>
      </c>
      <c r="H36" s="108">
        <v>0</v>
      </c>
    </row>
    <row r="37" spans="2:8" x14ac:dyDescent="0.25">
      <c r="B37" s="106" t="s">
        <v>420</v>
      </c>
      <c r="C37" s="75" t="s">
        <v>285</v>
      </c>
      <c r="D37" s="75">
        <v>0</v>
      </c>
      <c r="E37" s="75">
        <v>10</v>
      </c>
      <c r="F37" s="75">
        <v>0</v>
      </c>
      <c r="G37" s="75">
        <v>100</v>
      </c>
      <c r="H37" s="108">
        <v>0</v>
      </c>
    </row>
    <row r="38" spans="2:8" x14ac:dyDescent="0.25">
      <c r="B38" s="106" t="s">
        <v>421</v>
      </c>
      <c r="C38" s="75" t="s">
        <v>286</v>
      </c>
      <c r="D38" s="75">
        <v>0</v>
      </c>
      <c r="E38" s="75">
        <v>25</v>
      </c>
      <c r="F38" s="75">
        <v>0</v>
      </c>
      <c r="G38" s="75">
        <v>100</v>
      </c>
      <c r="H38" s="108">
        <v>200</v>
      </c>
    </row>
    <row r="39" spans="2:8" x14ac:dyDescent="0.25">
      <c r="B39" s="106" t="s">
        <v>422</v>
      </c>
      <c r="C39" s="75" t="s">
        <v>287</v>
      </c>
      <c r="D39" s="75">
        <v>0</v>
      </c>
      <c r="E39" s="75">
        <v>35</v>
      </c>
      <c r="F39" s="75">
        <v>0</v>
      </c>
      <c r="G39" s="75">
        <v>0</v>
      </c>
      <c r="H39" s="108">
        <v>100</v>
      </c>
    </row>
    <row r="40" spans="2:8" x14ac:dyDescent="0.25">
      <c r="B40" s="106" t="s">
        <v>423</v>
      </c>
      <c r="C40" s="75" t="s">
        <v>288</v>
      </c>
      <c r="D40" s="75">
        <v>0</v>
      </c>
      <c r="E40" s="75">
        <v>0</v>
      </c>
      <c r="F40" s="75">
        <v>0</v>
      </c>
      <c r="G40" s="75">
        <v>0</v>
      </c>
      <c r="H40" s="107">
        <v>1E+100</v>
      </c>
    </row>
    <row r="41" spans="2:8" x14ac:dyDescent="0.25">
      <c r="B41" s="106" t="s">
        <v>424</v>
      </c>
      <c r="C41" s="75" t="s">
        <v>289</v>
      </c>
      <c r="D41" s="75">
        <v>200</v>
      </c>
      <c r="E41" s="75">
        <v>0</v>
      </c>
      <c r="F41" s="75">
        <v>0</v>
      </c>
      <c r="G41" s="75">
        <v>200</v>
      </c>
      <c r="H41" s="107">
        <v>1E+100</v>
      </c>
    </row>
    <row r="42" spans="2:8" x14ac:dyDescent="0.25">
      <c r="B42" s="106" t="s">
        <v>425</v>
      </c>
      <c r="C42" s="75" t="s">
        <v>290</v>
      </c>
      <c r="D42" s="75">
        <v>100</v>
      </c>
      <c r="E42" s="75">
        <v>0</v>
      </c>
      <c r="F42" s="75">
        <v>0</v>
      </c>
      <c r="G42" s="75">
        <v>100</v>
      </c>
      <c r="H42" s="107">
        <v>1E+100</v>
      </c>
    </row>
    <row r="43" spans="2:8" x14ac:dyDescent="0.25">
      <c r="B43" s="106" t="s">
        <v>426</v>
      </c>
      <c r="C43" s="75" t="s">
        <v>291</v>
      </c>
      <c r="D43" s="75">
        <v>0</v>
      </c>
      <c r="E43" s="75">
        <v>5</v>
      </c>
      <c r="F43" s="75">
        <v>0</v>
      </c>
      <c r="G43" s="75">
        <v>0</v>
      </c>
      <c r="H43" s="108">
        <v>200</v>
      </c>
    </row>
    <row r="44" spans="2:8" x14ac:dyDescent="0.25">
      <c r="B44" s="106" t="s">
        <v>427</v>
      </c>
      <c r="C44" s="75" t="s">
        <v>292</v>
      </c>
      <c r="D44" s="75">
        <v>0</v>
      </c>
      <c r="E44" s="75">
        <v>55</v>
      </c>
      <c r="F44" s="75">
        <v>0</v>
      </c>
      <c r="G44" s="75">
        <v>100</v>
      </c>
      <c r="H44" s="108">
        <v>100</v>
      </c>
    </row>
    <row r="45" spans="2:8" x14ac:dyDescent="0.25">
      <c r="B45" s="106" t="s">
        <v>428</v>
      </c>
      <c r="C45" s="75" t="s">
        <v>293</v>
      </c>
      <c r="D45" s="75">
        <v>200</v>
      </c>
      <c r="E45" s="75">
        <v>0</v>
      </c>
      <c r="F45" s="75">
        <v>0</v>
      </c>
      <c r="G45" s="75">
        <v>200</v>
      </c>
      <c r="H45" s="107">
        <v>1E+100</v>
      </c>
    </row>
    <row r="46" spans="2:8" x14ac:dyDescent="0.25">
      <c r="B46" s="106" t="s">
        <v>429</v>
      </c>
      <c r="C46" s="75" t="s">
        <v>294</v>
      </c>
      <c r="D46" s="75">
        <v>0</v>
      </c>
      <c r="E46" s="75">
        <v>5</v>
      </c>
      <c r="F46" s="75">
        <v>0</v>
      </c>
      <c r="G46" s="75">
        <v>200</v>
      </c>
      <c r="H46" s="108">
        <v>0</v>
      </c>
    </row>
    <row r="47" spans="2:8" x14ac:dyDescent="0.25">
      <c r="B47" s="106" t="s">
        <v>430</v>
      </c>
      <c r="C47" s="75" t="s">
        <v>295</v>
      </c>
      <c r="D47" s="75">
        <v>0</v>
      </c>
      <c r="E47" s="75">
        <v>5</v>
      </c>
      <c r="F47" s="75">
        <v>0</v>
      </c>
      <c r="G47" s="75">
        <v>100</v>
      </c>
      <c r="H47" s="108">
        <v>0</v>
      </c>
    </row>
    <row r="48" spans="2:8" ht="15.75" thickBot="1" x14ac:dyDescent="0.3">
      <c r="B48" s="110" t="s">
        <v>431</v>
      </c>
      <c r="C48" s="111" t="s">
        <v>296</v>
      </c>
      <c r="D48" s="111">
        <v>150</v>
      </c>
      <c r="E48" s="111">
        <v>0</v>
      </c>
      <c r="F48" s="111">
        <v>0</v>
      </c>
      <c r="G48" s="111">
        <v>150</v>
      </c>
      <c r="H48" s="112">
        <v>1E+100</v>
      </c>
    </row>
    <row r="49" spans="2:8" x14ac:dyDescent="0.25">
      <c r="B49" s="179"/>
      <c r="C49" s="179"/>
      <c r="D49" s="179"/>
      <c r="E49" s="179"/>
      <c r="F49" s="179"/>
      <c r="G49" s="179"/>
      <c r="H49" s="179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K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1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304</v>
      </c>
    </row>
    <row r="2" spans="1:11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  <c r="K2" t="s">
        <v>415</v>
      </c>
    </row>
    <row r="3" spans="1:11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1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1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1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1" x14ac:dyDescent="0.25">
      <c r="A7" s="63" t="s">
        <v>211</v>
      </c>
    </row>
    <row r="8" spans="1:11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1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1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1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1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1" x14ac:dyDescent="0.25">
      <c r="C14" t="s">
        <v>262</v>
      </c>
      <c r="D14">
        <v>100.00000002</v>
      </c>
      <c r="E14">
        <v>99.999993509999996</v>
      </c>
      <c r="F14" s="81">
        <v>-9.9993333332337904E-9</v>
      </c>
      <c r="G14" s="81">
        <v>-9.9989999997151892E-9</v>
      </c>
      <c r="H14">
        <v>-9.9996000000000001E-9</v>
      </c>
      <c r="I14">
        <f>SUM(D14:H14)</f>
        <v>199.99999350000203</v>
      </c>
      <c r="J14">
        <v>200</v>
      </c>
    </row>
    <row r="15" spans="1:11" x14ac:dyDescent="0.25">
      <c r="C15" t="s">
        <v>263</v>
      </c>
      <c r="D15" s="81">
        <v>-9.9997142857102896E-9</v>
      </c>
      <c r="E15" s="81">
        <v>2.9800023777183198E-6</v>
      </c>
      <c r="F15">
        <v>200.000000019997</v>
      </c>
      <c r="G15" s="81">
        <v>100.000000019997</v>
      </c>
      <c r="H15" s="81">
        <v>-9.9979999966646998E-9</v>
      </c>
      <c r="I15">
        <f>SUM(D15:H15)</f>
        <v>300.00000299999869</v>
      </c>
      <c r="J15">
        <v>300</v>
      </c>
    </row>
    <row r="16" spans="1:11" x14ac:dyDescent="0.25">
      <c r="C16" t="s">
        <v>264</v>
      </c>
      <c r="D16" s="81">
        <v>-9.9998181818181799E-9</v>
      </c>
      <c r="E16">
        <v>200.00000350999801</v>
      </c>
      <c r="F16" s="81">
        <v>-9.9979999986622202E-9</v>
      </c>
      <c r="G16" s="81">
        <v>-9.9979999986618397E-9</v>
      </c>
      <c r="H16">
        <v>150.000000019998</v>
      </c>
      <c r="I16">
        <f>SUM(D16:H16)</f>
        <v>350.00000350000022</v>
      </c>
      <c r="J16">
        <v>350</v>
      </c>
    </row>
    <row r="17" spans="3:10" x14ac:dyDescent="0.25">
      <c r="C17" t="s">
        <v>71</v>
      </c>
      <c r="D17">
        <f>SUM(D14:D16)</f>
        <v>100.00000000000047</v>
      </c>
      <c r="E17">
        <f>SUM(E14:E16)</f>
        <v>300.0000000000004</v>
      </c>
      <c r="F17">
        <f>SUM(F14:F16)</f>
        <v>199.99999999999969</v>
      </c>
      <c r="G17">
        <f>SUM(G14:G16)</f>
        <v>100</v>
      </c>
      <c r="H17">
        <f>SUM(H14:H16)</f>
        <v>150.0000000000004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396</v>
      </c>
    </row>
    <row r="19" spans="3:10" x14ac:dyDescent="0.25">
      <c r="J19" t="s">
        <v>397</v>
      </c>
    </row>
    <row r="20" spans="3:10" x14ac:dyDescent="0.25">
      <c r="C20" t="s">
        <v>0</v>
      </c>
      <c r="D20">
        <f>SUMPRODUCT(D9:H11,D14:H16)</f>
        <v>13249.999898450109</v>
      </c>
      <c r="J20" t="s">
        <v>432</v>
      </c>
    </row>
    <row r="21" spans="3:10" x14ac:dyDescent="0.25">
      <c r="J21">
        <v>0</v>
      </c>
    </row>
    <row r="22" spans="3:10" x14ac:dyDescent="0.25">
      <c r="D22" t="s">
        <v>303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348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305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306</v>
      </c>
      <c r="D4" s="122">
        <v>5</v>
      </c>
      <c r="E4" s="123"/>
    </row>
    <row r="5" spans="1:5" x14ac:dyDescent="0.25">
      <c r="A5" s="63" t="s">
        <v>210</v>
      </c>
      <c r="C5" s="121" t="s">
        <v>307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308</v>
      </c>
      <c r="D6" s="124">
        <v>20</v>
      </c>
      <c r="E6" s="123"/>
    </row>
    <row r="7" spans="1:5" x14ac:dyDescent="0.25">
      <c r="A7" s="63" t="s">
        <v>211</v>
      </c>
      <c r="C7" s="121" t="s">
        <v>309</v>
      </c>
      <c r="D7" s="122">
        <v>0.1</v>
      </c>
      <c r="E7" s="123"/>
    </row>
    <row r="8" spans="1:5" x14ac:dyDescent="0.25">
      <c r="A8" s="65" t="s">
        <v>201</v>
      </c>
      <c r="C8" s="121" t="s">
        <v>310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311</v>
      </c>
      <c r="D11" s="125">
        <v>135.09256086288099</v>
      </c>
      <c r="E11" s="123"/>
    </row>
    <row r="12" spans="1:5" x14ac:dyDescent="0.25">
      <c r="C12" s="121" t="s">
        <v>312</v>
      </c>
      <c r="D12" s="122">
        <f>D11/D4</f>
        <v>27.018512172576198</v>
      </c>
      <c r="E12" s="123"/>
    </row>
    <row r="13" spans="1:5" x14ac:dyDescent="0.25">
      <c r="C13" s="121" t="s">
        <v>313</v>
      </c>
      <c r="D13" s="124">
        <f>D8*D11/2</f>
        <v>0.37011660510378352</v>
      </c>
      <c r="E13" s="123"/>
    </row>
    <row r="14" spans="1:5" x14ac:dyDescent="0.25">
      <c r="C14" s="121" t="s">
        <v>314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315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316</v>
      </c>
    </row>
    <row r="26" spans="3:4" x14ac:dyDescent="0.25">
      <c r="C26" s="87" t="s">
        <v>317</v>
      </c>
    </row>
    <row r="27" spans="3:4" x14ac:dyDescent="0.25">
      <c r="C27" s="87" t="s">
        <v>318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348</v>
      </c>
      <c r="B1" s="87"/>
      <c r="C1" s="122"/>
      <c r="D1" s="122" t="s">
        <v>319</v>
      </c>
      <c r="E1" s="122" t="s">
        <v>320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321</v>
      </c>
      <c r="K1" s="131"/>
      <c r="N1" s="132" t="s">
        <v>322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323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324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327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325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326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328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327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329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330</v>
      </c>
      <c r="O12" s="90">
        <f>$H$2</f>
        <v>3</v>
      </c>
      <c r="P12" s="90">
        <f>$I$2</f>
        <v>4</v>
      </c>
    </row>
    <row r="14" spans="1:16" x14ac:dyDescent="0.25">
      <c r="N14" s="90" t="s">
        <v>327</v>
      </c>
      <c r="O14" s="90">
        <f>$F$2</f>
        <v>1</v>
      </c>
      <c r="P14" s="90">
        <f>$G$2</f>
        <v>2</v>
      </c>
    </row>
    <row r="15" spans="1:16" x14ac:dyDescent="0.25">
      <c r="N15" s="90" t="s">
        <v>329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348</v>
      </c>
      <c r="C1" s="184" t="s">
        <v>331</v>
      </c>
      <c r="D1" s="184"/>
      <c r="E1" s="184"/>
    </row>
    <row r="2" spans="1:9" ht="16.5" thickBot="1" x14ac:dyDescent="0.35">
      <c r="A2" s="64" t="s">
        <v>205</v>
      </c>
      <c r="C2" s="142" t="s">
        <v>332</v>
      </c>
      <c r="D2" s="141">
        <v>3</v>
      </c>
      <c r="H2" s="141" t="s">
        <v>333</v>
      </c>
    </row>
    <row r="3" spans="1:9" ht="15.75" x14ac:dyDescent="0.3">
      <c r="A3" s="63" t="s">
        <v>209</v>
      </c>
      <c r="C3" s="142" t="s">
        <v>334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335</v>
      </c>
      <c r="D4" s="141">
        <v>7</v>
      </c>
      <c r="H4" s="141">
        <f>COS(RADIANS(D7))*D2</f>
        <v>2.3571428571423514</v>
      </c>
      <c r="I4" s="141">
        <f>SIN(RADIANS(D7))*D2</f>
        <v>1.8557687223958681</v>
      </c>
    </row>
    <row r="5" spans="1:9" x14ac:dyDescent="0.25">
      <c r="A5" s="63" t="s">
        <v>210</v>
      </c>
      <c r="H5" s="141">
        <f>H4+COS(RADIANS(D8))*D3</f>
        <v>6.9999999999994724</v>
      </c>
      <c r="I5" s="141">
        <f>I4+SIN(RADIANS(D8))*D3</f>
        <v>5.8664184621193272E-13</v>
      </c>
    </row>
    <row r="6" spans="1:9" ht="15.75" thickBot="1" x14ac:dyDescent="0.3">
      <c r="A6" s="64" t="b">
        <f>AND(F16)</f>
        <v>1</v>
      </c>
      <c r="C6" s="184" t="s">
        <v>228</v>
      </c>
      <c r="D6" s="184"/>
      <c r="E6" s="184"/>
    </row>
    <row r="7" spans="1:9" x14ac:dyDescent="0.25">
      <c r="A7" s="63" t="s">
        <v>211</v>
      </c>
      <c r="C7" s="143" t="s">
        <v>336</v>
      </c>
      <c r="D7" s="144">
        <v>38.213210701753802</v>
      </c>
      <c r="E7" s="141" t="s">
        <v>337</v>
      </c>
    </row>
    <row r="8" spans="1:9" x14ac:dyDescent="0.25">
      <c r="A8" s="65" t="s">
        <v>201</v>
      </c>
      <c r="C8" s="143" t="s">
        <v>338</v>
      </c>
      <c r="D8" s="144">
        <v>-21.786789298262502</v>
      </c>
      <c r="E8" s="141" t="s">
        <v>337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4" t="s">
        <v>339</v>
      </c>
      <c r="D10" s="184"/>
      <c r="E10" s="184"/>
    </row>
    <row r="11" spans="1:9" x14ac:dyDescent="0.25">
      <c r="C11" s="145" t="s">
        <v>340</v>
      </c>
      <c r="D11" s="145" t="s">
        <v>341</v>
      </c>
      <c r="E11" s="146" t="s">
        <v>342</v>
      </c>
      <c r="F11" s="146" t="s">
        <v>343</v>
      </c>
    </row>
    <row r="12" spans="1:9" x14ac:dyDescent="0.25">
      <c r="C12" s="146">
        <f>D2*COS(RADIANS(D7))+D3*COS(RADIANS(D8))</f>
        <v>6.9999999999994724</v>
      </c>
      <c r="D12" s="146">
        <f>D4</f>
        <v>7</v>
      </c>
      <c r="E12" s="146">
        <f>D12-C12</f>
        <v>5.2757798130187439E-13</v>
      </c>
      <c r="F12" s="146">
        <f>E12^2</f>
        <v>2.7833852635456092E-25</v>
      </c>
    </row>
    <row r="13" spans="1:9" x14ac:dyDescent="0.25">
      <c r="C13" s="146">
        <f>D2*SIN(RADIANS(D7))+D3*SIN(RADIANS(D8))</f>
        <v>5.8664184621193272E-13</v>
      </c>
      <c r="D13" s="146">
        <v>0</v>
      </c>
      <c r="E13" s="146">
        <f>C13-D13</f>
        <v>5.8664184621193272E-13</v>
      </c>
      <c r="F13" s="146">
        <f>E13^2</f>
        <v>3.4414865572694492E-25</v>
      </c>
    </row>
    <row r="15" spans="1:9" x14ac:dyDescent="0.25">
      <c r="C15" s="184" t="s">
        <v>344</v>
      </c>
      <c r="D15" s="184"/>
      <c r="E15" s="184"/>
      <c r="F15" s="147">
        <f>SUM(F12:F13)</f>
        <v>6.2248718208150584E-25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345</v>
      </c>
      <c r="D27" s="144">
        <v>-30</v>
      </c>
    </row>
    <row r="28" spans="3:4" x14ac:dyDescent="0.25">
      <c r="C28" s="141" t="s">
        <v>346</v>
      </c>
      <c r="D28" s="144">
        <v>50</v>
      </c>
    </row>
    <row r="30" spans="3:4" x14ac:dyDescent="0.25">
      <c r="C30" s="141" t="s">
        <v>347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348</v>
      </c>
      <c r="D1" t="s">
        <v>351</v>
      </c>
      <c r="E1" t="s">
        <v>350</v>
      </c>
      <c r="F1" t="s">
        <v>349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398</v>
      </c>
    </row>
    <row r="2" spans="1:8" x14ac:dyDescent="0.25">
      <c r="A2" s="17" t="s">
        <v>387</v>
      </c>
      <c r="B2" s="179"/>
      <c r="C2" s="179"/>
      <c r="D2" s="179"/>
      <c r="E2" s="179"/>
      <c r="F2" s="179"/>
      <c r="G2" s="179"/>
      <c r="H2" s="179"/>
    </row>
    <row r="3" spans="1:8" x14ac:dyDescent="0.25">
      <c r="A3" s="17" t="s">
        <v>440</v>
      </c>
      <c r="B3" s="179"/>
      <c r="C3" s="179"/>
      <c r="D3" s="179"/>
      <c r="E3" s="179"/>
      <c r="F3" s="179"/>
      <c r="G3" s="179"/>
      <c r="H3" s="179"/>
    </row>
    <row r="4" spans="1:8" x14ac:dyDescent="0.25">
      <c r="B4" s="179"/>
      <c r="C4" s="179"/>
      <c r="D4" s="179"/>
      <c r="E4" s="179"/>
      <c r="F4" s="179"/>
      <c r="G4" s="179"/>
      <c r="H4" s="179"/>
    </row>
    <row r="5" spans="1:8" ht="15.75" thickBot="1" x14ac:dyDescent="0.3">
      <c r="A5" s="17" t="s">
        <v>228</v>
      </c>
      <c r="B5" s="179"/>
      <c r="C5" s="179"/>
      <c r="D5" s="179"/>
      <c r="E5" s="179"/>
      <c r="F5" s="179"/>
      <c r="G5" s="179"/>
      <c r="H5" s="179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384</v>
      </c>
      <c r="C7" s="75" t="s">
        <v>388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385</v>
      </c>
      <c r="C8" s="75" t="s">
        <v>389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386</v>
      </c>
      <c r="C9" s="111" t="s">
        <v>390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9"/>
      <c r="C10" s="179"/>
      <c r="D10" s="179"/>
      <c r="E10" s="179"/>
      <c r="F10" s="179"/>
      <c r="G10" s="179"/>
      <c r="H10" s="179"/>
    </row>
    <row r="11" spans="1:8" ht="15.75" thickBot="1" x14ac:dyDescent="0.3">
      <c r="A11" s="17" t="s">
        <v>134</v>
      </c>
      <c r="B11" s="179"/>
      <c r="C11" s="179"/>
      <c r="D11" s="179"/>
      <c r="E11" s="179"/>
      <c r="F11" s="179"/>
      <c r="G11" s="179"/>
      <c r="H11" s="179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379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380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367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381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9"/>
      <c r="C17" s="179"/>
      <c r="D17" s="179"/>
      <c r="E17" s="179"/>
      <c r="F17" s="179"/>
      <c r="G17" s="179"/>
      <c r="H17" s="179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348</v>
      </c>
      <c r="D1" t="s">
        <v>351</v>
      </c>
      <c r="E1" t="s">
        <v>350</v>
      </c>
      <c r="F1" t="s">
        <v>349</v>
      </c>
      <c r="L1" t="s">
        <v>375</v>
      </c>
      <c r="M1" t="s">
        <v>376</v>
      </c>
      <c r="N1" t="s">
        <v>377</v>
      </c>
      <c r="O1" t="s">
        <v>378</v>
      </c>
    </row>
    <row r="2" spans="1:15" ht="15.75" thickBot="1" x14ac:dyDescent="0.3">
      <c r="A2" s="64" t="s">
        <v>205</v>
      </c>
      <c r="D2">
        <v>249.99999999014</v>
      </c>
      <c r="E2">
        <v>100.000000019719</v>
      </c>
      <c r="F2" s="81">
        <v>0</v>
      </c>
      <c r="L2" t="s">
        <v>379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380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50.000000003943754</v>
      </c>
      <c r="L4" t="s">
        <v>367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381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350.00000000985898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382</v>
      </c>
      <c r="M7" t="s">
        <v>383</v>
      </c>
      <c r="N7" t="s">
        <v>377</v>
      </c>
      <c r="O7" t="s">
        <v>378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-499.99999998027999</v>
      </c>
      <c r="H8" t="s">
        <v>8</v>
      </c>
      <c r="I8">
        <v>0</v>
      </c>
      <c r="L8" t="s">
        <v>384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385</v>
      </c>
      <c r="M9">
        <v>0</v>
      </c>
      <c r="N9" s="81">
        <v>1E+100</v>
      </c>
      <c r="O9" s="81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386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394</v>
      </c>
    </row>
    <row r="4" spans="1:8" ht="15.75" thickBot="1" x14ac:dyDescent="0.3">
      <c r="A4" s="64" t="s">
        <v>208</v>
      </c>
      <c r="C4" s="36">
        <v>0</v>
      </c>
      <c r="D4" s="175">
        <v>0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1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5" t="s">
        <v>157</v>
      </c>
      <c r="C33" s="186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165</vt:i4>
      </vt:variant>
    </vt:vector>
  </HeadingPairs>
  <TitlesOfParts>
    <vt:vector size="243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Test15e_Relax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Test39_SensNames2 Sensitivity</vt:lpstr>
      <vt:lpstr>Test39_SensNames2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Test15e_Relax!OpenSolver_ModelParameters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Test15e_Relax!Scale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Test15e_Relax!Sheet1OpenSolverModelParameters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2015-02-20T18:17:27Z</dcterms:modified>
</cp:coreProperties>
</file>