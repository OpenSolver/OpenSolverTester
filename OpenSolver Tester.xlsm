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1.xml" ContentType="application/vnd.openxmlformats-officedocument.drawingml.chart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harts/chart2.xml" ContentType="application/vnd.openxmlformats-officedocument.drawingml.chart+xml"/>
  <Override PartName="/xl/drawings/drawing52.xml" ContentType="application/vnd.openxmlformats-officedocument.drawing+xml"/>
  <Override PartName="/xl/charts/chart3.xml" ContentType="application/vnd.openxmlformats-officedocument.drawingml.chart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6800" windowHeight="20460" tabRatio="884" activeTab="2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Highlighting" sheetId="5" r:id="rId74"/>
    <sheet name="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Couenne</definedName>
    <definedName name="OpenSolver_ChosenSolver" localSheetId="35" hidden="1">Couenne</definedName>
    <definedName name="OpenSolver_ChosenSolver" localSheetId="20" hidden="1">Couenne</definedName>
    <definedName name="OpenSolver_ChosenSolver" localSheetId="34" hidden="1">Couenne</definedName>
    <definedName name="OpenSolver_ChosenSolver" localSheetId="8" hidden="1">Couenne</definedName>
    <definedName name="OpenSolver_ChosenSolver" localSheetId="7" hidden="1">Couenne</definedName>
    <definedName name="OpenSolver_ChosenSolver" localSheetId="47" hidden="1">Couenne</definedName>
    <definedName name="OpenSolver_ChosenSolver" localSheetId="21" hidden="1">Couenne</definedName>
    <definedName name="OpenSolver_ChosenSolver" localSheetId="22" hidden="1">Couenne</definedName>
    <definedName name="OpenSolver_ChosenSolver" localSheetId="43" hidden="1">Couenne</definedName>
    <definedName name="OpenSolver_ChosenSolver" localSheetId="40" hidden="1">Couenne</definedName>
    <definedName name="OpenSolver_ChosenSolver" localSheetId="42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53" hidden="1">Couenne</definedName>
    <definedName name="OpenSolver_ChosenSolver" localSheetId="32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0" hidden="1">Couenne</definedName>
    <definedName name="OpenSolver_ChosenSolver" localSheetId="24" hidden="1">Couenne</definedName>
    <definedName name="OpenSolver_ChosenSolver" localSheetId="28" hidden="1">Couenne</definedName>
    <definedName name="OpenSolver_ChosenSolver" localSheetId="44" hidden="1">Couenne</definedName>
    <definedName name="OpenSolver_ChosenSolver" localSheetId="46" hidden="1">Couenne</definedName>
    <definedName name="OpenSolver_ChosenSolver" localSheetId="31" hidden="1">Couenne</definedName>
    <definedName name="OpenSolver_ChosenSolver" localSheetId="27" hidden="1">Couenne</definedName>
    <definedName name="OpenSolver_ChosenSolver" localSheetId="48" hidden="1">Couenne</definedName>
    <definedName name="OpenSolver_ChosenSolver" localSheetId="5" hidden="1">Couenne</definedName>
    <definedName name="OpenSolver_ChosenSolver" localSheetId="49" hidden="1">Couenne</definedName>
    <definedName name="OpenSolver_ChosenSolver" localSheetId="37" hidden="1">Couenne</definedName>
    <definedName name="OpenSolver_ChosenSolver" localSheetId="18" hidden="1">Couenne</definedName>
    <definedName name="OpenSolver_ChosenSolver" localSheetId="19" hidden="1">Couenne</definedName>
    <definedName name="OpenSolver_ChosenSolver" localSheetId="17" hidden="1">Couenne</definedName>
    <definedName name="OpenSolver_ChosenSolver" localSheetId="16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54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69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72" hidden="1">Couenne</definedName>
    <definedName name="OpenSolver_ChosenSolver" localSheetId="66" hidden="1">Couenne</definedName>
    <definedName name="OpenSolver_ChosenSolver" localSheetId="65" hidden="1">Couenne</definedName>
    <definedName name="OpenSolver_ChosenSolver" localSheetId="61" hidden="1">Couenne</definedName>
    <definedName name="OpenSolver_ChosenSolver" localSheetId="64" hidden="1">Couenne</definedName>
    <definedName name="OpenSolver_ChosenSolver" localSheetId="62" hidden="1">Couenne</definedName>
    <definedName name="OpenSolver_ChosenSolver" localSheetId="63" hidden="1">Couenne</definedName>
    <definedName name="OpenSolver_ChosenSolver" localSheetId="60" hidden="1">Couenne</definedName>
    <definedName name="OpenSolver_ChosenSolver" localSheetId="50" hidden="1">Couenne</definedName>
    <definedName name="OpenSolver_ChosenSolver" localSheetId="6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30" hidden="1">Couenne</definedName>
    <definedName name="OpenSolver_ChosenSolver" localSheetId="55" hidden="1">Couenne</definedName>
    <definedName name="OpenSolver_ChosenSolver" localSheetId="36" hidden="1">Couenne</definedName>
    <definedName name="OpenSolver_ChosenSolver" localSheetId="2" hidden="1">CBC</definedName>
    <definedName name="OpenSolver_ChosenSolver" localSheetId="51" hidden="1">Couenne</definedName>
    <definedName name="OpenSolver_ChosenSolver" localSheetId="52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4" hidden="1">Couenne</definedName>
    <definedName name="OpenSolver_ChosenSolver" localSheetId="3" hidden="1">Couenne</definedName>
    <definedName name="OpenSolver_ChosenSolver" localSheetId="33" hidden="1">Couenne</definedName>
    <definedName name="OpenSolver_ChosenSolver" localSheetId="56" hidden="1">Couenne</definedName>
    <definedName name="OpenSolver_ChosenSolver" localSheetId="13" hidden="1">Couenne</definedName>
    <definedName name="OpenSolver_ChosenSolver" localSheetId="9" hidden="1">Couenne</definedName>
    <definedName name="OpenSolver_ChosenSolver" localSheetId="29" hidden="1">Couenne</definedName>
    <definedName name="OpenSolver_ChosenSolver" localSheetId="45" hidden="1">Couenne</definedName>
    <definedName name="OpenSolver_ChosenSolver" localSheetId="41" hidden="1">Couenne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56" hidden="1">SolverParameters!$R$5:$S$5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3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3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999999999</definedName>
    <definedName name="solver_itr" localSheetId="35" hidden="1">999999999</definedName>
    <definedName name="solver_itr" localSheetId="20" hidden="1">999999999</definedName>
    <definedName name="solver_itr" localSheetId="34" hidden="1">999999999</definedName>
    <definedName name="solver_itr" localSheetId="8" hidden="1">999999999</definedName>
    <definedName name="solver_itr" localSheetId="7" hidden="1">999999999</definedName>
    <definedName name="solver_itr" localSheetId="47" hidden="1">999999999</definedName>
    <definedName name="solver_itr" localSheetId="21" hidden="1">999999999</definedName>
    <definedName name="solver_itr" localSheetId="22" hidden="1">999999999</definedName>
    <definedName name="solver_itr" localSheetId="43" hidden="1">999999999</definedName>
    <definedName name="solver_itr" localSheetId="40" hidden="1">999999999</definedName>
    <definedName name="solver_itr" localSheetId="42" hidden="1">999999999</definedName>
    <definedName name="solver_itr" localSheetId="25" hidden="1">999999999</definedName>
    <definedName name="solver_itr" localSheetId="53" hidden="1">999999999</definedName>
    <definedName name="solver_itr" localSheetId="32" hidden="1">999999999</definedName>
    <definedName name="solver_itr" localSheetId="11" hidden="1">999999999</definedName>
    <definedName name="solver_itr" localSheetId="10" hidden="1">999999999</definedName>
    <definedName name="solver_itr" localSheetId="24" hidden="1">999999999</definedName>
    <definedName name="solver_itr" localSheetId="28" hidden="1">999999999</definedName>
    <definedName name="solver_itr" localSheetId="44" hidden="1">999999999</definedName>
    <definedName name="solver_itr" localSheetId="46" hidden="1">999999999</definedName>
    <definedName name="solver_itr" localSheetId="31" hidden="1">999999999</definedName>
    <definedName name="solver_itr" localSheetId="27" hidden="1">999999999</definedName>
    <definedName name="solver_itr" localSheetId="48" hidden="1">999999999</definedName>
    <definedName name="solver_itr" localSheetId="5" hidden="1">999999999</definedName>
    <definedName name="solver_itr" localSheetId="49" hidden="1">999999999</definedName>
    <definedName name="solver_itr" localSheetId="37" hidden="1">999999999</definedName>
    <definedName name="solver_itr" localSheetId="18" hidden="1">999999999</definedName>
    <definedName name="solver_itr" localSheetId="19" hidden="1">999999999</definedName>
    <definedName name="solver_itr" localSheetId="17" hidden="1">999999999</definedName>
    <definedName name="solver_itr" localSheetId="15" hidden="1">999999999</definedName>
    <definedName name="solver_itr" localSheetId="54" hidden="1">999999999</definedName>
    <definedName name="solver_itr" localSheetId="67" hidden="1">999999999</definedName>
    <definedName name="solver_itr" localSheetId="68" hidden="1">999999999</definedName>
    <definedName name="solver_itr" localSheetId="69" hidden="1">999999999</definedName>
    <definedName name="solver_itr" localSheetId="70" hidden="1">999999999</definedName>
    <definedName name="solver_itr" localSheetId="71" hidden="1">999999999</definedName>
    <definedName name="solver_itr" localSheetId="72" hidden="1">999999999</definedName>
    <definedName name="solver_itr" localSheetId="66" hidden="1">999999999</definedName>
    <definedName name="solver_itr" localSheetId="65" hidden="1">999999999</definedName>
    <definedName name="solver_itr" localSheetId="61" hidden="1">999999999</definedName>
    <definedName name="solver_itr" localSheetId="64" hidden="1">999999999</definedName>
    <definedName name="solver_itr" localSheetId="62" hidden="1">999999999</definedName>
    <definedName name="solver_itr" localSheetId="63" hidden="1">999999999</definedName>
    <definedName name="solver_itr" localSheetId="60" hidden="1">999999999</definedName>
    <definedName name="solver_itr" localSheetId="50" hidden="1">999999999</definedName>
    <definedName name="solver_itr" localSheetId="6" hidden="1">999999999</definedName>
    <definedName name="solver_itr" localSheetId="38" hidden="1">999999999</definedName>
    <definedName name="solver_itr" localSheetId="39" hidden="1">999999999</definedName>
    <definedName name="solver_itr" localSheetId="36" hidden="1">999999999</definedName>
    <definedName name="solver_itr" localSheetId="2" hidden="1">999999999</definedName>
    <definedName name="solver_itr" localSheetId="51" hidden="1">999999999</definedName>
    <definedName name="solver_itr" localSheetId="52" hidden="1">999999999</definedName>
    <definedName name="solver_itr" localSheetId="58" hidden="1">999999999</definedName>
    <definedName name="solver_itr" localSheetId="59" hidden="1">999999999</definedName>
    <definedName name="solver_itr" localSheetId="4" hidden="1">999999999</definedName>
    <definedName name="solver_itr" localSheetId="3" hidden="1">1E+25</definedName>
    <definedName name="solver_itr" localSheetId="33" hidden="1">999999999</definedName>
    <definedName name="solver_itr" localSheetId="56" hidden="1">999999999</definedName>
    <definedName name="solver_itr" localSheetId="9" hidden="1">999999999</definedName>
    <definedName name="solver_itr" localSheetId="29" hidden="1">999999999</definedName>
    <definedName name="solver_itr" localSheetId="45" hidden="1">999999999</definedName>
    <definedName name="solver_itr" localSheetId="41" hidden="1">999999999</definedName>
    <definedName name="solver_itr" localSheetId="57" hidden="1">999999999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999999999</definedName>
    <definedName name="solver_tim" localSheetId="35" hidden="1">999999999</definedName>
    <definedName name="solver_tim" localSheetId="20" hidden="1">999999999</definedName>
    <definedName name="solver_tim" localSheetId="34" hidden="1">999999999</definedName>
    <definedName name="solver_tim" localSheetId="8" hidden="1">999999999</definedName>
    <definedName name="solver_tim" localSheetId="7" hidden="1">999999999</definedName>
    <definedName name="solver_tim" localSheetId="47" hidden="1">999999999</definedName>
    <definedName name="solver_tim" localSheetId="21" hidden="1">999999999</definedName>
    <definedName name="solver_tim" localSheetId="22" hidden="1">999999999</definedName>
    <definedName name="solver_tim" localSheetId="43" hidden="1">999999999</definedName>
    <definedName name="solver_tim" localSheetId="40" hidden="1">999999999</definedName>
    <definedName name="solver_tim" localSheetId="42" hidden="1">999999999</definedName>
    <definedName name="solver_tim" localSheetId="25" hidden="1">999999999</definedName>
    <definedName name="solver_tim" localSheetId="53" hidden="1">999999999</definedName>
    <definedName name="solver_tim" localSheetId="32" hidden="1">999999999</definedName>
    <definedName name="solver_tim" localSheetId="11" hidden="1">999999999</definedName>
    <definedName name="solver_tim" localSheetId="10" hidden="1">999999999</definedName>
    <definedName name="solver_tim" localSheetId="24" hidden="1">999999999</definedName>
    <definedName name="solver_tim" localSheetId="28" hidden="1">999999999</definedName>
    <definedName name="solver_tim" localSheetId="44" hidden="1">999999999</definedName>
    <definedName name="solver_tim" localSheetId="46" hidden="1">999999999</definedName>
    <definedName name="solver_tim" localSheetId="31" hidden="1">999999999</definedName>
    <definedName name="solver_tim" localSheetId="27" hidden="1">999999999</definedName>
    <definedName name="solver_tim" localSheetId="48" hidden="1">999999999</definedName>
    <definedName name="solver_tim" localSheetId="5" hidden="1">999999999</definedName>
    <definedName name="solver_tim" localSheetId="49" hidden="1">999999999</definedName>
    <definedName name="solver_tim" localSheetId="37" hidden="1">999999999</definedName>
    <definedName name="solver_tim" localSheetId="18" hidden="1">999999999</definedName>
    <definedName name="solver_tim" localSheetId="19" hidden="1">999999999</definedName>
    <definedName name="solver_tim" localSheetId="17" hidden="1">999999999</definedName>
    <definedName name="solver_tim" localSheetId="15" hidden="1">999999999</definedName>
    <definedName name="solver_tim" localSheetId="54" hidden="1">999999999</definedName>
    <definedName name="solver_tim" localSheetId="67" hidden="1">999999999</definedName>
    <definedName name="solver_tim" localSheetId="68" hidden="1">999999999</definedName>
    <definedName name="solver_tim" localSheetId="69" hidden="1">999999999</definedName>
    <definedName name="solver_tim" localSheetId="70" hidden="1">999999999</definedName>
    <definedName name="solver_tim" localSheetId="71" hidden="1">999999999</definedName>
    <definedName name="solver_tim" localSheetId="72" hidden="1">999999999</definedName>
    <definedName name="solver_tim" localSheetId="66" hidden="1">999999999</definedName>
    <definedName name="solver_tim" localSheetId="65" hidden="1">999999999</definedName>
    <definedName name="solver_tim" localSheetId="61" hidden="1">999999999</definedName>
    <definedName name="solver_tim" localSheetId="64" hidden="1">999999999</definedName>
    <definedName name="solver_tim" localSheetId="62" hidden="1">999999999</definedName>
    <definedName name="solver_tim" localSheetId="63" hidden="1">999999999</definedName>
    <definedName name="solver_tim" localSheetId="60" hidden="1">999999999</definedName>
    <definedName name="solver_tim" localSheetId="50" hidden="1">999999999</definedName>
    <definedName name="solver_tim" localSheetId="6" hidden="1">999999999</definedName>
    <definedName name="solver_tim" localSheetId="38" hidden="1">999999999</definedName>
    <definedName name="solver_tim" localSheetId="39" hidden="1">999999999</definedName>
    <definedName name="solver_tim" localSheetId="36" hidden="1">999999999</definedName>
    <definedName name="solver_tim" localSheetId="2" hidden="1">1E+25</definedName>
    <definedName name="solver_tim" localSheetId="51" hidden="1">999999999</definedName>
    <definedName name="solver_tim" localSheetId="52" hidden="1">999999999</definedName>
    <definedName name="solver_tim" localSheetId="58" hidden="1">999999999</definedName>
    <definedName name="solver_tim" localSheetId="59" hidden="1">999999999</definedName>
    <definedName name="solver_tim" localSheetId="4" hidden="1">999999999</definedName>
    <definedName name="solver_tim" localSheetId="3" hidden="1">1E+25</definedName>
    <definedName name="solver_tim" localSheetId="33" hidden="1">999999999</definedName>
    <definedName name="solver_tim" localSheetId="56" hidden="1">999999999</definedName>
    <definedName name="solver_tim" localSheetId="9" hidden="1">999999999</definedName>
    <definedName name="solver_tim" localSheetId="29" hidden="1">999999999</definedName>
    <definedName name="solver_tim" localSheetId="45" hidden="1">999999999</definedName>
    <definedName name="solver_tim" localSheetId="41" hidden="1">999999999</definedName>
    <definedName name="solver_tim" localSheetId="57" hidden="1">999999999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0.05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2" i="60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D18" i="10"/>
  <c r="E18" i="10"/>
  <c r="F18" i="10"/>
  <c r="H7" i="10"/>
  <c r="D22" i="10"/>
  <c r="A6" i="10"/>
  <c r="A8" i="10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H11" i="10"/>
  <c r="H10" i="10"/>
  <c r="A10" i="10"/>
  <c r="H9" i="10"/>
  <c r="A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<sst xmlns="http://schemas.openxmlformats.org/spreadsheetml/2006/main" count="2522" uniqueCount="423">
  <si>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</si>
  <si>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</si>
  <si>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</si>
  <si>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</si>
  <si>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</si>
  <si>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</si>
  <si>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</si>
  <si>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</si>
  <si>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</si>
  <si>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</si>
  <si>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</si>
  <si>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</si>
  <si>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</si>
  <si>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</si>
  <si>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</si>
  <si>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</si>
  <si>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</si>
  <si>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</si>
  <si>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</si>
  <si>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</si>
  <si>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</si>
  <si>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</si>
  <si>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</si>
  <si>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</si>
  <si>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</si>
  <si>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</si>
  <si>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</si>
  <si>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</si>
  <si>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</si>
  <si>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</si>
  <si>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</si>
  <si>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</si>
  <si>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</si>
  <si>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</si>
  <si>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</si>
  <si>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</si>
  <si>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</si>
  <si>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</si>
  <si>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</si>
  <si>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</si>
  <si>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</si>
  <si>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</si>
  <si>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</si>
  <si>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</si>
  <si>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</si>
  <si>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</si>
  <si>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</si>
  <si>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</si>
  <si>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</si>
  <si>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</si>
  <si>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</si>
  <si>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</si>
  <si>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</si>
  <si>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</si>
  <si>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</si>
  <si>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</si>
  <si>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</si>
  <si>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</si>
  <si>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</si>
  <si>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</si>
  <si>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</si>
  <si>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</si>
  <si>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</si>
  <si>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</si>
  <si>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</si>
  <si>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</si>
  <si>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</si>
  <si>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</si>
  <si>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</si>
  <si>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</si>
  <si>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</si>
  <si>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</si>
  <si>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</si>
  <si>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</si>
  <si>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</si>
  <si>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</si>
  <si>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</si>
  <si>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</si>
  <si>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</si>
  <si>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</si>
  <si>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</si>
  <si>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</si>
  <si>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</si>
  <si>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</si>
  <si>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</si>
  <si>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</si>
  <si>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</si>
  <si>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</si>
  <si>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</si>
  <si>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</si>
  <si>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</si>
  <si>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</si>
  <si>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</si>
  <si>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</si>
  <si>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</si>
  <si>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</si>
  <si>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</si>
  <si>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</si>
  <si>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</si>
  <si>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</si>
  <si>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</si>
  <si>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</si>
  <si>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</si>
  <si>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</si>
  <si>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</si>
  <si>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</si>
  <si>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</si>
  <si>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</si>
  <si>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</si>
  <si>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</si>
  <si>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</si>
  <si>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</si>
  <si>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</si>
  <si>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</si>
  <si>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</si>
  <si>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</si>
  <si>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</si>
  <si>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</si>
  <si>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</si>
  <si>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</si>
  <si>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</si>
  <si>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</si>
  <si>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</si>
  <si>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</si>
  <si>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</si>
  <si>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</si>
  <si>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</si>
  <si>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</si>
  <si>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</si>
  <si>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</si>
  <si>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</si>
  <si>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</si>
  <si>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</si>
  <si>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</si>
  <si>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</si>
  <si>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</si>
  <si>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</si>
  <si>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</si>
  <si>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</si>
  <si>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</si>
  <si>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</si>
  <si>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</si>
  <si>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</si>
  <si>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</si>
  <si>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</si>
  <si>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</si>
  <si>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</si>
  <si>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</si>
  <si>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</si>
  <si>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</si>
  <si>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</si>
  <si>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</si>
  <si>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</si>
  <si>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</si>
  <si>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</si>
  <si>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</si>
  <si>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</si>
  <si>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</si>
  <si>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</si>
  <si>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</si>
  <si>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</si>
  <si>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</si>
  <si>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</si>
  <si>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</si>
  <si>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</si>
  <si>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</si>
  <si>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</si>
  <si>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</si>
  <si>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</si>
  <si>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</si>
  <si>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</si>
  <si>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</si>
  <si>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</si>
  <si>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</si>
  <si>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</si>
  <si>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</si>
  <si>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</si>
  <si>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</si>
  <si>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</si>
  <si>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</si>
  <si>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</si>
  <si>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</si>
  <si>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</si>
  <si>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</si>
  <si>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</si>
  <si>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</si>
  <si>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</si>
  <si>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</si>
  <si>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</si>
  <si>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</si>
  <si>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</si>
  <si>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</si>
  <si>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</si>
  <si>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</si>
  <si>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</si>
  <si>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</si>
  <si>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</si>
  <si>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</si>
  <si>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</si>
  <si>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</si>
  <si>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</si>
  <si>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</si>
  <si>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</si>
  <si>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</si>
  <si>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</si>
  <si>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</si>
  <si>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</si>
  <si>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</si>
  <si>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</si>
  <si>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</si>
  <si>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</si>
  <si>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</si>
  <si>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</si>
  <si>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</si>
  <si>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</si>
  <si>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</si>
  <si>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</si>
  <si>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</si>
  <si>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</si>
  <si>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</si>
  <si>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</si>
  <si>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</si>
  <si>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</si>
  <si>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</si>
  <si>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</si>
  <si>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</si>
  <si>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</si>
  <si>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</si>
  <si>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</si>
  <si>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</si>
  <si>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</si>
  <si>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</si>
  <si>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</si>
  <si>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</si>
  <si>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</si>
  <si>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</si>
  <si>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</si>
  <si>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</si>
  <si>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</si>
  <si>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</si>
  <si>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</si>
  <si>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</si>
  <si>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</si>
  <si>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</si>
  <si>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</si>
  <si>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</si>
  <si>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</si>
  <si>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</si>
  <si>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</si>
  <si>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</si>
  <si>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</si>
  <si>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</si>
  <si>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</si>
  <si>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</si>
  <si>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</si>
  <si>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</si>
  <si>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</si>
  <si>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</si>
  <si>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</si>
  <si>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</si>
  <si>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</si>
  <si>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</si>
  <si>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</si>
  <si>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</si>
  <si>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</si>
  <si>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</si>
  <si>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</si>
  <si>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</si>
  <si>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</si>
  <si>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</si>
  <si>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</si>
  <si>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</si>
  <si>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</si>
  <si>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</si>
  <si>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</si>
  <si>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</si>
  <si>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</si>
  <si>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</si>
  <si>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</si>
  <si>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</si>
  <si>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</si>
  <si>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</si>
  <si>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</si>
  <si>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</si>
  <si>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</si>
  <si>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</si>
  <si>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</si>
  <si>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</si>
  <si>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</si>
  <si>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</si>
  <si>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</si>
  <si>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</si>
  <si>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</si>
  <si>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</si>
  <si>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</si>
  <si>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</si>
  <si>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</si>
  <si>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</si>
  <si>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</si>
  <si>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</si>
  <si>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</si>
  <si>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</si>
  <si>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</si>
  <si>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</si>
  <si>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</si>
  <si>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</si>
  <si>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</si>
  <si>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</si>
  <si>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</si>
  <si>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</si>
  <si>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</si>
  <si>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</si>
  <si>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</si>
  <si>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</si>
  <si>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</si>
  <si>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</si>
  <si>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</si>
  <si>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</si>
  <si>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</si>
  <si>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</si>
  <si>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</si>
  <si>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</si>
  <si>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</si>
  <si>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</si>
  <si>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</si>
  <si>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</si>
  <si>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</si>
  <si>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</si>
  <si>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</si>
  <si>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</si>
  <si>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</si>
  <si>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</si>
  <si>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</si>
  <si>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</si>
  <si>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</si>
  <si>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</si>
  <si>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</si>
  <si>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</si>
  <si>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</si>
  <si>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</si>
  <si>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</si>
  <si>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</si>
  <si>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</si>
  <si>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</si>
  <si>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</si>
  <si>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</si>
  <si>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</si>
  <si>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</si>
  <si>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</si>
  <si>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</si>
  <si>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</si>
  <si>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</si>
  <si>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</si>
  <si>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</si>
  <si>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</si>
  <si>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</si>
  <si>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</si>
  <si>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</si>
  <si>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</si>
  <si>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</si>
  <si>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</si>
  <si>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</si>
  <si>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</si>
  <si>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</si>
  <si>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</si>
  <si>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</si>
  <si>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</si>
  <si>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</si>
  <si>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</si>
  <si>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</si>
  <si>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</si>
  <si>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</si>
  <si>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</si>
  <si>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</si>
  <si>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</si>
  <si>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</si>
  <si>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</si>
  <si>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</si>
  <si>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</si>
  <si>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</si>
  <si>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</si>
  <si>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</si>
  <si>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</si>
  <si>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</si>
  <si>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</si>
  <si>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</si>
  <si>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</si>
  <si>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</si>
  <si>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</si>
  <si>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</si>
  <si>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</si>
  <si>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</si>
  <si>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</si>
  <si>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</si>
  <si>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</si>
  <si>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</si>
  <si>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</si>
  <si>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</si>
  <si>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</si>
  <si>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</si>
  <si>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</si>
  <si>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</si>
  <si>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</si>
  <si>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</si>
  <si>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</si>
  <si>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</si>
  <si>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</si>
  <si>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</si>
  <si>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</si>
  <si>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</si>
  <si>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</si>
  <si>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</si>
  <si>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</si>
  <si>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</si>
  <si>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</si>
  <si>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</si>
  <si>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</si>
  <si>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</si>
  <si>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</si>
  <si>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FAIL</t>
  </si>
  <si>
    <t>FAIL*</t>
  </si>
  <si>
    <t>NA</t>
  </si>
  <si>
    <t>Works on Excel 2016, result now changes based on INFO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</si>
</sst>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44387184"/>
        <c:axId val="546188944"/>
        <c:axId val="545784440"/>
      </c:surface3DChart>
      <c:catAx>
        <c:axId val="4443871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894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4618894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387184"/>
        <c:crosses val="min"/>
        <c:crossBetween val="between"/>
        <c:majorUnit val="0.1"/>
      </c:valAx>
      <c:serAx>
        <c:axId val="545784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894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90120"/>
        <c:axId val="546187376"/>
      </c:scatterChart>
      <c:valAx>
        <c:axId val="5461901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7376"/>
        <c:crosses val="autoZero"/>
        <c:crossBetween val="midCat"/>
        <c:majorUnit val="0.5"/>
      </c:valAx>
      <c:valAx>
        <c:axId val="54618737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01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2.3571428552810598</c:v>
                </c:pt>
                <c:pt idx="2">
                  <c:v>6.9999999979988861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1.8557687247600261</c:v>
                </c:pt>
                <c:pt idx="2">
                  <c:v>2.0162513880706001E-9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92864"/>
        <c:axId val="546193256"/>
      </c:scatterChart>
      <c:valAx>
        <c:axId val="54619286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3256"/>
        <c:crosses val="autoZero"/>
        <c:crossBetween val="midCat"/>
        <c:majorUnit val="1"/>
      </c:valAx>
      <c:valAx>
        <c:axId val="5461932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28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/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/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/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/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/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/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V8" sqref="V8"/>
    </sheetView>
  </sheetViews>
  <sheetFormatPr defaultColWidth="8.875" defaultRowHeight="15" x14ac:dyDescent="0.25"/>
  <cols>
    <col min="1" max="2" width="8.875" style="61"/>
    <col min="4" max="5" width="8.875" style="61"/>
    <col min="7" max="8" width="8.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2"/>
  <sheetViews>
    <sheetView tabSelected="1" zoomScale="85" zoomScaleNormal="85" zoomScalePageLayoutView="85" workbookViewId="0"/>
  </sheetViews>
  <sheetFormatPr defaultColWidth="9.125" defaultRowHeight="15" x14ac:dyDescent="0.25"/>
  <cols>
    <col min="1" max="1" width="26.75" style="154" customWidth="1"/>
    <col min="2" max="16384" width="9.125" style="59"/>
  </cols>
  <sheetData>
    <row r="1" spans="1:19" s="150" customFormat="1" ht="63" customHeight="1" thickBot="1" x14ac:dyDescent="0.3">
      <c r="A1" s="152"/>
      <c r="C1" s="185" t="s">
        <v>318</v>
      </c>
      <c r="D1" s="185"/>
      <c r="E1" s="185"/>
      <c r="F1" s="185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196</v>
      </c>
      <c r="G2" s="149" t="s">
        <v>232</v>
      </c>
      <c r="H2" s="149" t="s">
        <v>231</v>
      </c>
      <c r="I2" s="149" t="s">
        <v>306</v>
      </c>
    </row>
    <row r="3" spans="1:1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1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19" x14ac:dyDescent="0.25">
      <c r="A5" s="155" t="str">
        <f>HYPERLINK("[OpenSolver Tester.xlsm]'IP_SUMIF'!A1", "IP_SUMIF")</f>
        <v>IP_SUMIF</v>
      </c>
      <c r="B5" s="59" t="s">
        <v>332</v>
      </c>
      <c r="C5" s="59" t="s">
        <v>332</v>
      </c>
      <c r="D5" s="59" t="s">
        <v>332</v>
      </c>
      <c r="E5" s="59" t="s">
        <v>419</v>
      </c>
      <c r="F5" s="59" t="s">
        <v>419</v>
      </c>
      <c r="G5" s="59" t="s">
        <v>419</v>
      </c>
      <c r="H5" t="s">
        <v>419</v>
      </c>
      <c r="I5" s="59" t="s">
        <v>419</v>
      </c>
    </row>
    <row r="6" spans="1:19" x14ac:dyDescent="0.25">
      <c r="A6" s="155" t="str">
        <f>HYPERLINK("[OpenSolver Tester.xlsm]'OverlappingVars'!A1", "OverlappingVars")</f>
        <v>OverlappingVars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19" x14ac:dyDescent="0.25">
      <c r="A7" s="155" t="str">
        <f>HYPERLINK("[OpenSolver Tester.xlsm]'BlankRHS'!A1", "BlankRHS")</f>
        <v>BlankRHS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19" x14ac:dyDescent="0.25">
      <c r="A8" s="155" t="str">
        <f>HYPERLINK("[OpenSolver Tester.xlsm]'BlankLHS'!A1", "BlankLHS")</f>
        <v>BlankLHS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19" x14ac:dyDescent="0.25">
      <c r="A9" s="155" t="str">
        <f>HYPERLINK("[OpenSolver Tester.xlsm]'TextRHS'!A1", "TextRHS")</f>
        <v>TextRHS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19" x14ac:dyDescent="0.25">
      <c r="A10" s="155" t="str">
        <f>HYPERLINK("[OpenSolver Tester.xlsm]'ErrorRHS'!A1", "ErrorRHS")</f>
        <v>ErrorRHS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19" x14ac:dyDescent="0.25">
      <c r="A11" s="155" t="str">
        <f>HYPERLINK("[OpenSolver Tester.xlsm]'ErrorLHS'!A1", "ErrorLHS")</f>
        <v>ErrorLHS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Tester.xlsm]'MergedRHS_OK'!A1", "MergedRHS_OK")</f>
        <v>MergedRHS_OK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Tester.xlsm]'MergedLHS_OK'!A1", "MergedLHS_OK")</f>
        <v>MergedLHS_OK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Tester.xlsm]'MergedLHSMultiple_OK'!A1", "MergedLHSMultiple_OK")</f>
        <v>MergedLHSMultiple_OK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Tester.xlsm]'BinIntOverlap'!A1", "BinIntOverlap")</f>
        <v>BinIntOverlap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Tester.xlsm]'ConFormula'!A1", "ConFormula")</f>
        <v>ConFormula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Tester.xlsm]'ConFormulaInf'!A1", "ConFormulaInf")</f>
        <v>ConFormulaInf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Tester.xlsm]'BadName!'!A1", "BadName!")</f>
        <v>BadName!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Tester.xlsm]'EscapeSheetName(1)+2-1'!A1", "EscapeSheetName(1)+2-1")</f>
        <v>EscapeSheetName(1)+2-1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Tester.xlsm]'DeletedConRef'!A1", "DeletedConRef")</f>
        <v>DeletedConRef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332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Tester.xlsm]'DeletedObjRef'!A1", "DeletedObjRef")</f>
        <v>DeletedObjRef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Tester.xlsm]'InfConstConstraint'!A1", "InfConstConstraint")</f>
        <v>InfConstConstraint</v>
      </c>
      <c r="B27" s="59" t="s">
        <v>332</v>
      </c>
      <c r="C27" s="59" t="s">
        <v>332</v>
      </c>
      <c r="D27" s="59" t="s">
        <v>332</v>
      </c>
      <c r="E27" s="59" t="s">
        <v>419</v>
      </c>
      <c r="F27" s="59" t="s">
        <v>332</v>
      </c>
      <c r="G27" s="59" t="s">
        <v>332</v>
      </c>
      <c r="H27" s="59" t="s">
        <v>332</v>
      </c>
      <c r="I27" s="59" t="s">
        <v>420</v>
      </c>
    </row>
    <row r="28" spans="1:9" x14ac:dyDescent="0.25">
      <c r="A28" s="155" t="str">
        <f>HYPERLINK("[OpenSolver Tester.xlsm]'FeasConstConstraint'!A1", "FeasConstConstraint")</f>
        <v>FeasConstConstraint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Tester.xlsm]'Unbounded'!A1", "Unbounded")</f>
        <v>Unbounded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420</v>
      </c>
      <c r="G29" s="59" t="s">
        <v>332</v>
      </c>
      <c r="H29" s="59" t="s">
        <v>420</v>
      </c>
      <c r="I29" s="59" t="s">
        <v>420</v>
      </c>
    </row>
    <row r="30" spans="1:9" x14ac:dyDescent="0.25">
      <c r="A30" s="155" t="str">
        <f>HYPERLINK("[OpenSolver Tester.xlsm]'ProtectedSheet'!A1", "ProtectedSheet")</f>
        <v>ProtectedSheet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Tester.xlsm]'IndirectLBs'!A1", "IndirectLBs")</f>
        <v>IndirectLBs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Tester.xlsm]'DirectLBs'!A1", "DirectLBs")</f>
        <v>DirectLBs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332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Tester.xlsm]'SingleRangeLB'!A1", "SingleRangeLB")</f>
        <v>SingleRangeLB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Tester.xlsm]'BinLB'!A1", "BinLB")</f>
        <v>BinLB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420</v>
      </c>
    </row>
    <row r="35" spans="1:9" x14ac:dyDescent="0.25">
      <c r="A35" s="155" t="str">
        <f>HYPERLINK("[OpenSolver Tester.xlsm]'BinIntLB'!A1", "BinIntLB")</f>
        <v>BinIntLB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420</v>
      </c>
    </row>
    <row r="36" spans="1:9" x14ac:dyDescent="0.25">
      <c r="A36" s="155" t="str">
        <f>HYPERLINK("[OpenSolver Tester.xlsm]'Relaxation'!A1", "Relaxation")</f>
        <v>Relaxation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Tester.xlsm]'LargeRangeLB'!A1", "LargeRangeLB")</f>
        <v>LargeRangeLB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Tester.xlsm]'OverlapRangeLB'!A1", "OverlapRangeLB")</f>
        <v>OverlapRangeLB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Tester.xlsm]'OverlapRangeLBwithFormula'!A1", "OverlapRangeLBwithFormula")</f>
        <v>OverlapRangeLBwithFormula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Tester.xlsm]'ConstFormulaRangeLB'!A1", "ConstFormulaRangeLB")</f>
        <v>ConstFormulaRangeLB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Tester.xlsm]'VariableFormulaRangeLB'!A1", "VariableFormulaRangeLB")</f>
        <v>VariableFormulaRangeLB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Tester.xlsm]'ConstraintLB'!A1", "ConstraintLB")</f>
        <v>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332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Tester.xlsm]'ConstantLB'!A1", "ConstantLB")</f>
        <v>ConstantLB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Tester.xlsm]'FormulaLB'!A1", "FormulaLB")</f>
        <v>FormulaLB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420</v>
      </c>
    </row>
    <row r="45" spans="1:9" x14ac:dyDescent="0.25">
      <c r="A45" s="155" t="str">
        <f>HYPERLINK("[OpenSolver Tester.xlsm]'VarConstraintLB'!A1", "VarConstraintLB")</f>
        <v>VarConstraintLB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420</v>
      </c>
    </row>
    <row r="46" spans="1:9" x14ac:dyDescent="0.25">
      <c r="A46" s="155" t="str">
        <f>HYPERLINK("[OpenSolver Tester.xlsm]'FractionalCoeffs'!A1", "FractionalCoeffs")</f>
        <v>FractionalCoeffs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Tester.xlsm]'ComplexLayout'!A1", "ComplexLayout")</f>
        <v>ComplexLayout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Tester.xlsm]'InfModel'!A1", "InfModel")</f>
        <v>InfModel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Tester.xlsm]'IterativeCalc'!A1", "IterativeCalc")</f>
        <v>IterativeCalc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Tester.xlsm]'NoObj'!A1", "NoObj")</f>
        <v>NoObj</v>
      </c>
      <c r="B50" s="59" t="s">
        <v>332</v>
      </c>
      <c r="C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Tester.xlsm]'SeekObj'!A1", "SeekObj")</f>
        <v>SeekObj</v>
      </c>
      <c r="B51" s="59" t="s">
        <v>332</v>
      </c>
      <c r="C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Tester.xlsm]'SeekObjInf'!A1", "SeekObjInf")</f>
        <v>SeekObjInf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419</v>
      </c>
    </row>
    <row r="53" spans="1:9" x14ac:dyDescent="0.25">
      <c r="A53" s="155" t="str">
        <f>HYPERLINK("[OpenSolver Tester.xlsm]'DiffSheetObj'!A1", "DiffSheetObj")</f>
        <v>DiffSheetObj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332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Tester.xlsm]'NamedRanges'!A1", "NamedRanges")</f>
        <v>NamedRanges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Tester.xlsm]'QuickSolve'!A1", "QuickSolve")</f>
        <v>QuickSolve</v>
      </c>
      <c r="B55" s="59" t="s">
        <v>332</v>
      </c>
      <c r="C55" s="59" t="s">
        <v>332</v>
      </c>
      <c r="D55" s="59" t="s">
        <v>332</v>
      </c>
      <c r="E55" s="59" t="s">
        <v>421</v>
      </c>
      <c r="F55" s="59" t="s">
        <v>421</v>
      </c>
      <c r="G55" s="59" t="s">
        <v>421</v>
      </c>
      <c r="H55" s="59" t="s">
        <v>421</v>
      </c>
      <c r="I55" s="59" t="s">
        <v>421</v>
      </c>
    </row>
    <row r="56" spans="1:9" x14ac:dyDescent="0.25">
      <c r="A56" s="155" t="str">
        <f>HYPERLINK("[OpenSolver Tester.xlsm]'SolverParameters'!A1", "SolverParameters")</f>
        <v>SolverParameters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419</v>
      </c>
      <c r="I56" s="59" t="s">
        <v>420</v>
      </c>
    </row>
    <row r="57" spans="1:9" x14ac:dyDescent="0.25">
      <c r="A57" s="155" t="str">
        <f>HYPERLINK("[OpenSolver Tester.xlsm]'Warmstart'!A1", "Warmstart")</f>
        <v>Warmstart</v>
      </c>
      <c r="B57" s="59" t="s">
        <v>421</v>
      </c>
      <c r="C57" s="59" t="s">
        <v>332</v>
      </c>
      <c r="D57" s="59" t="s">
        <v>421</v>
      </c>
      <c r="E57" s="59" t="s">
        <v>421</v>
      </c>
      <c r="F57" s="59" t="s">
        <v>421</v>
      </c>
      <c r="G57" s="59" t="s">
        <v>421</v>
      </c>
      <c r="H57" s="59" t="s">
        <v>421</v>
      </c>
      <c r="I57" s="59" t="s">
        <v>421</v>
      </c>
    </row>
    <row r="58" spans="1:9" x14ac:dyDescent="0.25">
      <c r="A58" s="155" t="str">
        <f>HYPERLINK("[OpenSolver Tester.xlsm]'Sensitivity'!A1", "Sensitivity")</f>
        <v>Sensitivity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Tester.xlsm]'SensitivityNames'!A1", "SensitivityNames")</f>
        <v>SensitivityNames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Tester.xlsm]'NonLinSimple'!A1", "NonLinSimple")</f>
        <v>NonLinSimple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Tester.xlsm]'NonLinLarge'!A1", "NonLinLarge")</f>
        <v>NonLinLarge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Tester.xlsm]'NonLinObj'!A1", "NonLinObj")</f>
        <v>NonLinObj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Tester.xlsm]'NonLinPruning'!A1", "NonLinPruning")</f>
        <v>NonLinPruning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Tester.xlsm]'NonLinMinMax'!A1", "NonLinMinMax")</f>
        <v>NonLinMinMax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420</v>
      </c>
      <c r="I64" s="59" t="s">
        <v>420</v>
      </c>
    </row>
    <row r="65" spans="1:9" x14ac:dyDescent="0.25">
      <c r="A65" s="155" t="str">
        <f>HYPERLINK("[OpenSolver Tester.xlsm]'NonLinConstraints'!A1", "NonLinConstraints")</f>
        <v>NonLinConstraints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Tester.xlsm]'NonLinBinary'!A1", "NonLinBinary")</f>
        <v>NonLinBinary</v>
      </c>
      <c r="B66" s="59" t="s">
        <v>332</v>
      </c>
      <c r="C66" s="59" t="s">
        <v>332</v>
      </c>
      <c r="D66" s="59" t="s">
        <v>332</v>
      </c>
      <c r="E66" s="59" t="s">
        <v>332</v>
      </c>
      <c r="F66" s="59" t="s">
        <v>332</v>
      </c>
      <c r="G66" s="163" t="s">
        <v>332</v>
      </c>
      <c r="H66" s="59" t="s">
        <v>332</v>
      </c>
      <c r="I66" s="59" t="s">
        <v>332</v>
      </c>
    </row>
    <row r="67" spans="1:9" x14ac:dyDescent="0.25">
      <c r="A67" s="155" t="str">
        <f>HYPERLINK("[OpenSolver Tester.xlsm]'NonLin'!A1", "NonLin")</f>
        <v>NonLin</v>
      </c>
      <c r="B67" s="59" t="s">
        <v>332</v>
      </c>
      <c r="C67" s="59" t="s">
        <v>332</v>
      </c>
      <c r="D67" s="59" t="s">
        <v>332</v>
      </c>
      <c r="E67" s="59" t="s">
        <v>332</v>
      </c>
      <c r="F67" s="59" t="s">
        <v>332</v>
      </c>
      <c r="G67" s="59" t="s">
        <v>332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Tester.xlsm]'NonLin2'!A1", "NonLin2")</f>
        <v>NonLin2</v>
      </c>
      <c r="B68" s="59" t="s">
        <v>332</v>
      </c>
      <c r="C68" s="59" t="s">
        <v>332</v>
      </c>
      <c r="D68" s="59" t="s">
        <v>332</v>
      </c>
      <c r="E68" s="59" t="s">
        <v>332</v>
      </c>
      <c r="F68" s="59" t="s">
        <v>332</v>
      </c>
      <c r="G68" s="59" t="s">
        <v>332</v>
      </c>
      <c r="H68" s="59" t="s">
        <v>332</v>
      </c>
      <c r="I68" s="59" t="s">
        <v>332</v>
      </c>
    </row>
    <row r="69" spans="1:9" x14ac:dyDescent="0.25">
      <c r="A69" s="155" t="str">
        <f>HYPERLINK("[OpenSolver Tester.xlsm]'NonLin3'!A1", "NonLin3")</f>
        <v>NonLin3</v>
      </c>
      <c r="B69" s="59" t="s">
        <v>332</v>
      </c>
      <c r="C69" s="59" t="s">
        <v>332</v>
      </c>
      <c r="D69" s="59" t="s">
        <v>332</v>
      </c>
      <c r="E69" s="59" t="s">
        <v>332</v>
      </c>
      <c r="F69" s="59" t="s">
        <v>332</v>
      </c>
      <c r="G69" s="59" t="s">
        <v>332</v>
      </c>
      <c r="H69" s="59" t="s">
        <v>332</v>
      </c>
      <c r="I69" s="59" t="s">
        <v>332</v>
      </c>
    </row>
    <row r="70" spans="1:9" x14ac:dyDescent="0.25">
      <c r="A70" s="155" t="str">
        <f>HYPERLINK("[OpenSolver Tester.xlsm]'NonLin4'!A1", "NonLin4")</f>
        <v>NonLin4</v>
      </c>
      <c r="B70" s="59" t="s">
        <v>332</v>
      </c>
      <c r="C70" s="59" t="s">
        <v>332</v>
      </c>
      <c r="D70" s="59" t="s">
        <v>332</v>
      </c>
      <c r="E70" s="59" t="s">
        <v>332</v>
      </c>
      <c r="F70" s="59" t="s">
        <v>332</v>
      </c>
      <c r="G70" s="59" t="s">
        <v>332</v>
      </c>
      <c r="H70" s="59" t="s">
        <v>332</v>
      </c>
      <c r="I70" s="59" t="s">
        <v>332</v>
      </c>
    </row>
    <row r="71" spans="1:9" x14ac:dyDescent="0.25">
      <c r="A71" s="155" t="str">
        <f>HYPERLINK("[OpenSolver Tester.xlsm]'NonLin5'!A1", "NonLin5")</f>
        <v>NonLin5</v>
      </c>
      <c r="B71" s="59" t="s">
        <v>332</v>
      </c>
      <c r="C71" s="59" t="s">
        <v>332</v>
      </c>
      <c r="D71" s="59" t="s">
        <v>332</v>
      </c>
      <c r="E71" s="59" t="s">
        <v>332</v>
      </c>
      <c r="F71" s="59" t="s">
        <v>332</v>
      </c>
      <c r="G71" s="59" t="s">
        <v>332</v>
      </c>
      <c r="H71" s="59" t="s">
        <v>332</v>
      </c>
      <c r="I71" s="59" t="s">
        <v>332</v>
      </c>
    </row>
    <row r="72" spans="1:9" x14ac:dyDescent="0.25">
      <c r="A72" s="155" t="str">
        <f>HYPERLINK("[OpenSolver Tester.xlsm]'NonLin6'!A1", "NonLin6")</f>
        <v>NonLin6</v>
      </c>
      <c r="B72" s="59" t="s">
        <v>332</v>
      </c>
      <c r="C72" s="59" t="s">
        <v>332</v>
      </c>
      <c r="D72" s="59" t="s">
        <v>332</v>
      </c>
      <c r="E72" s="59" t="s">
        <v>332</v>
      </c>
      <c r="F72" s="59" t="s">
        <v>332</v>
      </c>
      <c r="G72" s="59" t="s">
        <v>332</v>
      </c>
      <c r="H72" s="59" t="s">
        <v>332</v>
      </c>
      <c r="I72" s="59" t="s">
        <v>332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5.2941176432194004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0" customWidth="1"/>
    <col min="5" max="5" width="13" style="170" customWidth="1"/>
    <col min="6" max="6" width="5.125" style="170" customWidth="1"/>
    <col min="7" max="7" width="3.125" style="170" customWidth="1"/>
    <col min="8" max="8" width="8.375" style="170" customWidth="1"/>
    <col min="9" max="9" width="3" style="170" bestFit="1" customWidth="1"/>
    <col min="10" max="10" width="6" style="170" customWidth="1"/>
    <col min="14" max="14" width="7.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8" customWidth="1"/>
    <col min="5" max="5" width="13" style="178" customWidth="1"/>
    <col min="6" max="6" width="5.125" style="178" customWidth="1"/>
    <col min="7" max="7" width="3.125" style="178" customWidth="1"/>
    <col min="8" max="8" width="8.375" style="178" customWidth="1"/>
    <col min="9" max="9" width="3" style="178" bestFit="1" customWidth="1"/>
    <col min="10" max="10" width="6" style="178" customWidth="1"/>
    <col min="14" max="14" width="7.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1</v>
      </c>
    </row>
    <row r="6" spans="1:10" ht="15.75" thickBot="1" x14ac:dyDescent="0.3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0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5.2941176432194013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15.882352929658204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58.235294075413414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6">
        <v>5.2941175999999999</v>
      </c>
      <c r="F5" s="186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1.8873791418627701E-15</v>
      </c>
      <c r="E5" s="186">
        <v>5.2941176470588198</v>
      </c>
      <c r="F5" s="186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6">
        <v>2</v>
      </c>
      <c r="D5" s="186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375" style="1" customWidth="1"/>
    <col min="5" max="5" width="5.125" style="1" customWidth="1"/>
    <col min="6" max="6" width="7.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1.8873791418627701E-15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86">
        <v>150</v>
      </c>
      <c r="K10" s="18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1.8873791418627701E-15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f>SUMPRODUCT($D$5:$F$5,D10:F10)</f>
        <v>116.47058823529407</v>
      </c>
      <c r="H10" s="186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8.9884656743115785E+307</v>
      </c>
      <c r="E5" s="1">
        <v>8.9884656743115785E+307</v>
      </c>
      <c r="F5" s="1">
        <v>8.9884656743115785E+307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 t="e">
        <f>SUMPRODUCT($D$5:$F$5,D7:F7)</f>
        <v>#NUM!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 t="e">
        <f>SUMPRODUCT($D$5:$F$5,D9:F9)+5*P8</f>
        <v>#NUM!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7">
        <v>5</v>
      </c>
      <c r="H10" s="18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7"/>
      <c r="H11" s="18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 t="e">
        <f>SUMPRODUCT($D$5:$F$5,D12:F12)</f>
        <v>#NUM!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e">
        <f>ABS(D21-H7)/(1+ABS(D21))&lt;=0.000001</f>
        <v>#NUM!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125" style="1" customWidth="1"/>
    <col min="5" max="6" width="5.125" style="1" customWidth="1"/>
    <col min="7" max="7" width="8.375" style="1" customWidth="1"/>
    <col min="8" max="8" width="3.125" style="1" customWidth="1"/>
    <col min="9" max="9" width="8.375" style="1" customWidth="1"/>
    <col min="10" max="10" width="3" style="1" bestFit="1" customWidth="1"/>
    <col min="11" max="11" width="17.875" style="1" customWidth="1"/>
    <col min="15" max="15" width="7.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23.875" style="16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8.3970690958470904</v>
      </c>
      <c r="Q4" s="145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-8.1281162689350595E-8</v>
      </c>
      <c r="E5" s="1">
        <v>1</v>
      </c>
      <c r="F5" s="1">
        <v>1</v>
      </c>
      <c r="G5" s="1">
        <v>0.29565218086575401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721.43093827456516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14.54782535757742</v>
      </c>
      <c r="J9" s="1" t="s">
        <v>8</v>
      </c>
      <c r="K9" s="1">
        <f>61.2345678+2.3*N4-S5</f>
        <v>14.547826060450404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28.799998453007923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-9.4608697877041283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17.375" style="16" customWidth="1"/>
    <col min="10" max="10" width="3" style="1" bestFit="1" customWidth="1"/>
    <col min="11" max="11" width="16.375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zoomScaleNormal="100"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  <c r="C2" t="s">
        <v>422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5.2380952380952372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f>AND(D18:F18,D22)</f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10.476190476190474</v>
      </c>
    </row>
    <row r="8" spans="1:10" x14ac:dyDescent="0.25">
      <c r="A8" s="64" t="str">
        <f ca="1">IF(INFO("RELEASE")&gt;=16,"Optimal", "ErrorOccurred")</f>
        <v>Optimal</v>
      </c>
    </row>
    <row r="9" spans="1:10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52.380952380952372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109.99999999999999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109.99999999999999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99.523809523809504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5.2380952380952372</v>
      </c>
      <c r="E17" s="1">
        <v>0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10.476190476190474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errorStyle="warning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51" customWidth="1"/>
    <col min="5" max="6" width="5.125" style="151" customWidth="1"/>
    <col min="7" max="7" width="3.125" style="151" customWidth="1"/>
    <col min="8" max="8" width="8.375" style="151" customWidth="1"/>
    <col min="9" max="9" width="3" style="151" bestFit="1" customWidth="1"/>
    <col min="10" max="10" width="6" style="15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5.2941176432194004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15.8823529296582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58.235294075413407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116.47058815082681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116.47058815082681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179.9999998694596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8" width="5.125" style="1" customWidth="1"/>
    <col min="9" max="9" width="3.125" style="1" customWidth="1"/>
    <col min="10" max="10" width="8.375" style="1" customWidth="1"/>
    <col min="11" max="11" width="3" style="1" bestFit="1" customWidth="1"/>
    <col min="12" max="12" width="6" style="1" customWidth="1"/>
    <col min="16" max="16" width="7.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4" customWidth="1"/>
    <col min="5" max="8" width="5.125" style="54" customWidth="1"/>
    <col min="9" max="9" width="3.125" style="54" customWidth="1"/>
    <col min="10" max="10" width="8.375" style="54" customWidth="1"/>
    <col min="11" max="11" width="3" style="54" bestFit="1" customWidth="1"/>
    <col min="12" max="12" width="6" style="54" customWidth="1"/>
    <col min="16" max="16" width="7.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67" customWidth="1"/>
    <col min="5" max="6" width="5.125" style="167" customWidth="1"/>
    <col min="7" max="7" width="3.125" style="167" customWidth="1"/>
    <col min="8" max="8" width="8.375" style="167" customWidth="1"/>
    <col min="9" max="9" width="3" style="167" bestFit="1" customWidth="1"/>
    <col min="10" max="10" width="6" style="167" customWidth="1"/>
    <col min="14" max="14" width="7.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bestFit="1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7.5294117776138938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14.588235332841681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42.823529553752834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81.647059107505669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180.00000043887241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7.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-0.99999999999999978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-10.799999999999999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-0.99999999999999978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161" customWidth="1"/>
    <col min="5" max="5" width="7.25" style="161" customWidth="1"/>
    <col min="6" max="6" width="5.125" style="161" customWidth="1"/>
    <col min="7" max="7" width="3.125" style="161" customWidth="1"/>
    <col min="8" max="8" width="8.375" style="161" customWidth="1"/>
    <col min="9" max="9" width="3" style="161" bestFit="1" customWidth="1"/>
    <col min="10" max="10" width="6" style="161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75" style="54" customWidth="1"/>
    <col min="5" max="5" width="9.1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-2.0000000098039554</v>
      </c>
      <c r="E4" s="134">
        <v>-2.000000009806425</v>
      </c>
      <c r="F4" s="54">
        <v>-2.0000000098076609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-18.000000088257828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-2.0000000098039554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-2.000000009806425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-2.0000000098076609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9.375" style="54" customWidth="1"/>
    <col min="6" max="6" width="8.37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25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-9.9666834785239205E-9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-9.9666834785239205E-9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9.375" style="1" customWidth="1"/>
    <col min="5" max="5" width="5.125" style="1" customWidth="1"/>
    <col min="6" max="6" width="7.375" style="1" customWidth="1"/>
    <col min="7" max="7" width="10.375" style="1" customWidth="1"/>
    <col min="8" max="8" width="3.125" style="1" customWidth="1"/>
    <col min="9" max="9" width="6.875" style="1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6.8545359783201123</v>
      </c>
      <c r="Q3" s="9">
        <v>0</v>
      </c>
      <c r="R3" s="10">
        <v>10.999998578601808</v>
      </c>
      <c r="S3" s="9">
        <f>SUM(Q3:R3)</f>
        <v>10.999998578601808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-6.9568235172567938E-8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712.53566396794895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10.999999304317647</v>
      </c>
      <c r="J8" s="1" t="s">
        <v>8</v>
      </c>
      <c r="K8" s="1">
        <f>61.2345678+2.3*N3-S4</f>
        <v>10.999999890375065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21.999998539067061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</v>
      </c>
      <c r="E5" s="1">
        <v>8.9884656743115785E+307</v>
      </c>
      <c r="F5" s="1">
        <v>8.9884656743115785E+307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 t="e">
        <f>SUMPRODUCT($D$5:$F$5,D7:F7)</f>
        <v>#NUM!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 t="e">
        <f>SUMPRODUCT($D$5:$F$5,D9:F9)+5*P8</f>
        <v>#NUM!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 t="e">
        <f>SUMPRODUCT($D$5:$F$5,D10:F10)</f>
        <v>#NUM!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 t="e">
        <f>SUMPRODUCT($D$5:$F$5,D11:F11)</f>
        <v>#NUM!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 t="e">
        <f>SUMPRODUCT($D$5:$F$5,D12:F12)</f>
        <v>#NUM!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5" customWidth="1"/>
    <col min="5" max="6" width="5.125" style="55" customWidth="1"/>
    <col min="7" max="7" width="3.125" style="55" customWidth="1"/>
    <col min="8" max="8" width="8.375" style="55" customWidth="1"/>
    <col min="9" max="9" width="3" style="55" bestFit="1" customWidth="1"/>
    <col min="10" max="10" width="6" style="55" customWidth="1"/>
    <col min="14" max="14" width="8.37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8" customWidth="1"/>
    <col min="5" max="6" width="5.125" style="58" customWidth="1"/>
    <col min="7" max="7" width="3.125" style="58" customWidth="1"/>
    <col min="8" max="8" width="8.375" style="58" customWidth="1"/>
    <col min="9" max="9" width="3" style="58" bestFit="1" customWidth="1"/>
    <col min="10" max="10" width="6" style="58" customWidth="1"/>
    <col min="14" max="14" width="8.37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0.166344261963907</v>
      </c>
      <c r="E5" s="58">
        <v>5.2243727263413797</v>
      </c>
      <c r="F5" s="134">
        <v>2.4662927278786401E-2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59.427497736739681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118.99667680816448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117.8621821533403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>
        <v>-9.8596188990995903E-9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-9.8596188990995903E-9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0</v>
      </c>
      <c r="E2">
        <v>350</v>
      </c>
      <c r="F2" s="80">
        <v>0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-9.9666834785239205E-9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-9.9666834785239205E-9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4.1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2" customWidth="1"/>
    <col min="4" max="4" width="7.3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13.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zoomScale="14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9.375" style="83" customWidth="1"/>
    <col min="4" max="4" width="2.25" style="83" customWidth="1"/>
    <col min="5" max="550" width="2.125" style="83" customWidth="1"/>
    <col min="551" max="551" width="2.125" style="83" bestFit="1" customWidth="1"/>
    <col min="552" max="552" width="4.25" style="83" bestFit="1" customWidth="1"/>
    <col min="553" max="553" width="3.25" style="83" bestFit="1" customWidth="1"/>
    <col min="554" max="554" width="6.375" style="83" bestFit="1" customWidth="1"/>
    <col min="555" max="16384" width="8.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99.999993509999825</v>
      </c>
      <c r="F14" s="160">
        <v>0</v>
      </c>
      <c r="G14" s="160">
        <v>0</v>
      </c>
      <c r="H14" s="160">
        <v>0</v>
      </c>
      <c r="I14">
        <f>SUM(D14:H14)</f>
        <v>199.99999350999983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2.9800047542083539E-6</v>
      </c>
      <c r="F15" s="160">
        <v>200</v>
      </c>
      <c r="G15" s="160">
        <v>100</v>
      </c>
      <c r="H15" s="160">
        <v>0</v>
      </c>
      <c r="I15">
        <f>SUM(D15:H15)</f>
        <v>300.00000298000475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200.00000350999545</v>
      </c>
      <c r="F16" s="160">
        <v>0</v>
      </c>
      <c r="G16" s="160">
        <v>0</v>
      </c>
      <c r="H16" s="160">
        <v>150</v>
      </c>
      <c r="I16">
        <f>SUM(D16:H16)</f>
        <v>350.00000350999545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13249.999900000044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99999.999999990003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-4.7322420733340891E-7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27.421607784624076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26.182822510485799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198.94736814129658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198.94736814129658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198.94736814129658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198.94736814129658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198.94736814129658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198.94736814129658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198.94736814129658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198.94736814129658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198.94736814129658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198.94736814129658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198.94736814129658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198.94736814129658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198.94736814129658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198.94736814129658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198.94736814129658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198.94736814129658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198.94736814129658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198.94736814129658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198.94736814129658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198.94736814129658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198.94736814129658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198.94736814129658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198.94736814129658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198.94736814129658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198.94736814129658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198.94736814129658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198.94736814129658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198.94736814129658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198.94736814129658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198.94736814129658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198.94736814129658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198.94736814129658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198.94736814129658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198.94736814129658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198.94736814129658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198.94736814129658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198.94736814129658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198.94736814129658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198.94736814129658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198.94736814129658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198.94736814129658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198.94736814129658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198.94736814129658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198.94736814129658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198.94736814129658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198.94736814129658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198.94736814129658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198.94736814129658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198.94736814129658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198.94736814129658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198.94736814129658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198.94736814129658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198.94736814129658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198.94736814129658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198.94736814129658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198.94736814129658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198.94736814129658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198.94736814129658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198.94736814129658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198.94736814129658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198.94736814129658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198.94736814129658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198.94736814129658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198.94736814129658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179.99999974688737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-1264.6303272564642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198.94736814129658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198.94736814129658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198.94736814129658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198.94736814129658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198.94736814129658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198.94736814129658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198.94736814129658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198.94736814129658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198.94736814129658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198.94736814129658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198.94736814129658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198.94736814129658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198.94736814129658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198.94736814129658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198.94736814129658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198.94736814129658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198.94736814129658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198.94736814129658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198.94736814129658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198.94736814129658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198.94736814129658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198.94736814129658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198.94736814129658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198.94736814129658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198.94736814129658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198.94736814129658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198.94736814129658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198.94736814129658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198.94736814129658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198.94736814129658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198.94736814129658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198.94736814129658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198.94736814129658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198.94736814129658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198.94736814129658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198.94736814129658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198.94736814129658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198.94736814129658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198.94736814129658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198.94736814129658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198.94736814129658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198.94736814129658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198.94736814129658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198.94736814129658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198.94736814129658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198.94736814129658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198.94736814129658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198.94736814129658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198.94736814129658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198.94736814129658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198.94736814129658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198.94736814129658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198.94736814129658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198.94736814129658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198.94736814129658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198.94736814129658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198.94736814129658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198.94736814129658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198.94736814129658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198.94736814129658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198.94736814129658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198.94736814129658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198.94736814129658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198.94736814129658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179.99999974688737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875" customWidth="1"/>
    <col min="15" max="15" width="9.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30.815328629106101</v>
      </c>
      <c r="E5">
        <v>0.64902793607418297</v>
      </c>
    </row>
    <row r="6" spans="1:15" ht="15.75" thickBot="1" x14ac:dyDescent="0.3">
      <c r="A6" s="63" t="b">
        <f>AND(F22)</f>
        <v>1</v>
      </c>
      <c r="F6">
        <f>D5^2*E5^2</f>
        <v>400.00036558394009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20.000009139596415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31.464356565180285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30.815328629106101</v>
      </c>
      <c r="G10" t="s">
        <v>9</v>
      </c>
      <c r="H10">
        <v>0</v>
      </c>
    </row>
    <row r="11" spans="1:15" x14ac:dyDescent="0.25">
      <c r="F11">
        <f>E5</f>
        <v>0.64902793607418297</v>
      </c>
      <c r="H11">
        <v>0</v>
      </c>
    </row>
    <row r="12" spans="1:15" x14ac:dyDescent="0.25">
      <c r="F12">
        <f>E5*D5+E5+D5</f>
        <v>51.464365704776696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51.464365704776696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51.464365704776696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-11.46434742558387</v>
      </c>
      <c r="G15" t="s">
        <v>8</v>
      </c>
      <c r="H15">
        <v>0</v>
      </c>
      <c r="O15" s="81"/>
    </row>
    <row r="16" spans="1:15" x14ac:dyDescent="0.25">
      <c r="F16">
        <f>E5-D5*E5+D5</f>
        <v>11.46434742558387</v>
      </c>
      <c r="G16" t="s">
        <v>8</v>
      </c>
      <c r="H16">
        <v>60</v>
      </c>
      <c r="O16" s="81"/>
    </row>
    <row r="17" spans="6:15" x14ac:dyDescent="0.25">
      <c r="F17">
        <f>E5-D5+E5*D5</f>
        <v>-10.166291553435503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3.1325458964147401</v>
      </c>
      <c r="E5">
        <v>3.1325458964402699</v>
      </c>
      <c r="F5">
        <v>3.1325458964147401</v>
      </c>
      <c r="G5">
        <v>3.1325458967930602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-5.8089919970161539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-44.311742347235082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-31.781558761172271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4" width="9.25" customWidth="1"/>
    <col min="5" max="5" width="5.375" customWidth="1"/>
    <col min="6" max="6" width="3.75" customWidth="1"/>
    <col min="7" max="7" width="2.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  <col min="3" max="3" width="26.125" customWidth="1"/>
  </cols>
  <sheetData>
    <row r="1" spans="1:15" x14ac:dyDescent="0.25">
      <c r="A1" s="62" t="s">
        <v>203</v>
      </c>
      <c r="C1" t="s">
        <v>37</v>
      </c>
    </row>
    <row r="2" spans="1:15" ht="43.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175159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112379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51571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3673790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261760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147174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8.875" style="83"/>
    <col min="3" max="3" width="3.75" style="83" customWidth="1"/>
    <col min="4" max="4" width="4.25" style="83" customWidth="1"/>
    <col min="5" max="5" width="1.375" style="83" customWidth="1"/>
    <col min="6" max="7" width="12.125" style="83" customWidth="1"/>
    <col min="8" max="8" width="1.25" style="83" customWidth="1"/>
    <col min="9" max="13" width="8.875" style="83"/>
    <col min="14" max="15" width="5.875" style="83" customWidth="1"/>
    <col min="16" max="16" width="6.375" style="83" customWidth="1"/>
    <col min="17" max="258" width="8.875" style="83"/>
    <col min="259" max="259" width="3.75" style="83" customWidth="1"/>
    <col min="260" max="260" width="4.25" style="83" customWidth="1"/>
    <col min="261" max="261" width="1.375" style="83" customWidth="1"/>
    <col min="262" max="263" width="12.125" style="83" customWidth="1"/>
    <col min="264" max="264" width="1.25" style="83" customWidth="1"/>
    <col min="265" max="269" width="8.875" style="83"/>
    <col min="270" max="271" width="5.875" style="83" customWidth="1"/>
    <col min="272" max="272" width="6.375" style="83" customWidth="1"/>
    <col min="273" max="514" width="8.875" style="83"/>
    <col min="515" max="515" width="3.75" style="83" customWidth="1"/>
    <col min="516" max="516" width="4.25" style="83" customWidth="1"/>
    <col min="517" max="517" width="1.375" style="83" customWidth="1"/>
    <col min="518" max="519" width="12.125" style="83" customWidth="1"/>
    <col min="520" max="520" width="1.25" style="83" customWidth="1"/>
    <col min="521" max="525" width="8.875" style="83"/>
    <col min="526" max="527" width="5.875" style="83" customWidth="1"/>
    <col min="528" max="528" width="6.375" style="83" customWidth="1"/>
    <col min="529" max="770" width="8.875" style="83"/>
    <col min="771" max="771" width="3.75" style="83" customWidth="1"/>
    <col min="772" max="772" width="4.25" style="83" customWidth="1"/>
    <col min="773" max="773" width="1.375" style="83" customWidth="1"/>
    <col min="774" max="775" width="12.125" style="83" customWidth="1"/>
    <col min="776" max="776" width="1.25" style="83" customWidth="1"/>
    <col min="777" max="781" width="8.875" style="83"/>
    <col min="782" max="783" width="5.875" style="83" customWidth="1"/>
    <col min="784" max="784" width="6.375" style="83" customWidth="1"/>
    <col min="785" max="1026" width="8.875" style="83"/>
    <col min="1027" max="1027" width="3.75" style="83" customWidth="1"/>
    <col min="1028" max="1028" width="4.25" style="83" customWidth="1"/>
    <col min="1029" max="1029" width="1.375" style="83" customWidth="1"/>
    <col min="1030" max="1031" width="12.125" style="83" customWidth="1"/>
    <col min="1032" max="1032" width="1.25" style="83" customWidth="1"/>
    <col min="1033" max="1037" width="8.875" style="83"/>
    <col min="1038" max="1039" width="5.875" style="83" customWidth="1"/>
    <col min="1040" max="1040" width="6.375" style="83" customWidth="1"/>
    <col min="1041" max="1282" width="8.875" style="83"/>
    <col min="1283" max="1283" width="3.75" style="83" customWidth="1"/>
    <col min="1284" max="1284" width="4.25" style="83" customWidth="1"/>
    <col min="1285" max="1285" width="1.375" style="83" customWidth="1"/>
    <col min="1286" max="1287" width="12.125" style="83" customWidth="1"/>
    <col min="1288" max="1288" width="1.25" style="83" customWidth="1"/>
    <col min="1289" max="1293" width="8.875" style="83"/>
    <col min="1294" max="1295" width="5.875" style="83" customWidth="1"/>
    <col min="1296" max="1296" width="6.375" style="83" customWidth="1"/>
    <col min="1297" max="1538" width="8.875" style="83"/>
    <col min="1539" max="1539" width="3.75" style="83" customWidth="1"/>
    <col min="1540" max="1540" width="4.25" style="83" customWidth="1"/>
    <col min="1541" max="1541" width="1.375" style="83" customWidth="1"/>
    <col min="1542" max="1543" width="12.125" style="83" customWidth="1"/>
    <col min="1544" max="1544" width="1.25" style="83" customWidth="1"/>
    <col min="1545" max="1549" width="8.875" style="83"/>
    <col min="1550" max="1551" width="5.875" style="83" customWidth="1"/>
    <col min="1552" max="1552" width="6.375" style="83" customWidth="1"/>
    <col min="1553" max="1794" width="8.875" style="83"/>
    <col min="1795" max="1795" width="3.75" style="83" customWidth="1"/>
    <col min="1796" max="1796" width="4.25" style="83" customWidth="1"/>
    <col min="1797" max="1797" width="1.375" style="83" customWidth="1"/>
    <col min="1798" max="1799" width="12.125" style="83" customWidth="1"/>
    <col min="1800" max="1800" width="1.25" style="83" customWidth="1"/>
    <col min="1801" max="1805" width="8.875" style="83"/>
    <col min="1806" max="1807" width="5.875" style="83" customWidth="1"/>
    <col min="1808" max="1808" width="6.375" style="83" customWidth="1"/>
    <col min="1809" max="2050" width="8.875" style="83"/>
    <col min="2051" max="2051" width="3.75" style="83" customWidth="1"/>
    <col min="2052" max="2052" width="4.25" style="83" customWidth="1"/>
    <col min="2053" max="2053" width="1.375" style="83" customWidth="1"/>
    <col min="2054" max="2055" width="12.125" style="83" customWidth="1"/>
    <col min="2056" max="2056" width="1.25" style="83" customWidth="1"/>
    <col min="2057" max="2061" width="8.875" style="83"/>
    <col min="2062" max="2063" width="5.875" style="83" customWidth="1"/>
    <col min="2064" max="2064" width="6.375" style="83" customWidth="1"/>
    <col min="2065" max="2306" width="8.875" style="83"/>
    <col min="2307" max="2307" width="3.75" style="83" customWidth="1"/>
    <col min="2308" max="2308" width="4.25" style="83" customWidth="1"/>
    <col min="2309" max="2309" width="1.375" style="83" customWidth="1"/>
    <col min="2310" max="2311" width="12.125" style="83" customWidth="1"/>
    <col min="2312" max="2312" width="1.25" style="83" customWidth="1"/>
    <col min="2313" max="2317" width="8.875" style="83"/>
    <col min="2318" max="2319" width="5.875" style="83" customWidth="1"/>
    <col min="2320" max="2320" width="6.375" style="83" customWidth="1"/>
    <col min="2321" max="2562" width="8.875" style="83"/>
    <col min="2563" max="2563" width="3.75" style="83" customWidth="1"/>
    <col min="2564" max="2564" width="4.25" style="83" customWidth="1"/>
    <col min="2565" max="2565" width="1.375" style="83" customWidth="1"/>
    <col min="2566" max="2567" width="12.125" style="83" customWidth="1"/>
    <col min="2568" max="2568" width="1.25" style="83" customWidth="1"/>
    <col min="2569" max="2573" width="8.875" style="83"/>
    <col min="2574" max="2575" width="5.875" style="83" customWidth="1"/>
    <col min="2576" max="2576" width="6.375" style="83" customWidth="1"/>
    <col min="2577" max="2818" width="8.875" style="83"/>
    <col min="2819" max="2819" width="3.75" style="83" customWidth="1"/>
    <col min="2820" max="2820" width="4.25" style="83" customWidth="1"/>
    <col min="2821" max="2821" width="1.375" style="83" customWidth="1"/>
    <col min="2822" max="2823" width="12.125" style="83" customWidth="1"/>
    <col min="2824" max="2824" width="1.25" style="83" customWidth="1"/>
    <col min="2825" max="2829" width="8.875" style="83"/>
    <col min="2830" max="2831" width="5.875" style="83" customWidth="1"/>
    <col min="2832" max="2832" width="6.375" style="83" customWidth="1"/>
    <col min="2833" max="3074" width="8.875" style="83"/>
    <col min="3075" max="3075" width="3.75" style="83" customWidth="1"/>
    <col min="3076" max="3076" width="4.25" style="83" customWidth="1"/>
    <col min="3077" max="3077" width="1.375" style="83" customWidth="1"/>
    <col min="3078" max="3079" width="12.125" style="83" customWidth="1"/>
    <col min="3080" max="3080" width="1.25" style="83" customWidth="1"/>
    <col min="3081" max="3085" width="8.875" style="83"/>
    <col min="3086" max="3087" width="5.875" style="83" customWidth="1"/>
    <col min="3088" max="3088" width="6.375" style="83" customWidth="1"/>
    <col min="3089" max="3330" width="8.875" style="83"/>
    <col min="3331" max="3331" width="3.75" style="83" customWidth="1"/>
    <col min="3332" max="3332" width="4.25" style="83" customWidth="1"/>
    <col min="3333" max="3333" width="1.375" style="83" customWidth="1"/>
    <col min="3334" max="3335" width="12.125" style="83" customWidth="1"/>
    <col min="3336" max="3336" width="1.25" style="83" customWidth="1"/>
    <col min="3337" max="3341" width="8.875" style="83"/>
    <col min="3342" max="3343" width="5.875" style="83" customWidth="1"/>
    <col min="3344" max="3344" width="6.375" style="83" customWidth="1"/>
    <col min="3345" max="3586" width="8.875" style="83"/>
    <col min="3587" max="3587" width="3.75" style="83" customWidth="1"/>
    <col min="3588" max="3588" width="4.25" style="83" customWidth="1"/>
    <col min="3589" max="3589" width="1.375" style="83" customWidth="1"/>
    <col min="3590" max="3591" width="12.125" style="83" customWidth="1"/>
    <col min="3592" max="3592" width="1.25" style="83" customWidth="1"/>
    <col min="3593" max="3597" width="8.875" style="83"/>
    <col min="3598" max="3599" width="5.875" style="83" customWidth="1"/>
    <col min="3600" max="3600" width="6.375" style="83" customWidth="1"/>
    <col min="3601" max="3842" width="8.875" style="83"/>
    <col min="3843" max="3843" width="3.75" style="83" customWidth="1"/>
    <col min="3844" max="3844" width="4.25" style="83" customWidth="1"/>
    <col min="3845" max="3845" width="1.375" style="83" customWidth="1"/>
    <col min="3846" max="3847" width="12.125" style="83" customWidth="1"/>
    <col min="3848" max="3848" width="1.25" style="83" customWidth="1"/>
    <col min="3849" max="3853" width="8.875" style="83"/>
    <col min="3854" max="3855" width="5.875" style="83" customWidth="1"/>
    <col min="3856" max="3856" width="6.375" style="83" customWidth="1"/>
    <col min="3857" max="4098" width="8.875" style="83"/>
    <col min="4099" max="4099" width="3.75" style="83" customWidth="1"/>
    <col min="4100" max="4100" width="4.25" style="83" customWidth="1"/>
    <col min="4101" max="4101" width="1.375" style="83" customWidth="1"/>
    <col min="4102" max="4103" width="12.125" style="83" customWidth="1"/>
    <col min="4104" max="4104" width="1.25" style="83" customWidth="1"/>
    <col min="4105" max="4109" width="8.875" style="83"/>
    <col min="4110" max="4111" width="5.875" style="83" customWidth="1"/>
    <col min="4112" max="4112" width="6.375" style="83" customWidth="1"/>
    <col min="4113" max="4354" width="8.875" style="83"/>
    <col min="4355" max="4355" width="3.75" style="83" customWidth="1"/>
    <col min="4356" max="4356" width="4.25" style="83" customWidth="1"/>
    <col min="4357" max="4357" width="1.375" style="83" customWidth="1"/>
    <col min="4358" max="4359" width="12.125" style="83" customWidth="1"/>
    <col min="4360" max="4360" width="1.25" style="83" customWidth="1"/>
    <col min="4361" max="4365" width="8.875" style="83"/>
    <col min="4366" max="4367" width="5.875" style="83" customWidth="1"/>
    <col min="4368" max="4368" width="6.375" style="83" customWidth="1"/>
    <col min="4369" max="4610" width="8.875" style="83"/>
    <col min="4611" max="4611" width="3.75" style="83" customWidth="1"/>
    <col min="4612" max="4612" width="4.25" style="83" customWidth="1"/>
    <col min="4613" max="4613" width="1.375" style="83" customWidth="1"/>
    <col min="4614" max="4615" width="12.125" style="83" customWidth="1"/>
    <col min="4616" max="4616" width="1.25" style="83" customWidth="1"/>
    <col min="4617" max="4621" width="8.875" style="83"/>
    <col min="4622" max="4623" width="5.875" style="83" customWidth="1"/>
    <col min="4624" max="4624" width="6.375" style="83" customWidth="1"/>
    <col min="4625" max="4866" width="8.875" style="83"/>
    <col min="4867" max="4867" width="3.75" style="83" customWidth="1"/>
    <col min="4868" max="4868" width="4.25" style="83" customWidth="1"/>
    <col min="4869" max="4869" width="1.375" style="83" customWidth="1"/>
    <col min="4870" max="4871" width="12.125" style="83" customWidth="1"/>
    <col min="4872" max="4872" width="1.25" style="83" customWidth="1"/>
    <col min="4873" max="4877" width="8.875" style="83"/>
    <col min="4878" max="4879" width="5.875" style="83" customWidth="1"/>
    <col min="4880" max="4880" width="6.375" style="83" customWidth="1"/>
    <col min="4881" max="5122" width="8.875" style="83"/>
    <col min="5123" max="5123" width="3.75" style="83" customWidth="1"/>
    <col min="5124" max="5124" width="4.25" style="83" customWidth="1"/>
    <col min="5125" max="5125" width="1.375" style="83" customWidth="1"/>
    <col min="5126" max="5127" width="12.125" style="83" customWidth="1"/>
    <col min="5128" max="5128" width="1.25" style="83" customWidth="1"/>
    <col min="5129" max="5133" width="8.875" style="83"/>
    <col min="5134" max="5135" width="5.875" style="83" customWidth="1"/>
    <col min="5136" max="5136" width="6.375" style="83" customWidth="1"/>
    <col min="5137" max="5378" width="8.875" style="83"/>
    <col min="5379" max="5379" width="3.75" style="83" customWidth="1"/>
    <col min="5380" max="5380" width="4.25" style="83" customWidth="1"/>
    <col min="5381" max="5381" width="1.375" style="83" customWidth="1"/>
    <col min="5382" max="5383" width="12.125" style="83" customWidth="1"/>
    <col min="5384" max="5384" width="1.25" style="83" customWidth="1"/>
    <col min="5385" max="5389" width="8.875" style="83"/>
    <col min="5390" max="5391" width="5.875" style="83" customWidth="1"/>
    <col min="5392" max="5392" width="6.375" style="83" customWidth="1"/>
    <col min="5393" max="5634" width="8.875" style="83"/>
    <col min="5635" max="5635" width="3.75" style="83" customWidth="1"/>
    <col min="5636" max="5636" width="4.25" style="83" customWidth="1"/>
    <col min="5637" max="5637" width="1.375" style="83" customWidth="1"/>
    <col min="5638" max="5639" width="12.125" style="83" customWidth="1"/>
    <col min="5640" max="5640" width="1.25" style="83" customWidth="1"/>
    <col min="5641" max="5645" width="8.875" style="83"/>
    <col min="5646" max="5647" width="5.875" style="83" customWidth="1"/>
    <col min="5648" max="5648" width="6.375" style="83" customWidth="1"/>
    <col min="5649" max="5890" width="8.875" style="83"/>
    <col min="5891" max="5891" width="3.75" style="83" customWidth="1"/>
    <col min="5892" max="5892" width="4.25" style="83" customWidth="1"/>
    <col min="5893" max="5893" width="1.375" style="83" customWidth="1"/>
    <col min="5894" max="5895" width="12.125" style="83" customWidth="1"/>
    <col min="5896" max="5896" width="1.25" style="83" customWidth="1"/>
    <col min="5897" max="5901" width="8.875" style="83"/>
    <col min="5902" max="5903" width="5.875" style="83" customWidth="1"/>
    <col min="5904" max="5904" width="6.375" style="83" customWidth="1"/>
    <col min="5905" max="6146" width="8.875" style="83"/>
    <col min="6147" max="6147" width="3.75" style="83" customWidth="1"/>
    <col min="6148" max="6148" width="4.25" style="83" customWidth="1"/>
    <col min="6149" max="6149" width="1.375" style="83" customWidth="1"/>
    <col min="6150" max="6151" width="12.125" style="83" customWidth="1"/>
    <col min="6152" max="6152" width="1.25" style="83" customWidth="1"/>
    <col min="6153" max="6157" width="8.875" style="83"/>
    <col min="6158" max="6159" width="5.875" style="83" customWidth="1"/>
    <col min="6160" max="6160" width="6.375" style="83" customWidth="1"/>
    <col min="6161" max="6402" width="8.875" style="83"/>
    <col min="6403" max="6403" width="3.75" style="83" customWidth="1"/>
    <col min="6404" max="6404" width="4.25" style="83" customWidth="1"/>
    <col min="6405" max="6405" width="1.375" style="83" customWidth="1"/>
    <col min="6406" max="6407" width="12.125" style="83" customWidth="1"/>
    <col min="6408" max="6408" width="1.25" style="83" customWidth="1"/>
    <col min="6409" max="6413" width="8.875" style="83"/>
    <col min="6414" max="6415" width="5.875" style="83" customWidth="1"/>
    <col min="6416" max="6416" width="6.375" style="83" customWidth="1"/>
    <col min="6417" max="6658" width="8.875" style="83"/>
    <col min="6659" max="6659" width="3.75" style="83" customWidth="1"/>
    <col min="6660" max="6660" width="4.25" style="83" customWidth="1"/>
    <col min="6661" max="6661" width="1.375" style="83" customWidth="1"/>
    <col min="6662" max="6663" width="12.125" style="83" customWidth="1"/>
    <col min="6664" max="6664" width="1.25" style="83" customWidth="1"/>
    <col min="6665" max="6669" width="8.875" style="83"/>
    <col min="6670" max="6671" width="5.875" style="83" customWidth="1"/>
    <col min="6672" max="6672" width="6.375" style="83" customWidth="1"/>
    <col min="6673" max="6914" width="8.875" style="83"/>
    <col min="6915" max="6915" width="3.75" style="83" customWidth="1"/>
    <col min="6916" max="6916" width="4.25" style="83" customWidth="1"/>
    <col min="6917" max="6917" width="1.375" style="83" customWidth="1"/>
    <col min="6918" max="6919" width="12.125" style="83" customWidth="1"/>
    <col min="6920" max="6920" width="1.25" style="83" customWidth="1"/>
    <col min="6921" max="6925" width="8.875" style="83"/>
    <col min="6926" max="6927" width="5.875" style="83" customWidth="1"/>
    <col min="6928" max="6928" width="6.375" style="83" customWidth="1"/>
    <col min="6929" max="7170" width="8.875" style="83"/>
    <col min="7171" max="7171" width="3.75" style="83" customWidth="1"/>
    <col min="7172" max="7172" width="4.25" style="83" customWidth="1"/>
    <col min="7173" max="7173" width="1.375" style="83" customWidth="1"/>
    <col min="7174" max="7175" width="12.125" style="83" customWidth="1"/>
    <col min="7176" max="7176" width="1.25" style="83" customWidth="1"/>
    <col min="7177" max="7181" width="8.875" style="83"/>
    <col min="7182" max="7183" width="5.875" style="83" customWidth="1"/>
    <col min="7184" max="7184" width="6.375" style="83" customWidth="1"/>
    <col min="7185" max="7426" width="8.875" style="83"/>
    <col min="7427" max="7427" width="3.75" style="83" customWidth="1"/>
    <col min="7428" max="7428" width="4.25" style="83" customWidth="1"/>
    <col min="7429" max="7429" width="1.375" style="83" customWidth="1"/>
    <col min="7430" max="7431" width="12.125" style="83" customWidth="1"/>
    <col min="7432" max="7432" width="1.25" style="83" customWidth="1"/>
    <col min="7433" max="7437" width="8.875" style="83"/>
    <col min="7438" max="7439" width="5.875" style="83" customWidth="1"/>
    <col min="7440" max="7440" width="6.375" style="83" customWidth="1"/>
    <col min="7441" max="7682" width="8.875" style="83"/>
    <col min="7683" max="7683" width="3.75" style="83" customWidth="1"/>
    <col min="7684" max="7684" width="4.25" style="83" customWidth="1"/>
    <col min="7685" max="7685" width="1.375" style="83" customWidth="1"/>
    <col min="7686" max="7687" width="12.125" style="83" customWidth="1"/>
    <col min="7688" max="7688" width="1.25" style="83" customWidth="1"/>
    <col min="7689" max="7693" width="8.875" style="83"/>
    <col min="7694" max="7695" width="5.875" style="83" customWidth="1"/>
    <col min="7696" max="7696" width="6.375" style="83" customWidth="1"/>
    <col min="7697" max="7938" width="8.875" style="83"/>
    <col min="7939" max="7939" width="3.75" style="83" customWidth="1"/>
    <col min="7940" max="7940" width="4.25" style="83" customWidth="1"/>
    <col min="7941" max="7941" width="1.375" style="83" customWidth="1"/>
    <col min="7942" max="7943" width="12.125" style="83" customWidth="1"/>
    <col min="7944" max="7944" width="1.25" style="83" customWidth="1"/>
    <col min="7945" max="7949" width="8.875" style="83"/>
    <col min="7950" max="7951" width="5.875" style="83" customWidth="1"/>
    <col min="7952" max="7952" width="6.375" style="83" customWidth="1"/>
    <col min="7953" max="8194" width="8.875" style="83"/>
    <col min="8195" max="8195" width="3.75" style="83" customWidth="1"/>
    <col min="8196" max="8196" width="4.25" style="83" customWidth="1"/>
    <col min="8197" max="8197" width="1.375" style="83" customWidth="1"/>
    <col min="8198" max="8199" width="12.125" style="83" customWidth="1"/>
    <col min="8200" max="8200" width="1.25" style="83" customWidth="1"/>
    <col min="8201" max="8205" width="8.875" style="83"/>
    <col min="8206" max="8207" width="5.875" style="83" customWidth="1"/>
    <col min="8208" max="8208" width="6.375" style="83" customWidth="1"/>
    <col min="8209" max="8450" width="8.875" style="83"/>
    <col min="8451" max="8451" width="3.75" style="83" customWidth="1"/>
    <col min="8452" max="8452" width="4.25" style="83" customWidth="1"/>
    <col min="8453" max="8453" width="1.375" style="83" customWidth="1"/>
    <col min="8454" max="8455" width="12.125" style="83" customWidth="1"/>
    <col min="8456" max="8456" width="1.25" style="83" customWidth="1"/>
    <col min="8457" max="8461" width="8.875" style="83"/>
    <col min="8462" max="8463" width="5.875" style="83" customWidth="1"/>
    <col min="8464" max="8464" width="6.375" style="83" customWidth="1"/>
    <col min="8465" max="8706" width="8.875" style="83"/>
    <col min="8707" max="8707" width="3.75" style="83" customWidth="1"/>
    <col min="8708" max="8708" width="4.25" style="83" customWidth="1"/>
    <col min="8709" max="8709" width="1.375" style="83" customWidth="1"/>
    <col min="8710" max="8711" width="12.125" style="83" customWidth="1"/>
    <col min="8712" max="8712" width="1.25" style="83" customWidth="1"/>
    <col min="8713" max="8717" width="8.875" style="83"/>
    <col min="8718" max="8719" width="5.875" style="83" customWidth="1"/>
    <col min="8720" max="8720" width="6.375" style="83" customWidth="1"/>
    <col min="8721" max="8962" width="8.875" style="83"/>
    <col min="8963" max="8963" width="3.75" style="83" customWidth="1"/>
    <col min="8964" max="8964" width="4.25" style="83" customWidth="1"/>
    <col min="8965" max="8965" width="1.375" style="83" customWidth="1"/>
    <col min="8966" max="8967" width="12.125" style="83" customWidth="1"/>
    <col min="8968" max="8968" width="1.25" style="83" customWidth="1"/>
    <col min="8969" max="8973" width="8.875" style="83"/>
    <col min="8974" max="8975" width="5.875" style="83" customWidth="1"/>
    <col min="8976" max="8976" width="6.375" style="83" customWidth="1"/>
    <col min="8977" max="9218" width="8.875" style="83"/>
    <col min="9219" max="9219" width="3.75" style="83" customWidth="1"/>
    <col min="9220" max="9220" width="4.25" style="83" customWidth="1"/>
    <col min="9221" max="9221" width="1.375" style="83" customWidth="1"/>
    <col min="9222" max="9223" width="12.125" style="83" customWidth="1"/>
    <col min="9224" max="9224" width="1.25" style="83" customWidth="1"/>
    <col min="9225" max="9229" width="8.875" style="83"/>
    <col min="9230" max="9231" width="5.875" style="83" customWidth="1"/>
    <col min="9232" max="9232" width="6.375" style="83" customWidth="1"/>
    <col min="9233" max="9474" width="8.875" style="83"/>
    <col min="9475" max="9475" width="3.75" style="83" customWidth="1"/>
    <col min="9476" max="9476" width="4.25" style="83" customWidth="1"/>
    <col min="9477" max="9477" width="1.375" style="83" customWidth="1"/>
    <col min="9478" max="9479" width="12.125" style="83" customWidth="1"/>
    <col min="9480" max="9480" width="1.25" style="83" customWidth="1"/>
    <col min="9481" max="9485" width="8.875" style="83"/>
    <col min="9486" max="9487" width="5.875" style="83" customWidth="1"/>
    <col min="9488" max="9488" width="6.375" style="83" customWidth="1"/>
    <col min="9489" max="9730" width="8.875" style="83"/>
    <col min="9731" max="9731" width="3.75" style="83" customWidth="1"/>
    <col min="9732" max="9732" width="4.25" style="83" customWidth="1"/>
    <col min="9733" max="9733" width="1.375" style="83" customWidth="1"/>
    <col min="9734" max="9735" width="12.125" style="83" customWidth="1"/>
    <col min="9736" max="9736" width="1.25" style="83" customWidth="1"/>
    <col min="9737" max="9741" width="8.875" style="83"/>
    <col min="9742" max="9743" width="5.875" style="83" customWidth="1"/>
    <col min="9744" max="9744" width="6.375" style="83" customWidth="1"/>
    <col min="9745" max="9986" width="8.875" style="83"/>
    <col min="9987" max="9987" width="3.75" style="83" customWidth="1"/>
    <col min="9988" max="9988" width="4.25" style="83" customWidth="1"/>
    <col min="9989" max="9989" width="1.375" style="83" customWidth="1"/>
    <col min="9990" max="9991" width="12.125" style="83" customWidth="1"/>
    <col min="9992" max="9992" width="1.25" style="83" customWidth="1"/>
    <col min="9993" max="9997" width="8.875" style="83"/>
    <col min="9998" max="9999" width="5.875" style="83" customWidth="1"/>
    <col min="10000" max="10000" width="6.375" style="83" customWidth="1"/>
    <col min="10001" max="10242" width="8.875" style="83"/>
    <col min="10243" max="10243" width="3.75" style="83" customWidth="1"/>
    <col min="10244" max="10244" width="4.25" style="83" customWidth="1"/>
    <col min="10245" max="10245" width="1.375" style="83" customWidth="1"/>
    <col min="10246" max="10247" width="12.125" style="83" customWidth="1"/>
    <col min="10248" max="10248" width="1.25" style="83" customWidth="1"/>
    <col min="10249" max="10253" width="8.875" style="83"/>
    <col min="10254" max="10255" width="5.875" style="83" customWidth="1"/>
    <col min="10256" max="10256" width="6.375" style="83" customWidth="1"/>
    <col min="10257" max="10498" width="8.875" style="83"/>
    <col min="10499" max="10499" width="3.75" style="83" customWidth="1"/>
    <col min="10500" max="10500" width="4.25" style="83" customWidth="1"/>
    <col min="10501" max="10501" width="1.375" style="83" customWidth="1"/>
    <col min="10502" max="10503" width="12.125" style="83" customWidth="1"/>
    <col min="10504" max="10504" width="1.25" style="83" customWidth="1"/>
    <col min="10505" max="10509" width="8.875" style="83"/>
    <col min="10510" max="10511" width="5.875" style="83" customWidth="1"/>
    <col min="10512" max="10512" width="6.375" style="83" customWidth="1"/>
    <col min="10513" max="10754" width="8.875" style="83"/>
    <col min="10755" max="10755" width="3.75" style="83" customWidth="1"/>
    <col min="10756" max="10756" width="4.25" style="83" customWidth="1"/>
    <col min="10757" max="10757" width="1.375" style="83" customWidth="1"/>
    <col min="10758" max="10759" width="12.125" style="83" customWidth="1"/>
    <col min="10760" max="10760" width="1.25" style="83" customWidth="1"/>
    <col min="10761" max="10765" width="8.875" style="83"/>
    <col min="10766" max="10767" width="5.875" style="83" customWidth="1"/>
    <col min="10768" max="10768" width="6.375" style="83" customWidth="1"/>
    <col min="10769" max="11010" width="8.875" style="83"/>
    <col min="11011" max="11011" width="3.75" style="83" customWidth="1"/>
    <col min="11012" max="11012" width="4.25" style="83" customWidth="1"/>
    <col min="11013" max="11013" width="1.375" style="83" customWidth="1"/>
    <col min="11014" max="11015" width="12.125" style="83" customWidth="1"/>
    <col min="11016" max="11016" width="1.25" style="83" customWidth="1"/>
    <col min="11017" max="11021" width="8.875" style="83"/>
    <col min="11022" max="11023" width="5.875" style="83" customWidth="1"/>
    <col min="11024" max="11024" width="6.375" style="83" customWidth="1"/>
    <col min="11025" max="11266" width="8.875" style="83"/>
    <col min="11267" max="11267" width="3.75" style="83" customWidth="1"/>
    <col min="11268" max="11268" width="4.25" style="83" customWidth="1"/>
    <col min="11269" max="11269" width="1.375" style="83" customWidth="1"/>
    <col min="11270" max="11271" width="12.125" style="83" customWidth="1"/>
    <col min="11272" max="11272" width="1.25" style="83" customWidth="1"/>
    <col min="11273" max="11277" width="8.875" style="83"/>
    <col min="11278" max="11279" width="5.875" style="83" customWidth="1"/>
    <col min="11280" max="11280" width="6.375" style="83" customWidth="1"/>
    <col min="11281" max="11522" width="8.875" style="83"/>
    <col min="11523" max="11523" width="3.75" style="83" customWidth="1"/>
    <col min="11524" max="11524" width="4.25" style="83" customWidth="1"/>
    <col min="11525" max="11525" width="1.375" style="83" customWidth="1"/>
    <col min="11526" max="11527" width="12.125" style="83" customWidth="1"/>
    <col min="11528" max="11528" width="1.25" style="83" customWidth="1"/>
    <col min="11529" max="11533" width="8.875" style="83"/>
    <col min="11534" max="11535" width="5.875" style="83" customWidth="1"/>
    <col min="11536" max="11536" width="6.375" style="83" customWidth="1"/>
    <col min="11537" max="11778" width="8.875" style="83"/>
    <col min="11779" max="11779" width="3.75" style="83" customWidth="1"/>
    <col min="11780" max="11780" width="4.25" style="83" customWidth="1"/>
    <col min="11781" max="11781" width="1.375" style="83" customWidth="1"/>
    <col min="11782" max="11783" width="12.125" style="83" customWidth="1"/>
    <col min="11784" max="11784" width="1.25" style="83" customWidth="1"/>
    <col min="11785" max="11789" width="8.875" style="83"/>
    <col min="11790" max="11791" width="5.875" style="83" customWidth="1"/>
    <col min="11792" max="11792" width="6.375" style="83" customWidth="1"/>
    <col min="11793" max="12034" width="8.875" style="83"/>
    <col min="12035" max="12035" width="3.75" style="83" customWidth="1"/>
    <col min="12036" max="12036" width="4.25" style="83" customWidth="1"/>
    <col min="12037" max="12037" width="1.375" style="83" customWidth="1"/>
    <col min="12038" max="12039" width="12.125" style="83" customWidth="1"/>
    <col min="12040" max="12040" width="1.25" style="83" customWidth="1"/>
    <col min="12041" max="12045" width="8.875" style="83"/>
    <col min="12046" max="12047" width="5.875" style="83" customWidth="1"/>
    <col min="12048" max="12048" width="6.375" style="83" customWidth="1"/>
    <col min="12049" max="12290" width="8.875" style="83"/>
    <col min="12291" max="12291" width="3.75" style="83" customWidth="1"/>
    <col min="12292" max="12292" width="4.25" style="83" customWidth="1"/>
    <col min="12293" max="12293" width="1.375" style="83" customWidth="1"/>
    <col min="12294" max="12295" width="12.125" style="83" customWidth="1"/>
    <col min="12296" max="12296" width="1.25" style="83" customWidth="1"/>
    <col min="12297" max="12301" width="8.875" style="83"/>
    <col min="12302" max="12303" width="5.875" style="83" customWidth="1"/>
    <col min="12304" max="12304" width="6.375" style="83" customWidth="1"/>
    <col min="12305" max="12546" width="8.875" style="83"/>
    <col min="12547" max="12547" width="3.75" style="83" customWidth="1"/>
    <col min="12548" max="12548" width="4.25" style="83" customWidth="1"/>
    <col min="12549" max="12549" width="1.375" style="83" customWidth="1"/>
    <col min="12550" max="12551" width="12.125" style="83" customWidth="1"/>
    <col min="12552" max="12552" width="1.25" style="83" customWidth="1"/>
    <col min="12553" max="12557" width="8.875" style="83"/>
    <col min="12558" max="12559" width="5.875" style="83" customWidth="1"/>
    <col min="12560" max="12560" width="6.375" style="83" customWidth="1"/>
    <col min="12561" max="12802" width="8.875" style="83"/>
    <col min="12803" max="12803" width="3.75" style="83" customWidth="1"/>
    <col min="12804" max="12804" width="4.25" style="83" customWidth="1"/>
    <col min="12805" max="12805" width="1.375" style="83" customWidth="1"/>
    <col min="12806" max="12807" width="12.125" style="83" customWidth="1"/>
    <col min="12808" max="12808" width="1.25" style="83" customWidth="1"/>
    <col min="12809" max="12813" width="8.875" style="83"/>
    <col min="12814" max="12815" width="5.875" style="83" customWidth="1"/>
    <col min="12816" max="12816" width="6.375" style="83" customWidth="1"/>
    <col min="12817" max="13058" width="8.875" style="83"/>
    <col min="13059" max="13059" width="3.75" style="83" customWidth="1"/>
    <col min="13060" max="13060" width="4.25" style="83" customWidth="1"/>
    <col min="13061" max="13061" width="1.375" style="83" customWidth="1"/>
    <col min="13062" max="13063" width="12.125" style="83" customWidth="1"/>
    <col min="13064" max="13064" width="1.25" style="83" customWidth="1"/>
    <col min="13065" max="13069" width="8.875" style="83"/>
    <col min="13070" max="13071" width="5.875" style="83" customWidth="1"/>
    <col min="13072" max="13072" width="6.375" style="83" customWidth="1"/>
    <col min="13073" max="13314" width="8.875" style="83"/>
    <col min="13315" max="13315" width="3.75" style="83" customWidth="1"/>
    <col min="13316" max="13316" width="4.25" style="83" customWidth="1"/>
    <col min="13317" max="13317" width="1.375" style="83" customWidth="1"/>
    <col min="13318" max="13319" width="12.125" style="83" customWidth="1"/>
    <col min="13320" max="13320" width="1.25" style="83" customWidth="1"/>
    <col min="13321" max="13325" width="8.875" style="83"/>
    <col min="13326" max="13327" width="5.875" style="83" customWidth="1"/>
    <col min="13328" max="13328" width="6.375" style="83" customWidth="1"/>
    <col min="13329" max="13570" width="8.875" style="83"/>
    <col min="13571" max="13571" width="3.75" style="83" customWidth="1"/>
    <col min="13572" max="13572" width="4.25" style="83" customWidth="1"/>
    <col min="13573" max="13573" width="1.375" style="83" customWidth="1"/>
    <col min="13574" max="13575" width="12.125" style="83" customWidth="1"/>
    <col min="13576" max="13576" width="1.25" style="83" customWidth="1"/>
    <col min="13577" max="13581" width="8.875" style="83"/>
    <col min="13582" max="13583" width="5.875" style="83" customWidth="1"/>
    <col min="13584" max="13584" width="6.375" style="83" customWidth="1"/>
    <col min="13585" max="13826" width="8.875" style="83"/>
    <col min="13827" max="13827" width="3.75" style="83" customWidth="1"/>
    <col min="13828" max="13828" width="4.25" style="83" customWidth="1"/>
    <col min="13829" max="13829" width="1.375" style="83" customWidth="1"/>
    <col min="13830" max="13831" width="12.125" style="83" customWidth="1"/>
    <col min="13832" max="13832" width="1.25" style="83" customWidth="1"/>
    <col min="13833" max="13837" width="8.875" style="83"/>
    <col min="13838" max="13839" width="5.875" style="83" customWidth="1"/>
    <col min="13840" max="13840" width="6.375" style="83" customWidth="1"/>
    <col min="13841" max="14082" width="8.875" style="83"/>
    <col min="14083" max="14083" width="3.75" style="83" customWidth="1"/>
    <col min="14084" max="14084" width="4.25" style="83" customWidth="1"/>
    <col min="14085" max="14085" width="1.375" style="83" customWidth="1"/>
    <col min="14086" max="14087" width="12.125" style="83" customWidth="1"/>
    <col min="14088" max="14088" width="1.25" style="83" customWidth="1"/>
    <col min="14089" max="14093" width="8.875" style="83"/>
    <col min="14094" max="14095" width="5.875" style="83" customWidth="1"/>
    <col min="14096" max="14096" width="6.375" style="83" customWidth="1"/>
    <col min="14097" max="14338" width="8.875" style="83"/>
    <col min="14339" max="14339" width="3.75" style="83" customWidth="1"/>
    <col min="14340" max="14340" width="4.25" style="83" customWidth="1"/>
    <col min="14341" max="14341" width="1.375" style="83" customWidth="1"/>
    <col min="14342" max="14343" width="12.125" style="83" customWidth="1"/>
    <col min="14344" max="14344" width="1.25" style="83" customWidth="1"/>
    <col min="14345" max="14349" width="8.875" style="83"/>
    <col min="14350" max="14351" width="5.875" style="83" customWidth="1"/>
    <col min="14352" max="14352" width="6.375" style="83" customWidth="1"/>
    <col min="14353" max="14594" width="8.875" style="83"/>
    <col min="14595" max="14595" width="3.75" style="83" customWidth="1"/>
    <col min="14596" max="14596" width="4.25" style="83" customWidth="1"/>
    <col min="14597" max="14597" width="1.375" style="83" customWidth="1"/>
    <col min="14598" max="14599" width="12.125" style="83" customWidth="1"/>
    <col min="14600" max="14600" width="1.25" style="83" customWidth="1"/>
    <col min="14601" max="14605" width="8.875" style="83"/>
    <col min="14606" max="14607" width="5.875" style="83" customWidth="1"/>
    <col min="14608" max="14608" width="6.375" style="83" customWidth="1"/>
    <col min="14609" max="14850" width="8.875" style="83"/>
    <col min="14851" max="14851" width="3.75" style="83" customWidth="1"/>
    <col min="14852" max="14852" width="4.25" style="83" customWidth="1"/>
    <col min="14853" max="14853" width="1.375" style="83" customWidth="1"/>
    <col min="14854" max="14855" width="12.125" style="83" customWidth="1"/>
    <col min="14856" max="14856" width="1.25" style="83" customWidth="1"/>
    <col min="14857" max="14861" width="8.875" style="83"/>
    <col min="14862" max="14863" width="5.875" style="83" customWidth="1"/>
    <col min="14864" max="14864" width="6.375" style="83" customWidth="1"/>
    <col min="14865" max="15106" width="8.875" style="83"/>
    <col min="15107" max="15107" width="3.75" style="83" customWidth="1"/>
    <col min="15108" max="15108" width="4.25" style="83" customWidth="1"/>
    <col min="15109" max="15109" width="1.375" style="83" customWidth="1"/>
    <col min="15110" max="15111" width="12.125" style="83" customWidth="1"/>
    <col min="15112" max="15112" width="1.25" style="83" customWidth="1"/>
    <col min="15113" max="15117" width="8.875" style="83"/>
    <col min="15118" max="15119" width="5.875" style="83" customWidth="1"/>
    <col min="15120" max="15120" width="6.375" style="83" customWidth="1"/>
    <col min="15121" max="15362" width="8.875" style="83"/>
    <col min="15363" max="15363" width="3.75" style="83" customWidth="1"/>
    <col min="15364" max="15364" width="4.25" style="83" customWidth="1"/>
    <col min="15365" max="15365" width="1.375" style="83" customWidth="1"/>
    <col min="15366" max="15367" width="12.125" style="83" customWidth="1"/>
    <col min="15368" max="15368" width="1.25" style="83" customWidth="1"/>
    <col min="15369" max="15373" width="8.875" style="83"/>
    <col min="15374" max="15375" width="5.875" style="83" customWidth="1"/>
    <col min="15376" max="15376" width="6.375" style="83" customWidth="1"/>
    <col min="15377" max="15618" width="8.875" style="83"/>
    <col min="15619" max="15619" width="3.75" style="83" customWidth="1"/>
    <col min="15620" max="15620" width="4.25" style="83" customWidth="1"/>
    <col min="15621" max="15621" width="1.375" style="83" customWidth="1"/>
    <col min="15622" max="15623" width="12.125" style="83" customWidth="1"/>
    <col min="15624" max="15624" width="1.25" style="83" customWidth="1"/>
    <col min="15625" max="15629" width="8.875" style="83"/>
    <col min="15630" max="15631" width="5.875" style="83" customWidth="1"/>
    <col min="15632" max="15632" width="6.375" style="83" customWidth="1"/>
    <col min="15633" max="15874" width="8.875" style="83"/>
    <col min="15875" max="15875" width="3.75" style="83" customWidth="1"/>
    <col min="15876" max="15876" width="4.25" style="83" customWidth="1"/>
    <col min="15877" max="15877" width="1.375" style="83" customWidth="1"/>
    <col min="15878" max="15879" width="12.125" style="83" customWidth="1"/>
    <col min="15880" max="15880" width="1.25" style="83" customWidth="1"/>
    <col min="15881" max="15885" width="8.875" style="83"/>
    <col min="15886" max="15887" width="5.875" style="83" customWidth="1"/>
    <col min="15888" max="15888" width="6.375" style="83" customWidth="1"/>
    <col min="15889" max="16130" width="8.875" style="83"/>
    <col min="16131" max="16131" width="3.75" style="83" customWidth="1"/>
    <col min="16132" max="16132" width="4.25" style="83" customWidth="1"/>
    <col min="16133" max="16133" width="1.375" style="83" customWidth="1"/>
    <col min="16134" max="16135" width="12.125" style="83" customWidth="1"/>
    <col min="16136" max="16136" width="1.25" style="83" customWidth="1"/>
    <col min="16137" max="16141" width="8.875" style="83"/>
    <col min="16142" max="16143" width="5.875" style="83" customWidth="1"/>
    <col min="16144" max="16144" width="6.375" style="83" customWidth="1"/>
    <col min="16145" max="16384" width="8.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0.94240514092842453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0.41277404755459951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25.25" style="83" bestFit="1" customWidth="1"/>
    <col min="4" max="4" width="12" style="83" bestFit="1" customWidth="1"/>
    <col min="5" max="16384" width="8.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135.0925608652621</v>
      </c>
      <c r="E11" s="108"/>
    </row>
    <row r="12" spans="1:5" x14ac:dyDescent="0.25">
      <c r="C12" s="106" t="s">
        <v>266</v>
      </c>
      <c r="D12" s="107">
        <f>D11/D4</f>
        <v>27.018512173052422</v>
      </c>
      <c r="E12" s="108"/>
    </row>
    <row r="13" spans="1:5" x14ac:dyDescent="0.25">
      <c r="C13" s="106" t="s">
        <v>267</v>
      </c>
      <c r="D13" s="109">
        <f>D8*D11/2</f>
        <v>0.37011660511030714</v>
      </c>
      <c r="E13" s="108"/>
    </row>
    <row r="14" spans="1:5" x14ac:dyDescent="0.25">
      <c r="C14" s="106" t="s">
        <v>268</v>
      </c>
      <c r="D14" s="110">
        <f>D5/D12</f>
        <v>0.3701166050872981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9.875" style="83" customWidth="1"/>
    <col min="4" max="4" width="2.375" style="86" bestFit="1" customWidth="1"/>
    <col min="5" max="5" width="2.375" style="83" bestFit="1" customWidth="1"/>
    <col min="6" max="9" width="5.875" style="83" customWidth="1"/>
    <col min="10" max="10" width="15.125" style="124" bestFit="1" customWidth="1"/>
    <col min="11" max="11" width="3.375" style="83" bestFit="1" customWidth="1"/>
    <col min="12" max="13" width="8.875" style="83"/>
    <col min="14" max="14" width="10.875" style="86" customWidth="1"/>
    <col min="15" max="16" width="8.875" style="86"/>
    <col min="17" max="16384" width="8.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E31" sqref="E31"/>
    </sheetView>
  </sheetViews>
  <sheetFormatPr defaultColWidth="10.25" defaultRowHeight="15" x14ac:dyDescent="0.25"/>
  <cols>
    <col min="1" max="1" width="15" style="60" bestFit="1" customWidth="1"/>
    <col min="2" max="2" width="3" style="83" customWidth="1"/>
    <col min="3" max="3" width="10.25" style="125" customWidth="1"/>
    <col min="4" max="4" width="7" style="125" customWidth="1"/>
    <col min="5" max="16384" width="10.25" style="125"/>
  </cols>
  <sheetData>
    <row r="1" spans="1:9" x14ac:dyDescent="0.25">
      <c r="A1" s="62" t="s">
        <v>302</v>
      </c>
      <c r="C1" s="188" t="s">
        <v>285</v>
      </c>
      <c r="D1" s="188"/>
      <c r="E1" s="188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2.3571428552810598</v>
      </c>
      <c r="I4" s="125">
        <f>SIN(RADIANS(D7))*D2</f>
        <v>1.8557687247600261</v>
      </c>
    </row>
    <row r="5" spans="1:9" x14ac:dyDescent="0.25">
      <c r="A5" s="62" t="s">
        <v>209</v>
      </c>
      <c r="H5" s="125">
        <f>H4+COS(RADIANS(D8))*D3</f>
        <v>6.9999999979988861</v>
      </c>
      <c r="I5" s="125">
        <f>I4+SIN(RADIANS(D8))*D3</f>
        <v>2.0162513880706001E-9</v>
      </c>
    </row>
    <row r="6" spans="1:9" ht="15.75" thickBot="1" x14ac:dyDescent="0.3">
      <c r="A6" s="63" t="b">
        <f>AND(F16)</f>
        <v>1</v>
      </c>
      <c r="C6" s="188" t="s">
        <v>224</v>
      </c>
      <c r="D6" s="188"/>
      <c r="E6" s="188"/>
    </row>
    <row r="7" spans="1:9" x14ac:dyDescent="0.25">
      <c r="A7" s="62" t="s">
        <v>210</v>
      </c>
      <c r="C7" s="127" t="s">
        <v>290</v>
      </c>
      <c r="D7" s="168">
        <v>38.213210759220104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-21.786789302563125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8" t="s">
        <v>293</v>
      </c>
      <c r="D10" s="188"/>
      <c r="E10" s="188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6.9999999979988861</v>
      </c>
      <c r="D12" s="130">
        <f>D4</f>
        <v>7</v>
      </c>
      <c r="E12" s="130">
        <f>D12-C12</f>
        <v>2.001113941219046E-9</v>
      </c>
      <c r="F12" s="130">
        <f>E12^2</f>
        <v>4.0044570057412233E-18</v>
      </c>
    </row>
    <row r="13" spans="1:9" x14ac:dyDescent="0.25">
      <c r="C13" s="130">
        <f>D2*SIN(RADIANS(D7))+D3*SIN(RADIANS(D8))</f>
        <v>2.0162513880706001E-9</v>
      </c>
      <c r="D13" s="130">
        <v>0</v>
      </c>
      <c r="E13" s="130">
        <f>C13-D13</f>
        <v>2.0162513880706001E-9</v>
      </c>
      <c r="F13" s="130">
        <f>E13^2</f>
        <v>4.0652696598966217E-18</v>
      </c>
    </row>
    <row r="15" spans="1:9" x14ac:dyDescent="0.25">
      <c r="C15" s="188" t="s">
        <v>298</v>
      </c>
      <c r="D15" s="188"/>
      <c r="E15" s="188"/>
      <c r="F15" s="131">
        <f>SUM(F12:F13)</f>
        <v>8.069726665637845E-18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E31" sqref="E31"/>
    </sheetView>
  </sheetViews>
  <sheetFormatPr defaultColWidth="8.875" defaultRowHeight="15" x14ac:dyDescent="0.25"/>
  <cols>
    <col min="1" max="1" width="2.375" customWidth="1"/>
    <col min="2" max="2" width="4.875" customWidth="1"/>
    <col min="3" max="5" width="5.125" style="1" customWidth="1"/>
    <col min="6" max="6" width="3.125" style="1" customWidth="1"/>
    <col min="7" max="7" width="8.375" style="1" customWidth="1"/>
    <col min="8" max="8" width="3" style="1" customWidth="1"/>
    <col min="9" max="10" width="6" style="1" customWidth="1"/>
    <col min="11" max="11" width="1.75" style="1" customWidth="1"/>
    <col min="12" max="14" width="7" customWidth="1"/>
    <col min="15" max="15" width="1.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E31" sqref="E31"/>
    </sheetView>
  </sheetViews>
  <sheetFormatPr defaultColWidth="9.125" defaultRowHeight="15" x14ac:dyDescent="0.25"/>
  <cols>
    <col min="1" max="1" width="3.375" style="42" customWidth="1"/>
    <col min="2" max="3" width="9.125" style="42"/>
    <col min="4" max="4" width="9.125" style="42" customWidth="1"/>
    <col min="5" max="5" width="18.25" style="42" customWidth="1"/>
    <col min="6" max="6" width="4.75" style="42" customWidth="1"/>
    <col min="7" max="7" width="3.375" style="43" customWidth="1"/>
    <col min="8" max="8" width="23.125" style="42" bestFit="1" customWidth="1"/>
    <col min="9" max="16384" width="9.1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9" t="s">
        <v>157</v>
      </c>
      <c r="C33" s="19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123</vt:i4>
      </vt:variant>
    </vt:vector>
  </HeadingPairs>
  <TitlesOfParts>
    <vt:vector size="198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2016-09-08T18:41:49Z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