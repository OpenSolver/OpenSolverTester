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.xml" ContentType="application/vnd.openxmlformats-officedocument.drawingml.chart+xml"/>
  <Override PartName="/xl/drawings/drawing49.xml" ContentType="application/vnd.openxmlformats-officedocument.drawing+xml"/>
  <Override PartName="/xl/charts/chart3.xml" ContentType="application/vnd.openxmlformats-officedocument.drawingml.chart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84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CBC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NeosCBC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42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52" hidden="1">Bonmin</definedName>
    <definedName name="OpenSolver_ChosenSolver" localSheetId="18" hidden="1">Bonmin</definedName>
    <definedName name="OpenSolver_ChosenSolver" localSheetId="53" hidden="1">Bonmin</definedName>
    <definedName name="OpenSolver_ChosenSolver" localSheetId="55" hidden="1">Bonmin</definedName>
    <definedName name="OpenSolver_ChosenSolver" localSheetId="54" hidden="1">CBC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CBC</definedName>
    <definedName name="OpenSolver_ChosenSolver" localSheetId="61" hidden="1">Bonmin</definedName>
    <definedName name="OpenSolver_ChosenSolver" localSheetId="62" hidden="1">Bonmin</definedName>
    <definedName name="OpenSolver_ChosenSolver" localSheetId="63" hidden="1">CBC</definedName>
    <definedName name="OpenSolver_ChosenSolver" localSheetId="65" hidden="1">Bonmin</definedName>
    <definedName name="OpenSolver_ChosenSolver" localSheetId="67" hidden="1">Bonmin</definedName>
    <definedName name="OpenSolver_ChosenSolver" localSheetId="19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73" hidden="1">Bonmin</definedName>
    <definedName name="OpenSolver_ChosenSolver" localSheetId="74" hidden="1">Bonmin</definedName>
    <definedName name="OpenSolver_ChosenSolver" localSheetId="75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Test1!$E$4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Test15e_Relax!$F$5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Test1!$H$10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Test15e_Relax!$E$5:$F$5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Test1!$H$11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Test15e_Relax!$D$5:$F$5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Test15e_Relax!$H$11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Test15e_Relax!$H$12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Test15e_Relax!$H$13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4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4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5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3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4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2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3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integer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binary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Test1!$J$10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integer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Test1!$J$11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Test15e_Relax!$E$7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Test15e_Relax!$J$11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Test15e_Relax!$J$12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Test15e_Relax!$J$13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2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59" hidden="1">2</definedName>
    <definedName name="solver_rlx" localSheetId="65" hidden="1">2</definedName>
    <definedName name="solver_rlx" localSheetId="67" hidden="1">2</definedName>
    <definedName name="solver_rlx" localSheetId="68" hidden="1">2</definedName>
    <definedName name="solver_rlx" localSheetId="69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9999999999</definedName>
    <definedName name="solver_tim" localSheetId="48" hidden="1">9999999999</definedName>
    <definedName name="solver_tim" localSheetId="49" hidden="1">9999999999</definedName>
    <definedName name="solver_tim" localSheetId="50" hidden="1">100</definedName>
    <definedName name="solver_tim" localSheetId="51" hidden="1">100</definedName>
    <definedName name="solver_tim" localSheetId="52" hidden="1">9999999999</definedName>
    <definedName name="solver_tim" localSheetId="18" hidden="1">100</definedName>
    <definedName name="solver_tim" localSheetId="53" hidden="1">9999999999</definedName>
    <definedName name="solver_tim" localSheetId="55" hidden="1">9999999999</definedName>
    <definedName name="solver_tim" localSheetId="54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9999999999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9999999999</definedName>
    <definedName name="solver_tim" localSheetId="73" hidden="1">9999999999</definedName>
    <definedName name="solver_tim" localSheetId="74" hidden="1">100</definedName>
    <definedName name="solver_tim" localSheetId="75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A71" i="60" l="1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H9" i="98"/>
  <c r="D23" i="98" s="1"/>
  <c r="D19" i="98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A10" i="98"/>
  <c r="A9" i="98"/>
  <c r="H9" i="45"/>
  <c r="G6" i="70"/>
  <c r="H6" i="1"/>
  <c r="C6" i="95"/>
  <c r="H6" i="94"/>
  <c r="G4" i="92"/>
  <c r="G4" i="90"/>
  <c r="J7" i="87"/>
  <c r="D20" i="96"/>
  <c r="D20" i="77"/>
  <c r="S13" i="75"/>
  <c r="I6" i="71"/>
  <c r="F6" i="69"/>
  <c r="F4" i="68"/>
  <c r="H6" i="67"/>
  <c r="I6" i="66"/>
  <c r="G6" i="65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F19" i="98" l="1"/>
  <c r="H11" i="98"/>
  <c r="E19" i="98"/>
  <c r="H12" i="98"/>
  <c r="H13" i="98"/>
  <c r="H6" i="4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<sst xmlns="http://schemas.openxmlformats.org/spreadsheetml/2006/main" count="2120" uniqueCount="438">
  <si>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</si>
  <si>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</si>
  <si>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</si>
  <si>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</si>
  <si>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</si>
  <si>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</si>
  <si>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</si>
  <si>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</si>
  <si>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</si>
  <si>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</si>
  <si>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</si>
  <si>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</si>
  <si>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</si>
  <si>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</si>
  <si>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</si>
  <si>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</si>
  <si>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</si>
  <si>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</si>
  <si>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</si>
  <si>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</si>
  <si>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</si>
  <si>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</si>
  <si>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</si>
  <si>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</si>
  <si>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</si>
  <si>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</si>
  <si>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</si>
  <si>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</si>
  <si>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</si>
  <si>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</si>
  <si>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</si>
  <si>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</si>
  <si>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</si>
  <si>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</si>
  <si>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</si>
  <si>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</si>
  <si>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</si>
  <si>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</si>
  <si>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</si>
  <si>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</si>
  <si>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</si>
  <si>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</si>
  <si>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</si>
  <si>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</si>
  <si>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</si>
  <si>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</si>
  <si>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</si>
  <si>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</si>
  <si>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</si>
  <si>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</si>
  <si>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</si>
  <si>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</si>
  <si>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</si>
  <si>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</si>
  <si>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</si>
  <si>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</si>
  <si>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</si>
  <si>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</si>
  <si>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</si>
  <si>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</si>
  <si>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</si>
  <si>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</si>
  <si>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</si>
  <si>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</si>
  <si>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</si>
  <si>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</si>
  <si>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</si>
  <si>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</si>
  <si>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</si>
  <si>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</si>
  <si>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</si>
  <si>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</si>
  <si>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</si>
  <si>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</si>
  <si>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</si>
  <si>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</si>
  <si>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</si>
  <si>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</si>
  <si>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</si>
  <si>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</si>
  <si>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</si>
  <si>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</si>
  <si>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</si>
  <si>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</si>
  <si>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</si>
  <si>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</si>
  <si>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</si>
  <si>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</si>
  <si>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</si>
  <si>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</si>
  <si>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</si>
  <si>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</si>
  <si>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</si>
  <si>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</si>
  <si>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</si>
  <si>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</si>
  <si>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</si>
  <si>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</si>
  <si>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</si>
  <si>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</si>
  <si>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</si>
  <si>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</si>
  <si>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</si>
  <si>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</si>
  <si>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</si>
  <si>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</si>
  <si>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</si>
  <si>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</si>
  <si>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</si>
  <si>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</si>
  <si>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</si>
  <si>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</si>
  <si>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</si>
  <si>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</si>
  <si>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</si>
  <si>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</si>
  <si>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</si>
  <si>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</si>
  <si>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</si>
  <si>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</si>
  <si>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</si>
  <si>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</si>
  <si>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</si>
  <si>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</si>
  <si>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</si>
  <si>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</si>
  <si>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</si>
  <si>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</si>
  <si>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</si>
  <si>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</si>
  <si>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</si>
  <si>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</si>
  <si>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</si>
  <si>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</si>
  <si>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</si>
  <si>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</si>
  <si>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</si>
  <si>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</si>
  <si>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</si>
  <si>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</si>
  <si>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</si>
  <si>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</si>
  <si>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</si>
  <si>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</si>
  <si>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</si>
  <si>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</si>
  <si>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</si>
  <si>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</si>
  <si>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</si>
  <si>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</si>
  <si>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</si>
  <si>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</si>
  <si>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</si>
  <si>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</si>
  <si>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</si>
  <si>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</si>
  <si>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</si>
  <si>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</si>
  <si>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</si>
  <si>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</si>
  <si>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</si>
  <si>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</si>
  <si>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</si>
  <si>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</si>
  <si>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</si>
  <si>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</si>
  <si>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</si>
  <si>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</si>
  <si>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</si>
  <si>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</si>
  <si>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</si>
  <si>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</si>
  <si>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</si>
  <si>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</si>
  <si>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</si>
  <si>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</si>
  <si>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</si>
  <si>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</si>
  <si>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</si>
  <si>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</si>
  <si>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</si>
  <si>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</si>
  <si>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</si>
  <si>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</si>
  <si>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</si>
  <si>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</si>
  <si>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</si>
  <si>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</si>
  <si>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</si>
  <si>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</si>
  <si>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</si>
  <si>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</si>
  <si>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</si>
  <si>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</si>
  <si>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</si>
  <si>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</si>
  <si>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</si>
  <si>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</si>
  <si>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</si>
  <si>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</si>
  <si>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</si>
  <si>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</si>
  <si>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</si>
  <si>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</si>
  <si>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</si>
  <si>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</si>
  <si>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</si>
  <si>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</si>
  <si>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</si>
  <si>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</si>
  <si>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</si>
  <si>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</si>
  <si>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</si>
  <si>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</si>
  <si>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</si>
  <si>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</si>
  <si>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</si>
  <si>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</si>
  <si>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</si>
  <si>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</si>
  <si>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</si>
  <si>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</si>
  <si>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</si>
  <si>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</si>
  <si>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</si>
  <si>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</si>
  <si>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</si>
  <si>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</si>
  <si>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</si>
  <si>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</si>
  <si>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</si>
  <si>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</si>
  <si>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</si>
  <si>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</si>
  <si>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</si>
  <si>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</si>
  <si>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</si>
  <si>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</si>
  <si>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</si>
  <si>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</si>
  <si>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</si>
  <si>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</si>
  <si>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</si>
  <si>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</si>
  <si>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</si>
  <si>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</si>
  <si>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</si>
  <si>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</si>
  <si>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</si>
  <si>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</si>
  <si>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</si>
  <si>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</si>
  <si>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</si>
  <si>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</si>
  <si>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</si>
  <si>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</si>
  <si>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</si>
  <si>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</si>
  <si>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</si>
  <si>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</si>
  <si>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</si>
  <si>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</si>
  <si>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</si>
  <si>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</si>
  <si>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</si>
  <si>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</si>
  <si>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</si>
  <si>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</si>
  <si>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</si>
  <si>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</si>
  <si>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</si>
  <si>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</si>
  <si>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</si>
  <si>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</si>
  <si>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</si>
  <si>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</si>
  <si>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</si>
  <si>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</si>
  <si>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</si>
  <si>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</si>
  <si>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</si>
  <si>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</si>
  <si>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</si>
  <si>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</si>
  <si>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</si>
  <si>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</si>
  <si>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</si>
  <si>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</si>
  <si>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</si>
  <si>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</si>
  <si>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</si>
  <si>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</si>
  <si>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</si>
  <si>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</si>
  <si>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</si>
  <si>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</si>
  <si>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</si>
  <si>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</si>
  <si>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</si>
  <si>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</si>
  <si>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</si>
  <si>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</si>
  <si>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</si>
  <si>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</si>
  <si>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</si>
  <si>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</si>
  <si>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</si>
  <si>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</si>
  <si>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</si>
  <si>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</si>
  <si>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</si>
  <si>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</si>
  <si>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</si>
  <si>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</si>
  <si>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</si>
  <si>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</si>
  <si>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</si>
  <si>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</si>
  <si>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</si>
  <si>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</si>
  <si>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</si>
  <si>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</si>
  <si>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</si>
  <si>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</si>
  <si>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</si>
  <si>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</si>
  <si>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</si>
  <si>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</si>
  <si>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</si>
  <si>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</si>
  <si>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</si>
  <si>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</si>
  <si>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</si>
  <si>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</si>
  <si>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</si>
  <si>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</si>
  <si>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</si>
  <si>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</si>
  <si>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</si>
  <si>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</si>
  <si>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</si>
  <si>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</si>
  <si>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</si>
  <si>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</si>
  <si>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</si>
  <si>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</si>
  <si>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</si>
  <si>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</si>
  <si>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</si>
  <si>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</si>
  <si>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</si>
  <si>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</si>
  <si>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</si>
  <si>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</si>
  <si>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</si>
  <si>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</si>
  <si>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</si>
  <si>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</si>
  <si>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</si>
  <si>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</si>
  <si>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</si>
  <si>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</si>
  <si>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</si>
  <si>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</si>
  <si>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</si>
  <si>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</si>
  <si>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</si>
  <si>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</si>
  <si>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</si>
  <si>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</si>
  <si>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</si>
  <si>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</si>
  <si>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</si>
  <si>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</si>
  <si>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</si>
  <si>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</si>
  <si>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</si>
  <si>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</si>
  <si>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</si>
  <si>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</si>
  <si>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</si>
  <si>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</si>
  <si>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</si>
  <si>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</si>
  <si>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</si>
  <si>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</si>
  <si>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</si>
  <si>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</si>
  <si>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</si>
  <si>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</si>
  <si>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</si>
  <si>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</si>
  <si>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</si>
  <si>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</si>
  <si>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</si>
  <si>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</t>
  </si>
  <si>
    <t>This is an unused variable cell</t>
  </si>
  <si>
    <t>It tests what happens with sensitivity analysis and duals for missing vars</t>
  </si>
  <si>
    <t>OpenSolver Sensitivity Report - Gurobi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</si>
  <si>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</si>
  <si>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</si>
  <si>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</si>
  <si>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</si>
  <si>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</si>
  <si>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</si>
  <si>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</si>
  <si>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</si>
  <si>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</si>
  <si>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</si>
  <si>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</si>
  <si>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</si>
  <si>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</si>
  <si>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</si>
  <si>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</si>
  <si>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</si>
  <si>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</si>
  <si>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</si>
  <si>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</si>
  <si>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</si>
  <si>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</si>
  <si>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</si>
  <si>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</si>
  <si>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</si>
  <si>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</si>
  <si>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</si>
  <si>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</si>
  <si>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</si>
  <si>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</si>
  <si>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</si>
  <si>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</si>
  <si>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</si>
  <si>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</si>
  <si>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</si>
  <si>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</si>
  <si>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Report Created: 16/02/2015 9:10:37 a.m.</t>
  </si>
  <si>
    <t>Report Created: 16/02/2015 9:10:52 a.m.</t>
  </si>
  <si>
    <t>Report Created: 16/02/2015 9:10:55 a.m.</t>
  </si>
  <si>
    <t>Report Created: 16/02/2015 9:11:05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</si>
</sst>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90997816"/>
        <c:axId val="290998208"/>
        <c:axId val="389824024"/>
      </c:surface3DChart>
      <c:catAx>
        <c:axId val="2909978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99820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9099820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997816"/>
        <c:crosses val="min"/>
        <c:crossBetween val="between"/>
        <c:majorUnit val="0.1"/>
      </c:valAx>
      <c:serAx>
        <c:axId val="389824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99820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46752"/>
        <c:axId val="533447928"/>
      </c:scatterChart>
      <c:valAx>
        <c:axId val="5334467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447928"/>
        <c:crosses val="autoZero"/>
        <c:crossBetween val="midCat"/>
        <c:majorUnit val="0.5"/>
      </c:valAx>
      <c:valAx>
        <c:axId val="5334479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4467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2.3571428571397148</c:v>
                </c:pt>
                <c:pt idx="2">
                  <c:v>6.9999999999971134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1.8557687223992168</c:v>
                </c:pt>
                <c:pt idx="2">
                  <c:v>4.6322945479460031E-12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49104"/>
        <c:axId val="533449496"/>
      </c:scatterChart>
      <c:valAx>
        <c:axId val="53344910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449496"/>
        <c:crosses val="autoZero"/>
        <c:crossBetween val="midCat"/>
        <c:majorUnit val="1"/>
      </c:valAx>
      <c:valAx>
        <c:axId val="5334494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44910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tabSelected="1" zoomScale="85" zoomScaleNormal="85" zoomScalePageLayoutView="85" workbookViewId="0"/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80" t="s">
        <v>374</v>
      </c>
      <c r="D1" s="180"/>
      <c r="E1" s="180"/>
      <c r="F1" s="180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352</v>
      </c>
      <c r="I2" s="166" t="s">
        <v>358</v>
      </c>
    </row>
    <row r="3" spans="1:9" x14ac:dyDescent="0.25">
      <c r="A3" s="172" t="str">
        <f>HYPERLINK("[OpenSolver Tester.xlsm]Test1!A1", "Test1")</f>
        <v>Test1</v>
      </c>
    </row>
    <row r="4" spans="1:9" x14ac:dyDescent="0.25">
      <c r="A4" s="172" t="str">
        <f>HYPERLINK("[OpenSolver Tester.xlsm]Test1b!A1", "Test1b")</f>
        <v>Test1b</v>
      </c>
    </row>
    <row r="5" spans="1:9" x14ac:dyDescent="0.25">
      <c r="A5" s="172" t="str">
        <f>HYPERLINK("[OpenSolver Tester.xlsm]Test1c!A1", "Test1c")</f>
        <v>Test1c</v>
      </c>
    </row>
    <row r="6" spans="1:9" x14ac:dyDescent="0.25">
      <c r="A6" s="172" t="str">
        <f>HYPERLINK("[OpenSolver Tester.xlsm]Test1c2!A1", "Test1c2")</f>
        <v>Test1c2</v>
      </c>
    </row>
    <row r="7" spans="1:9" x14ac:dyDescent="0.25">
      <c r="A7" s="172" t="str">
        <f>HYPERLINK("[OpenSolver Tester.xlsm]Test1d!A1", "Test1d")</f>
        <v>Test1d</v>
      </c>
    </row>
    <row r="8" spans="1:9" x14ac:dyDescent="0.25">
      <c r="A8" s="172" t="str">
        <f>HYPERLINK("[OpenSolver Tester.xlsm]Test1e!A1", "Test1e")</f>
        <v>Test1e</v>
      </c>
    </row>
    <row r="9" spans="1:9" x14ac:dyDescent="0.25">
      <c r="A9" s="172" t="str">
        <f>HYPERLINK("[OpenSolver Tester.xlsm]Test1f!A1", "Test1f")</f>
        <v>Test1f</v>
      </c>
    </row>
    <row r="10" spans="1:9" x14ac:dyDescent="0.25">
      <c r="A10" s="172" t="str">
        <f>HYPERLINK("[OpenSolver Tester.xlsm]Test1g!A1", "Test1g")</f>
        <v>Test1g</v>
      </c>
    </row>
    <row r="11" spans="1:9" x14ac:dyDescent="0.25">
      <c r="A11" s="172" t="str">
        <f>HYPERLINK("[OpenSolver Tester.xlsm]Test1h!A1", "Test1h")</f>
        <v>Test1h</v>
      </c>
    </row>
    <row r="12" spans="1:9" x14ac:dyDescent="0.25">
      <c r="A12" s="172" t="str">
        <f>HYPERLINK("[OpenSolver Tester.xlsm]Test1i!A1", "Test1i")</f>
        <v>Test1i</v>
      </c>
    </row>
    <row r="13" spans="1:9" x14ac:dyDescent="0.25">
      <c r="A13" s="172" t="str">
        <f>HYPERLINK("[OpenSolver Tester.xlsm]Test1j!A1", "Test1j")</f>
        <v>Test1j</v>
      </c>
    </row>
    <row r="14" spans="1:9" x14ac:dyDescent="0.25">
      <c r="A14" s="172" t="str">
        <f>HYPERLINK("[OpenSolver Tester.xlsm]Test1j2!A1", "Test1j2")</f>
        <v>Test1j2</v>
      </c>
    </row>
    <row r="15" spans="1:9" x14ac:dyDescent="0.25">
      <c r="A15" s="172" t="str">
        <f>HYPERLINK("[OpenSolver Tester.xlsm]Test1k!A1", "Test1k")</f>
        <v>Test1k</v>
      </c>
    </row>
    <row r="16" spans="1:9" x14ac:dyDescent="0.25">
      <c r="A16" s="172" t="str">
        <f>HYPERLINK("[OpenSolver Tester.xlsm]Test1l!A1", "Test1l")</f>
        <v>Test1l</v>
      </c>
    </row>
    <row r="17" spans="1:1" x14ac:dyDescent="0.25">
      <c r="A17" s="172" t="str">
        <f>HYPERLINK("[OpenSolver Tester.xlsm]Test1m!A1", "Test1m")</f>
        <v>Test1m</v>
      </c>
    </row>
    <row r="18" spans="1:1" x14ac:dyDescent="0.25">
      <c r="A18" s="172" t="str">
        <f>HYPERLINK("[OpenSolver Tester.xlsm]Test2!A1", "Test2")</f>
        <v>Test2</v>
      </c>
    </row>
    <row r="19" spans="1:1" x14ac:dyDescent="0.25">
      <c r="A19" s="172" t="str">
        <f>HYPERLINK("[OpenSolver Tester.xlsm]Test3!A1", "Test3")</f>
        <v>Test3</v>
      </c>
    </row>
    <row r="20" spans="1:1" x14ac:dyDescent="0.25">
      <c r="A20" s="172" t="str">
        <f>HYPERLINK("[OpenSolver Tester.xlsm]Test4!A1", "Test4")</f>
        <v>Test4</v>
      </c>
    </row>
    <row r="21" spans="1:1" x14ac:dyDescent="0.25">
      <c r="A21" s="172" t="str">
        <f>HYPERLINK("[OpenSolver Tester.xlsm]Test5!A1", "Test5")</f>
        <v>Test5</v>
      </c>
    </row>
    <row r="22" spans="1:1" x14ac:dyDescent="0.25">
      <c r="A22" s="172" t="str">
        <f>HYPERLINK("[OpenSolver Tester.xlsm]Test!6!A1", "Test!6")</f>
        <v>Test!6</v>
      </c>
    </row>
    <row r="23" spans="1:1" x14ac:dyDescent="0.25">
      <c r="A23" s="172" t="str">
        <f>HYPERLINK("[OpenSolver Tester.xlsm]Test7!A1", "Test7")</f>
        <v>Test7</v>
      </c>
    </row>
    <row r="24" spans="1:1" x14ac:dyDescent="0.25">
      <c r="A24" s="172" t="str">
        <f>HYPERLINK("[OpenSolver Tester.xlsm]Test8!A1", "Test8")</f>
        <v>Test8</v>
      </c>
    </row>
    <row r="25" spans="1:1" x14ac:dyDescent="0.25">
      <c r="A25" s="172" t="str">
        <f>HYPERLINK("[OpenSolver Tester.xlsm]Test8B!A1", "Test8B")</f>
        <v>Test8B</v>
      </c>
    </row>
    <row r="26" spans="1:1" x14ac:dyDescent="0.25">
      <c r="A26" s="172" t="str">
        <f>HYPERLINK("[OpenSolver Tester.xlsm]Test9A!A1", "Test9A")</f>
        <v>Test9A</v>
      </c>
    </row>
    <row r="27" spans="1:1" x14ac:dyDescent="0.25">
      <c r="A27" s="172" t="str">
        <f>HYPERLINK("[OpenSolver Tester.xlsm]Test9B!A1", "Test9B")</f>
        <v>Test9B</v>
      </c>
    </row>
    <row r="28" spans="1:1" x14ac:dyDescent="0.25">
      <c r="A28" s="172" t="str">
        <f>HYPERLINK("[OpenSolver Tester.xlsm]Test10!A1", "Test10")</f>
        <v>Test10</v>
      </c>
    </row>
    <row r="29" spans="1:1" x14ac:dyDescent="0.25">
      <c r="A29" s="172" t="str">
        <f>HYPERLINK("[OpenSolver Tester.xlsm]Test11!A1", "Test11")</f>
        <v>Test11</v>
      </c>
    </row>
    <row r="30" spans="1:1" x14ac:dyDescent="0.25">
      <c r="A30" s="172" t="str">
        <f>HYPERLINK("[OpenSolver Tester.xlsm]Test12!A1", "Test12")</f>
        <v>Test12</v>
      </c>
    </row>
    <row r="31" spans="1:1" x14ac:dyDescent="0.25">
      <c r="A31" s="172" t="str">
        <f>HYPERLINK("[OpenSolver Tester.xlsm]Test13!A1", "Test13")</f>
        <v>Test13</v>
      </c>
    </row>
    <row r="32" spans="1:1" x14ac:dyDescent="0.25">
      <c r="A32" s="172" t="str">
        <f>HYPERLINK("[OpenSolver Tester.xlsm]Test13b!A1", "Test13b")</f>
        <v>Test13b</v>
      </c>
    </row>
    <row r="33" spans="1:9" x14ac:dyDescent="0.25">
      <c r="A33" s="172" t="str">
        <f>HYPERLINK("[OpenSolver Tester.xlsm]Test14!A1", "Test14")</f>
        <v>Test14</v>
      </c>
    </row>
    <row r="34" spans="1:9" x14ac:dyDescent="0.25">
      <c r="A34" s="172" t="str">
        <f>HYPERLINK("[OpenSolver Tester.xlsm]Test15!A1", "Test15")</f>
        <v>Test15</v>
      </c>
    </row>
    <row r="35" spans="1:9" x14ac:dyDescent="0.25">
      <c r="A35" s="172" t="str">
        <f>HYPERLINK("[OpenSolver Tester.xlsm]Test15b!A1", "Test15b")</f>
        <v>Test15b</v>
      </c>
    </row>
    <row r="36" spans="1:9" x14ac:dyDescent="0.25">
      <c r="A36" s="172" t="str">
        <f>HYPERLINK("[OpenSolver Tester.xlsm]Test15c!A1", "Test15c")</f>
        <v>Test15c</v>
      </c>
    </row>
    <row r="37" spans="1:9" x14ac:dyDescent="0.25">
      <c r="A37" s="172" t="str">
        <f>HYPERLINK("[OpenSolver Tester.xlsm]Test15d!A1", "Test15d")</f>
        <v>Test15d</v>
      </c>
    </row>
    <row r="38" spans="1:9" x14ac:dyDescent="0.25">
      <c r="A38" s="172" t="str">
        <f>HYPERLINK("[OpenSolver Tester.xlsm]Test15e_Relax!A1", "Test15e_Relax")</f>
        <v>Test15e_Relax</v>
      </c>
      <c r="B38" s="60" t="s">
        <v>393</v>
      </c>
      <c r="C38" s="60" t="s">
        <v>393</v>
      </c>
      <c r="D38" s="60" t="s">
        <v>393</v>
      </c>
      <c r="E38" s="60" t="s">
        <v>395</v>
      </c>
      <c r="G38" s="60" t="s">
        <v>393</v>
      </c>
      <c r="I38" s="60" t="s">
        <v>395</v>
      </c>
    </row>
    <row r="39" spans="1:9" x14ac:dyDescent="0.25">
      <c r="A39" s="172" t="str">
        <f>HYPERLINK("[OpenSolver Tester.xlsm]Test16!A1", "Test16")</f>
        <v>Test16</v>
      </c>
    </row>
    <row r="40" spans="1:9" x14ac:dyDescent="0.25">
      <c r="A40" s="172" t="str">
        <f>HYPERLINK("[OpenSolver Tester.xlsm]Test16b!A1", "Test16b")</f>
        <v>Test16b</v>
      </c>
    </row>
    <row r="41" spans="1:9" x14ac:dyDescent="0.25">
      <c r="A41" s="172" t="str">
        <f>HYPERLINK("[OpenSolver Tester.xlsm]Test17!A1", "Test17")</f>
        <v>Test17</v>
      </c>
    </row>
    <row r="42" spans="1:9" x14ac:dyDescent="0.25">
      <c r="A42" s="172" t="str">
        <f>HYPERLINK("[OpenSolver Tester.xlsm]Test18!A1", "Test18")</f>
        <v>Test18</v>
      </c>
    </row>
    <row r="43" spans="1:9" x14ac:dyDescent="0.25">
      <c r="A43" s="172" t="str">
        <f>HYPERLINK("[OpenSolver Tester.xlsm]Test19!A1", "Test19")</f>
        <v>Test19</v>
      </c>
    </row>
    <row r="44" spans="1:9" x14ac:dyDescent="0.25">
      <c r="A44" s="172" t="str">
        <f>HYPERLINK("[OpenSolver Tester.xlsm]Test20!A1", "Test20")</f>
        <v>Test20</v>
      </c>
    </row>
    <row r="45" spans="1:9" x14ac:dyDescent="0.25">
      <c r="A45" s="172" t="str">
        <f>HYPERLINK("[OpenSolver Tester.xlsm]Test21!A1", "Test21")</f>
        <v>Test21</v>
      </c>
    </row>
    <row r="46" spans="1:9" x14ac:dyDescent="0.25">
      <c r="A46" s="172" t="str">
        <f>HYPERLINK("[OpenSolver Tester.xlsm]Test22!A1", "Test22")</f>
        <v>Test22</v>
      </c>
    </row>
    <row r="47" spans="1:9" x14ac:dyDescent="0.25">
      <c r="A47" s="172" t="str">
        <f>HYPERLINK("[OpenSolver Tester.xlsm]Test23!A1", "Test23")</f>
        <v>Test23</v>
      </c>
    </row>
    <row r="48" spans="1:9" x14ac:dyDescent="0.25">
      <c r="A48" s="172" t="str">
        <f>HYPERLINK("[OpenSolver Tester.xlsm]Test24_IterativeCalc!A1", "Test24_IterativeCalc")</f>
        <v>Test24_IterativeCalc</v>
      </c>
    </row>
    <row r="49" spans="1:1" x14ac:dyDescent="0.25">
      <c r="A49" s="172" t="str">
        <f>HYPERLINK("[OpenSolver Tester.xlsm]Test25!A1", "Test25")</f>
        <v>Test25</v>
      </c>
    </row>
    <row r="50" spans="1:1" x14ac:dyDescent="0.25">
      <c r="A50" s="172" t="str">
        <f>HYPERLINK("[OpenSolver Tester.xlsm]Test26!A1", "Test26")</f>
        <v>Test26</v>
      </c>
    </row>
    <row r="51" spans="1:1" x14ac:dyDescent="0.25">
      <c r="A51" s="172" t="str">
        <f>HYPERLINK("[OpenSolver Tester.xlsm]Test27_Parameters!A1", "Test27_Parameters")</f>
        <v>Test27_Parameters</v>
      </c>
    </row>
    <row r="52" spans="1:1" x14ac:dyDescent="0.25">
      <c r="A52" s="172" t="str">
        <f>HYPERLINK("[OpenSolver Tester.xlsm]Test28_CBCOptions!A1", "Test28_CBCOptions")</f>
        <v>Test28_CBCOptions</v>
      </c>
    </row>
    <row r="53" spans="1:1" x14ac:dyDescent="0.25">
      <c r="A53" s="172" t="str">
        <f>HYPERLINK("[OpenSolver Tester.xlsm]Test29!A1", "Test29")</f>
        <v>Test29</v>
      </c>
    </row>
    <row r="54" spans="1:1" x14ac:dyDescent="0.25">
      <c r="A54" s="172" t="str">
        <f>HYPERLINK("[OpenSolver Tester.xlsm]Test30!A1", "Test30")</f>
        <v>Test30</v>
      </c>
    </row>
    <row r="55" spans="1:1" x14ac:dyDescent="0.25">
      <c r="A55" s="172" t="str">
        <f>HYPERLINK("[OpenSolver Tester.xlsm]Test31!A1", "Test31")</f>
        <v>Test31</v>
      </c>
    </row>
    <row r="56" spans="1:1" x14ac:dyDescent="0.25">
      <c r="A56" s="172" t="str">
        <f>HYPERLINK("[OpenSolver Tester.xlsm]Test32!A1", "Test32")</f>
        <v>Test32</v>
      </c>
    </row>
    <row r="57" spans="1:1" x14ac:dyDescent="0.25">
      <c r="A57" s="172" t="str">
        <f>HYPERLINK("[OpenSolver Tester.xlsm]Test33!A1", "Test33")</f>
        <v>Test33</v>
      </c>
    </row>
    <row r="58" spans="1:1" x14ac:dyDescent="0.25">
      <c r="A58" s="172" t="str">
        <f>HYPERLINK("[OpenSolver Tester.xlsm]Test34!A1", "Test34")</f>
        <v>Test34</v>
      </c>
    </row>
    <row r="59" spans="1:1" x14ac:dyDescent="0.25">
      <c r="A59" s="172" t="str">
        <f>HYPERLINK("[OpenSolver Tester.xlsm]Test35!A1", "Test35")</f>
        <v>Test35</v>
      </c>
    </row>
    <row r="60" spans="1:1" x14ac:dyDescent="0.25">
      <c r="A60" s="172" t="str">
        <f>HYPERLINK("[OpenSolver Tester.xlsm]Test36!A1", "Test36")</f>
        <v>Test36</v>
      </c>
    </row>
    <row r="61" spans="1:1" x14ac:dyDescent="0.25">
      <c r="A61" s="172" t="str">
        <f>HYPERLINK("[OpenSolver Tester.xlsm]Test37!A1", "Test37")</f>
        <v>Test37</v>
      </c>
    </row>
    <row r="62" spans="1:1" x14ac:dyDescent="0.25">
      <c r="A62" s="172" t="str">
        <f>HYPERLINK("[OpenSolver Tester.xlsm]Test38!A1", "Test38")</f>
        <v>Test38</v>
      </c>
    </row>
    <row r="63" spans="1:1" x14ac:dyDescent="0.25">
      <c r="A63" s="172" t="str">
        <f>HYPERLINK("[OpenSolver Tester.xlsm]Test39_SensNames!A1", "Test39_SensNames")</f>
        <v>Test39_SensNames</v>
      </c>
    </row>
    <row r="64" spans="1:1" x14ac:dyDescent="0.25">
      <c r="A64" s="172" t="str">
        <f>HYPERLINK("[OpenSolver Tester.xlsm]Test39_SensNames2!A1", "Test39_SensNames2")</f>
        <v>Test39_SensNames2</v>
      </c>
    </row>
    <row r="65" spans="1:1" x14ac:dyDescent="0.25">
      <c r="A65" s="172" t="str">
        <f>HYPERLINK("[OpenSolver Tester.xlsm]Test40!A1", "Test40")</f>
        <v>Test40</v>
      </c>
    </row>
    <row r="66" spans="1:1" x14ac:dyDescent="0.25">
      <c r="A66" s="172" t="str">
        <f>HYPERLINK("[OpenSolver Tester.xlsm]Test41!A1", "Test41")</f>
        <v>Test41</v>
      </c>
    </row>
    <row r="67" spans="1:1" x14ac:dyDescent="0.25">
      <c r="A67" s="172" t="str">
        <f>HYPERLINK("[OpenSolver Tester.xlsm]Test42!A1", "Test42")</f>
        <v>Test42</v>
      </c>
    </row>
    <row r="68" spans="1:1" x14ac:dyDescent="0.25">
      <c r="A68" s="172" t="str">
        <f>HYPERLINK("[OpenSolver Tester.xlsm]Test43!A1", "Test43")</f>
        <v>Test43</v>
      </c>
    </row>
    <row r="69" spans="1:1" x14ac:dyDescent="0.25">
      <c r="A69" s="172" t="str">
        <f>HYPERLINK("[OpenSolver Tester.xlsm]Test44_Seek!A1", "Test44_Seek")</f>
        <v>Test44_Seek</v>
      </c>
    </row>
    <row r="70" spans="1:1" x14ac:dyDescent="0.25">
      <c r="A70" s="172" t="str">
        <f>HYPERLINK("[OpenSolver Tester.xlsm]Test45_SheetName(1)+2-1!A1", "Test45_SheetName(1)+2-1")</f>
        <v>Test45_SheetName(1)+2-1</v>
      </c>
    </row>
    <row r="71" spans="1:1" x14ac:dyDescent="0.25">
      <c r="A71" s="172" t="str">
        <f>HYPERLINK("[OpenSolver Tester.xlsm]Test46_NonLinBinary!A1", "Test46_NonLinBinary")</f>
        <v>Test46_NonLinBinary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81">
        <v>5.2941175999999999</v>
      </c>
      <c r="F5" s="181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81">
        <v>5.2941176526297902</v>
      </c>
      <c r="F5" s="181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81">
        <v>2</v>
      </c>
      <c r="D5" s="181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81">
        <v>150</v>
      </c>
      <c r="K10" s="18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1">
        <f>SUMPRODUCT($D$5:$F$5,D10:F10)</f>
        <v>116.47058835785538</v>
      </c>
      <c r="H10" s="181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2">
        <v>5</v>
      </c>
      <c r="H10" s="18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2"/>
      <c r="H11" s="18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53" t="s">
        <v>1</v>
      </c>
      <c r="J1" s="154" t="s">
        <v>2</v>
      </c>
      <c r="K1" s="154" t="s">
        <v>3</v>
      </c>
      <c r="L1" s="155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N11" sqref="N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-1.9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-9.5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-1.9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9" customWidth="1"/>
    <col min="5" max="5" width="7.28515625" style="179" customWidth="1"/>
    <col min="6" max="6" width="5.140625" style="179" customWidth="1"/>
    <col min="7" max="7" width="3.140625" style="179" customWidth="1"/>
    <col min="8" max="8" width="8.42578125" style="179" customWidth="1"/>
    <col min="9" max="9" width="3" style="179" bestFit="1" customWidth="1"/>
    <col min="10" max="10" width="6" style="179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9" t="s">
        <v>1</v>
      </c>
      <c r="E4" s="179" t="s">
        <v>2</v>
      </c>
      <c r="F4" s="179" t="s">
        <v>3</v>
      </c>
    </row>
    <row r="5" spans="1:10" x14ac:dyDescent="0.25">
      <c r="A5" s="63" t="s">
        <v>210</v>
      </c>
      <c r="D5" s="150">
        <v>-1.9000000189950099</v>
      </c>
      <c r="E5" s="179">
        <v>-1</v>
      </c>
      <c r="F5" s="179">
        <v>0</v>
      </c>
      <c r="H5"/>
      <c r="I5"/>
      <c r="J5"/>
    </row>
    <row r="6" spans="1:10" ht="15.75" thickBot="1" x14ac:dyDescent="0.3">
      <c r="A6" s="64" t="b">
        <f>AND(D19,E19,F19,D23)</f>
        <v>0</v>
      </c>
      <c r="D6" s="179" t="s">
        <v>9</v>
      </c>
      <c r="E6" s="179" t="s">
        <v>9</v>
      </c>
      <c r="F6" s="179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9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179">
        <v>2</v>
      </c>
      <c r="E9" s="179">
        <v>3</v>
      </c>
      <c r="F9" s="179">
        <v>4</v>
      </c>
      <c r="H9" s="179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179">
        <v>1</v>
      </c>
      <c r="H11" s="179">
        <f>SUMPRODUCT($D$5:$F$5,D11:F11)+5*P10</f>
        <v>-1.9000000189950099</v>
      </c>
      <c r="I11" s="179" t="s">
        <v>9</v>
      </c>
      <c r="J11" s="179">
        <v>-50</v>
      </c>
    </row>
    <row r="12" spans="1:10" x14ac:dyDescent="0.25">
      <c r="E12" s="179">
        <v>1</v>
      </c>
      <c r="H12" s="179">
        <f>SUMPRODUCT($D$5:$F$5,D12:F12)</f>
        <v>-1</v>
      </c>
      <c r="I12" s="179" t="s">
        <v>9</v>
      </c>
      <c r="J12" s="179">
        <v>-50</v>
      </c>
    </row>
    <row r="13" spans="1:10" x14ac:dyDescent="0.25">
      <c r="F13" s="179">
        <v>1</v>
      </c>
      <c r="H13" s="179">
        <f>SUMPRODUCT($D$5:$F$5,D13:F13)</f>
        <v>0</v>
      </c>
      <c r="I13" s="179" t="s">
        <v>9</v>
      </c>
      <c r="J13" s="179">
        <v>-50</v>
      </c>
    </row>
    <row r="17" spans="1:6" x14ac:dyDescent="0.25">
      <c r="C17" s="56" t="s">
        <v>15</v>
      </c>
    </row>
    <row r="18" spans="1:6" s="179" customFormat="1" x14ac:dyDescent="0.25">
      <c r="A18" s="61"/>
      <c r="C18" s="16"/>
      <c r="D18" s="179">
        <v>-1.9</v>
      </c>
      <c r="E18" s="179">
        <v>-1.9</v>
      </c>
      <c r="F18" s="179">
        <v>0</v>
      </c>
    </row>
    <row r="19" spans="1:6" s="179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179" customFormat="1" x14ac:dyDescent="0.25">
      <c r="A21" s="61"/>
      <c r="C21" s="56" t="s">
        <v>16</v>
      </c>
    </row>
    <row r="22" spans="1:6" s="179" customFormat="1" x14ac:dyDescent="0.25">
      <c r="A22" s="61"/>
      <c r="C22" s="16"/>
      <c r="D22" s="179">
        <v>-9.5</v>
      </c>
    </row>
    <row r="23" spans="1:6" s="179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351599</v>
      </c>
      <c r="N9" s="58">
        <f ca="1">M9+1</f>
        <v>351600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0.166344261963907</v>
      </c>
      <c r="E5" s="59">
        <v>5.2243727263413797</v>
      </c>
      <c r="F5" s="59">
        <v>2.4662927278789298E-2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59.427497736739717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118.99667680816454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117.86218215334024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434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365</v>
      </c>
      <c r="C9" s="111" t="s">
        <v>366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371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27.520723440079699</v>
      </c>
      <c r="E5">
        <v>0.72672508931479596</v>
      </c>
    </row>
    <row r="6" spans="1:15" ht="15.75" thickBot="1" x14ac:dyDescent="0.3">
      <c r="A6" s="64" t="b">
        <f>AND(F22)</f>
        <v>1</v>
      </c>
      <c r="F6">
        <f>D5^2*E5^2</f>
        <v>400.00000799998878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20.000000199999718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28.247448529394497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27.520723440079699</v>
      </c>
      <c r="G10" t="s">
        <v>9</v>
      </c>
      <c r="H10">
        <v>0</v>
      </c>
    </row>
    <row r="11" spans="1:15" x14ac:dyDescent="0.25">
      <c r="F11">
        <f>E5</f>
        <v>0.72672508931479596</v>
      </c>
      <c r="H11">
        <v>0</v>
      </c>
    </row>
    <row r="12" spans="1:15" x14ac:dyDescent="0.25">
      <c r="F12">
        <f>E5*D5+E5+D5</f>
        <v>48.247448729394215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48.247448729394215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48.247448729394215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-8.2474483293947785</v>
      </c>
      <c r="G15" t="s">
        <v>8</v>
      </c>
      <c r="H15">
        <v>0</v>
      </c>
      <c r="O15" s="83"/>
    </row>
    <row r="16" spans="1:15" x14ac:dyDescent="0.25">
      <c r="F16">
        <f>E5-D5*E5+D5</f>
        <v>8.2474483293947785</v>
      </c>
      <c r="G16" t="s">
        <v>8</v>
      </c>
      <c r="H16">
        <v>60</v>
      </c>
      <c r="O16" s="83"/>
    </row>
    <row r="17" spans="6:15" x14ac:dyDescent="0.25">
      <c r="F17">
        <f>E5-D5+E5*D5</f>
        <v>-6.7939981507651837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6" sqref="G6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5</v>
      </c>
      <c r="E4">
        <v>0</v>
      </c>
      <c r="F4">
        <v>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55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25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3.4489782952638501</v>
      </c>
      <c r="E5">
        <v>3.4489782952638501</v>
      </c>
      <c r="F5">
        <v>3.4489782952638701</v>
      </c>
      <c r="G5">
        <v>3.4489782952638501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-1.0021237306165887E-2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-55.173631486915525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-41.3777183058601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0.94240514092658101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281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435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433</v>
      </c>
      <c r="C22" s="111" t="s">
        <v>432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399</v>
      </c>
      <c r="C26" s="75" t="s">
        <v>400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401</v>
      </c>
      <c r="C27" s="75" t="s">
        <v>402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403</v>
      </c>
      <c r="C28" s="75" t="s">
        <v>404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405</v>
      </c>
      <c r="C29" s="75" t="s">
        <v>406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407</v>
      </c>
      <c r="C30" s="75" t="s">
        <v>408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409</v>
      </c>
      <c r="C31" s="75" t="s">
        <v>410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411</v>
      </c>
      <c r="C32" s="75" t="s">
        <v>412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ht="15.75" thickBot="1" x14ac:dyDescent="0.3">
      <c r="B33" s="110" t="s">
        <v>413</v>
      </c>
      <c r="C33" s="111" t="s">
        <v>414</v>
      </c>
      <c r="D33" s="111">
        <v>150</v>
      </c>
      <c r="E33" s="111">
        <v>35</v>
      </c>
      <c r="F33" s="111">
        <v>150</v>
      </c>
      <c r="G33" s="111">
        <v>0</v>
      </c>
      <c r="H33" s="113">
        <v>100</v>
      </c>
    </row>
    <row r="34" spans="2:8" x14ac:dyDescent="0.25">
      <c r="B34" s="177"/>
      <c r="C34" s="177"/>
      <c r="D34" s="177"/>
      <c r="E34" s="177"/>
      <c r="F34" s="177"/>
      <c r="G34" s="177"/>
      <c r="H34" s="177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8">
        <v>100.00000002</v>
      </c>
      <c r="E14" s="178">
        <v>99.999993509999996</v>
      </c>
      <c r="F14" s="178">
        <v>0</v>
      </c>
      <c r="G14" s="178">
        <v>0</v>
      </c>
      <c r="H14" s="178">
        <v>0</v>
      </c>
      <c r="I14">
        <f>SUM(D14:H14)</f>
        <v>199.99999352999998</v>
      </c>
      <c r="J14">
        <v>200</v>
      </c>
    </row>
    <row r="15" spans="1:10" x14ac:dyDescent="0.25">
      <c r="C15" t="s">
        <v>263</v>
      </c>
      <c r="D15" s="178">
        <v>0</v>
      </c>
      <c r="E15" s="178">
        <v>2.9800023924308899E-6</v>
      </c>
      <c r="F15" s="178">
        <v>200.000000019997</v>
      </c>
      <c r="G15" s="178">
        <v>100.000000019997</v>
      </c>
      <c r="H15" s="178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 s="178">
        <v>0</v>
      </c>
      <c r="E16" s="178">
        <v>200.00000350999801</v>
      </c>
      <c r="F16" s="178">
        <v>0</v>
      </c>
      <c r="G16" s="178">
        <v>0</v>
      </c>
      <c r="H16" s="178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13249.999901199892</v>
      </c>
      <c r="J20" t="s">
        <v>432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416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436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433</v>
      </c>
      <c r="C22" s="111" t="s">
        <v>432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399</v>
      </c>
      <c r="C26" s="75" t="s">
        <v>400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401</v>
      </c>
      <c r="C27" s="75" t="s">
        <v>402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403</v>
      </c>
      <c r="C28" s="75" t="s">
        <v>404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405</v>
      </c>
      <c r="C29" s="75" t="s">
        <v>406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407</v>
      </c>
      <c r="C30" s="75" t="s">
        <v>408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409</v>
      </c>
      <c r="C31" s="75" t="s">
        <v>410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411</v>
      </c>
      <c r="C32" s="75" t="s">
        <v>412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x14ac:dyDescent="0.25">
      <c r="B33" s="106" t="s">
        <v>413</v>
      </c>
      <c r="C33" s="75" t="s">
        <v>414</v>
      </c>
      <c r="D33" s="75">
        <v>150</v>
      </c>
      <c r="E33" s="75">
        <v>35</v>
      </c>
      <c r="F33" s="75">
        <v>150</v>
      </c>
      <c r="G33" s="75">
        <v>0</v>
      </c>
      <c r="H33" s="108">
        <v>100</v>
      </c>
    </row>
    <row r="34" spans="2:8" x14ac:dyDescent="0.25">
      <c r="B34" s="106" t="s">
        <v>417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418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419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8">
        <v>0</v>
      </c>
    </row>
    <row r="37" spans="2:8" x14ac:dyDescent="0.25">
      <c r="B37" s="106" t="s">
        <v>420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8">
        <v>0</v>
      </c>
    </row>
    <row r="38" spans="2:8" x14ac:dyDescent="0.25">
      <c r="B38" s="106" t="s">
        <v>421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8">
        <v>200</v>
      </c>
    </row>
    <row r="39" spans="2:8" x14ac:dyDescent="0.25">
      <c r="B39" s="106" t="s">
        <v>422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8">
        <v>100</v>
      </c>
    </row>
    <row r="40" spans="2:8" x14ac:dyDescent="0.25">
      <c r="B40" s="106" t="s">
        <v>423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424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425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426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8">
        <v>200</v>
      </c>
    </row>
    <row r="44" spans="2:8" x14ac:dyDescent="0.25">
      <c r="B44" s="106" t="s">
        <v>427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8">
        <v>100</v>
      </c>
    </row>
    <row r="45" spans="2:8" x14ac:dyDescent="0.25">
      <c r="B45" s="106" t="s">
        <v>428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429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8">
        <v>0</v>
      </c>
    </row>
    <row r="47" spans="2:8" x14ac:dyDescent="0.25">
      <c r="B47" s="106" t="s">
        <v>430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8">
        <v>0</v>
      </c>
    </row>
    <row r="48" spans="2:8" ht="15.75" thickBot="1" x14ac:dyDescent="0.3">
      <c r="B48" s="110" t="s">
        <v>431</v>
      </c>
      <c r="C48" s="111" t="s">
        <v>296</v>
      </c>
      <c r="D48" s="111">
        <v>150</v>
      </c>
      <c r="E48" s="111">
        <v>0</v>
      </c>
      <c r="F48" s="111">
        <v>0</v>
      </c>
      <c r="G48" s="111">
        <v>150</v>
      </c>
      <c r="H48" s="112">
        <v>1E+100</v>
      </c>
    </row>
    <row r="49" spans="2:8" x14ac:dyDescent="0.25">
      <c r="B49" s="177"/>
      <c r="C49" s="177"/>
      <c r="D49" s="177"/>
      <c r="E49" s="177"/>
      <c r="F49" s="177"/>
      <c r="G49" s="177"/>
      <c r="H49" s="177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415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99.999993509999996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199.99999350000203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2.9800023621874998E-6</v>
      </c>
      <c r="F15">
        <v>200.000000019997</v>
      </c>
      <c r="G15" s="81">
        <v>100.000000019997</v>
      </c>
      <c r="H15" s="81">
        <v>-9.9979999966647098E-9</v>
      </c>
      <c r="I15">
        <f>SUM(D15:H15)</f>
        <v>300.00000299999863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300.00000000000034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13249.999898450109</v>
      </c>
      <c r="J20" t="s">
        <v>432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305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306</v>
      </c>
      <c r="D4" s="122">
        <v>5</v>
      </c>
      <c r="E4" s="123"/>
    </row>
    <row r="5" spans="1:5" x14ac:dyDescent="0.25">
      <c r="A5" s="63" t="s">
        <v>210</v>
      </c>
      <c r="C5" s="121" t="s">
        <v>307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308</v>
      </c>
      <c r="D6" s="124">
        <v>20</v>
      </c>
      <c r="E6" s="123"/>
    </row>
    <row r="7" spans="1:5" x14ac:dyDescent="0.25">
      <c r="A7" s="63" t="s">
        <v>211</v>
      </c>
      <c r="C7" s="121" t="s">
        <v>309</v>
      </c>
      <c r="D7" s="122">
        <v>0.1</v>
      </c>
      <c r="E7" s="123"/>
    </row>
    <row r="8" spans="1:5" x14ac:dyDescent="0.25">
      <c r="A8" s="65" t="s">
        <v>201</v>
      </c>
      <c r="C8" s="121" t="s">
        <v>310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311</v>
      </c>
      <c r="D11" s="125">
        <v>135.09256086288099</v>
      </c>
      <c r="E11" s="123"/>
    </row>
    <row r="12" spans="1:5" x14ac:dyDescent="0.25">
      <c r="C12" s="121" t="s">
        <v>312</v>
      </c>
      <c r="D12" s="122">
        <f>D11/D4</f>
        <v>27.018512172576198</v>
      </c>
      <c r="E12" s="123"/>
    </row>
    <row r="13" spans="1:5" x14ac:dyDescent="0.25">
      <c r="C13" s="121" t="s">
        <v>313</v>
      </c>
      <c r="D13" s="124">
        <f>D8*D11/2</f>
        <v>0.37011660510378352</v>
      </c>
      <c r="E13" s="123"/>
    </row>
    <row r="14" spans="1:5" x14ac:dyDescent="0.25">
      <c r="C14" s="121" t="s">
        <v>314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315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348</v>
      </c>
      <c r="B1" s="87"/>
      <c r="C1" s="122"/>
      <c r="D1" s="122" t="s">
        <v>319</v>
      </c>
      <c r="E1" s="122" t="s">
        <v>320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321</v>
      </c>
      <c r="K1" s="131"/>
      <c r="N1" s="132" t="s">
        <v>322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323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324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327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325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326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328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327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3</v>
      </c>
      <c r="P12" s="90">
        <f>$I$2</f>
        <v>4</v>
      </c>
    </row>
    <row r="14" spans="1:16" x14ac:dyDescent="0.25">
      <c r="N14" s="90" t="s">
        <v>327</v>
      </c>
      <c r="O14" s="90">
        <f>$F$2</f>
        <v>1</v>
      </c>
      <c r="P14" s="90">
        <f>$G$2</f>
        <v>2</v>
      </c>
    </row>
    <row r="15" spans="1:16" x14ac:dyDescent="0.25">
      <c r="N15" s="90" t="s">
        <v>329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348</v>
      </c>
      <c r="C1" s="183" t="s">
        <v>331</v>
      </c>
      <c r="D1" s="183"/>
      <c r="E1" s="183"/>
    </row>
    <row r="2" spans="1:9" ht="16.5" thickBot="1" x14ac:dyDescent="0.35">
      <c r="A2" s="64" t="s">
        <v>205</v>
      </c>
      <c r="C2" s="142" t="s">
        <v>332</v>
      </c>
      <c r="D2" s="141">
        <v>3</v>
      </c>
      <c r="H2" s="141" t="s">
        <v>333</v>
      </c>
    </row>
    <row r="3" spans="1:9" ht="15.75" x14ac:dyDescent="0.3">
      <c r="A3" s="63" t="s">
        <v>209</v>
      </c>
      <c r="C3" s="142" t="s">
        <v>334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335</v>
      </c>
      <c r="D4" s="141">
        <v>7</v>
      </c>
      <c r="H4" s="141">
        <f>COS(RADIANS(D7))*D2</f>
        <v>2.3571428571397148</v>
      </c>
      <c r="I4" s="141">
        <f>SIN(RADIANS(D7))*D2</f>
        <v>1.8557687223992168</v>
      </c>
    </row>
    <row r="5" spans="1:9" x14ac:dyDescent="0.25">
      <c r="A5" s="63" t="s">
        <v>210</v>
      </c>
      <c r="H5" s="141">
        <f>H4+COS(RADIANS(D8))*D3</f>
        <v>6.9999999999971134</v>
      </c>
      <c r="I5" s="141">
        <f>I4+SIN(RADIANS(D8))*D3</f>
        <v>4.6322945479460031E-12</v>
      </c>
    </row>
    <row r="6" spans="1:9" ht="15.75" thickBot="1" x14ac:dyDescent="0.3">
      <c r="A6" s="64" t="b">
        <f>AND(F16)</f>
        <v>1</v>
      </c>
      <c r="C6" s="183" t="s">
        <v>228</v>
      </c>
      <c r="D6" s="183"/>
      <c r="E6" s="183"/>
    </row>
    <row r="7" spans="1:9" x14ac:dyDescent="0.25">
      <c r="A7" s="63" t="s">
        <v>211</v>
      </c>
      <c r="C7" s="143" t="s">
        <v>336</v>
      </c>
      <c r="D7" s="144">
        <v>38.213210701835202</v>
      </c>
      <c r="E7" s="141" t="s">
        <v>337</v>
      </c>
    </row>
    <row r="8" spans="1:9" x14ac:dyDescent="0.25">
      <c r="A8" s="65" t="s">
        <v>201</v>
      </c>
      <c r="C8" s="143" t="s">
        <v>338</v>
      </c>
      <c r="D8" s="144">
        <v>-21.7867892982539</v>
      </c>
      <c r="E8" s="141" t="s">
        <v>337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3" t="s">
        <v>339</v>
      </c>
      <c r="D10" s="183"/>
      <c r="E10" s="183"/>
    </row>
    <row r="11" spans="1:9" x14ac:dyDescent="0.25">
      <c r="C11" s="145" t="s">
        <v>340</v>
      </c>
      <c r="D11" s="145" t="s">
        <v>341</v>
      </c>
      <c r="E11" s="146" t="s">
        <v>342</v>
      </c>
      <c r="F11" s="146" t="s">
        <v>343</v>
      </c>
    </row>
    <row r="12" spans="1:9" x14ac:dyDescent="0.25">
      <c r="C12" s="146">
        <f>D2*COS(RADIANS(D7))+D3*COS(RADIANS(D8))</f>
        <v>6.9999999999971134</v>
      </c>
      <c r="D12" s="146">
        <f>D4</f>
        <v>7</v>
      </c>
      <c r="E12" s="146">
        <f>D12-C12</f>
        <v>2.886579864025407E-12</v>
      </c>
      <c r="F12" s="146">
        <f>E12^2</f>
        <v>8.3323433113969372E-24</v>
      </c>
    </row>
    <row r="13" spans="1:9" x14ac:dyDescent="0.25">
      <c r="C13" s="146">
        <f>D2*SIN(RADIANS(D7))+D3*SIN(RADIANS(D8))</f>
        <v>4.6322945479460031E-12</v>
      </c>
      <c r="D13" s="146">
        <v>0</v>
      </c>
      <c r="E13" s="146">
        <f>C13-D13</f>
        <v>4.6322945479460031E-12</v>
      </c>
      <c r="F13" s="146">
        <f>E13^2</f>
        <v>2.1458152778930266E-23</v>
      </c>
    </row>
    <row r="15" spans="1:9" x14ac:dyDescent="0.25">
      <c r="C15" s="183" t="s">
        <v>344</v>
      </c>
      <c r="D15" s="183"/>
      <c r="E15" s="183"/>
      <c r="F15" s="147">
        <f>SUM(F12:F13)</f>
        <v>2.9790496090327203E-23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345</v>
      </c>
      <c r="D27" s="144">
        <v>-30</v>
      </c>
    </row>
    <row r="28" spans="3:4" x14ac:dyDescent="0.25">
      <c r="C28" s="141" t="s">
        <v>346</v>
      </c>
      <c r="D28" s="144">
        <v>50</v>
      </c>
    </row>
    <row r="30" spans="3:4" x14ac:dyDescent="0.25">
      <c r="C30" s="141" t="s">
        <v>347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387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384</v>
      </c>
      <c r="C7" s="75" t="s">
        <v>388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386</v>
      </c>
      <c r="C9" s="111" t="s">
        <v>390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381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379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394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4" t="s">
        <v>157</v>
      </c>
      <c r="C33" s="18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165</vt:i4>
      </vt:variant>
    </vt:vector>
  </HeadingPairs>
  <TitlesOfParts>
    <vt:vector size="243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2015-02-20T15:33:04Z</dcterms:modified>
</cp:coreProperties>
</file>