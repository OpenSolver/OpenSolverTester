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5e_Relax" sheetId="98" r:id="rId38"/>
    <sheet name="Test16" sheetId="46" r:id="rId39"/>
    <sheet name="Test16b" sheetId="47" r:id="rId40"/>
    <sheet name="Test17" sheetId="48" r:id="rId41"/>
    <sheet name="Test18" sheetId="49" r:id="rId42"/>
    <sheet name="Test19" sheetId="50" r:id="rId43"/>
    <sheet name="Test20" sheetId="51" r:id="rId44"/>
    <sheet name="Test21" sheetId="52" r:id="rId45"/>
    <sheet name="Test22" sheetId="53" r:id="rId46"/>
    <sheet name="Test23" sheetId="54" r:id="rId47"/>
    <sheet name="Test24_IterativeCalc" sheetId="57" r:id="rId48"/>
    <sheet name="Test25" sheetId="58" r:id="rId49"/>
    <sheet name="Test26" sheetId="59" r:id="rId50"/>
    <sheet name="Test27_Parameters" sheetId="4" r:id="rId51"/>
    <sheet name="Test28_CBCOptions" sheetId="2" r:id="rId52"/>
    <sheet name="Test29" sheetId="62" r:id="rId53"/>
    <sheet name="Test30" sheetId="63" r:id="rId54"/>
    <sheet name="Test31 Sensitivity" sheetId="73" r:id="rId55"/>
    <sheet name="Test31" sheetId="65" r:id="rId56"/>
    <sheet name="Test32" sheetId="66" r:id="rId57"/>
    <sheet name="Test33" sheetId="67" r:id="rId58"/>
    <sheet name="Test34" sheetId="68" r:id="rId59"/>
    <sheet name="Test35" sheetId="69" r:id="rId60"/>
    <sheet name="Test36" sheetId="70" r:id="rId61"/>
    <sheet name="Test37" sheetId="71" r:id="rId62"/>
    <sheet name="Test38" sheetId="75" r:id="rId63"/>
    <sheet name="Test38_(Data)" sheetId="76" r:id="rId64"/>
    <sheet name="Test39_SensNames Sensitivity" sheetId="84" r:id="rId65"/>
    <sheet name="Test39_SensNames" sheetId="77" r:id="rId66"/>
    <sheet name="Test39_SensNames2 Sensitivity" sheetId="97" r:id="rId67"/>
    <sheet name="Test39_SensNames2" sheetId="96" r:id="rId68"/>
    <sheet name="Test40" sheetId="85" r:id="rId69"/>
    <sheet name="Test41" sheetId="87" r:id="rId70"/>
    <sheet name="Test42" sheetId="88" r:id="rId71"/>
    <sheet name="Test43" sheetId="90" r:id="rId72"/>
    <sheet name="Test44_Seek Sensitivity" sheetId="93" r:id="rId73"/>
    <sheet name="Test44_Seek" sheetId="92" r:id="rId74"/>
    <sheet name="Test45_SheetName(1)+2-1" sheetId="94" r:id="rId75"/>
    <sheet name="Test46_NonLinBinary" sheetId="95" r:id="rId76"/>
    <sheet name="HighlightingExample" sheetId="5" r:id="rId77"/>
    <sheet name="TestNewAutomodel" sheetId="40" r:id="rId78"/>
  </sheets>
  <functionGroups builtInGroupCount="18"/>
  <externalReferences>
    <externalReference r:id="rId79"/>
  </externalReferences>
  <definedNames>
    <definedName name="anscount" hidden="1">1</definedName>
    <definedName name="asdsad" localSheetId="37">#REF!</definedName>
    <definedName name="asdsad" localSheetId="67">#REF!</definedName>
    <definedName name="asdsad">#REF!</definedName>
    <definedName name="b">[1]InventoryStep!$B$4</definedName>
    <definedName name="CBCDualsNewSheet" hidden="1">FALSE</definedName>
    <definedName name="dffd" localSheetId="37">#REF!</definedName>
    <definedName name="dffd" localSheetId="67">#REF!</definedName>
    <definedName name="dffd" localSheetId="73">#REF!</definedName>
    <definedName name="dffd" localSheetId="74">#REF!</definedName>
    <definedName name="dffd">#REF!</definedName>
    <definedName name="DualsNewSheet" localSheetId="52" hidden="1">FALSE</definedName>
    <definedName name="DualsNewSheet" localSheetId="57" hidden="1">TRUE</definedName>
    <definedName name="DualsNewSheet" hidden="1">FALSE</definedName>
    <definedName name="feasibilitySolve" localSheetId="37" hidden="1">CBC (default)</definedName>
    <definedName name="feasibilitySolve" localSheetId="57" hidden="1">CBC (default)</definedName>
    <definedName name="feasibilitySolve" localSheetId="67" hidden="1">CBC (default)</definedName>
    <definedName name="feasibilitySolve" localSheetId="73" hidden="1">CBC (default)</definedName>
    <definedName name="feasibilitySolve" localSheetId="74" hidden="1">CBC (default)</definedName>
    <definedName name="feasibilitySolve" localSheetId="75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37">#REF!</definedName>
    <definedName name="Hey" localSheetId="67">#REF!</definedName>
    <definedName name="Hey" localSheetId="73">#REF!</definedName>
    <definedName name="Hey" localSheetId="74">#REF!</definedName>
    <definedName name="Hey" localSheetId="75">#REF!</definedName>
    <definedName name="Hey">#REF!</definedName>
    <definedName name="hhh">Test31!$G$8</definedName>
    <definedName name="hhtgfh">Test32!$K$8</definedName>
    <definedName name="hi" localSheetId="53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37">#REF!</definedName>
    <definedName name="junk" localSheetId="67">#REF!</definedName>
    <definedName name="junk">#REF!</definedName>
    <definedName name="K">[1]InventoryStep!$B$5</definedName>
    <definedName name="lll">Test31!$I$9</definedName>
    <definedName name="MaximumCost" localSheetId="37">#REF!</definedName>
    <definedName name="MaximumCost" localSheetId="67">#REF!</definedName>
    <definedName name="MaximumCost" localSheetId="73">#REF!</definedName>
    <definedName name="MaximumCost" localSheetId="74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CBC</definedName>
    <definedName name="OpenSolver_ChosenSolver" localSheetId="2" hidden="1">NeosCou</definedName>
    <definedName name="OpenSolver_ChosenSolver" localSheetId="27" hidden="1">NeosCou</definedName>
    <definedName name="OpenSolver_ChosenSolver" localSheetId="28" hidden="1">NeosCou</definedName>
    <definedName name="OpenSolver_ChosenSolver" localSheetId="29" hidden="1">NeosCou</definedName>
    <definedName name="OpenSolver_ChosenSolver" localSheetId="30" hidden="1">NeosCou</definedName>
    <definedName name="OpenSolver_ChosenSolver" localSheetId="31" hidden="1">NeosCou</definedName>
    <definedName name="OpenSolver_ChosenSolver" localSheetId="32" hidden="1">NeosCou</definedName>
    <definedName name="OpenSolver_ChosenSolver" localSheetId="33" hidden="1">NeosCou</definedName>
    <definedName name="OpenSolver_ChosenSolver" localSheetId="34" hidden="1">NeosCou</definedName>
    <definedName name="OpenSolver_ChosenSolver" localSheetId="35" hidden="1">NOMAD</definedName>
    <definedName name="OpenSolver_ChosenSolver" localSheetId="36" hidden="1">NOMAD</definedName>
    <definedName name="OpenSolver_ChosenSolver" localSheetId="37" hidden="1">NeosCou</definedName>
    <definedName name="OpenSolver_ChosenSolver" localSheetId="38" hidden="1">NeosCou</definedName>
    <definedName name="OpenSolver_ChosenSolver" localSheetId="39" hidden="1">NeosCou</definedName>
    <definedName name="OpenSolver_ChosenSolver" localSheetId="40" hidden="1">NeosCou</definedName>
    <definedName name="OpenSolver_ChosenSolver" localSheetId="41" hidden="1">NeosCou</definedName>
    <definedName name="OpenSolver_ChosenSolver" localSheetId="42" hidden="1">NeosCou</definedName>
    <definedName name="OpenSolver_ChosenSolver" localSheetId="3" hidden="1">NeosCou</definedName>
    <definedName name="OpenSolver_ChosenSolver" localSheetId="4" hidden="1">NeosCou</definedName>
    <definedName name="OpenSolver_ChosenSolver" localSheetId="5" hidden="1">NeosCou</definedName>
    <definedName name="OpenSolver_ChosenSolver" localSheetId="6" hidden="1">NeosCou</definedName>
    <definedName name="OpenSolver_ChosenSolver" localSheetId="7" hidden="1">NeosCou</definedName>
    <definedName name="OpenSolver_ChosenSolver" localSheetId="8" hidden="1">NeosCou</definedName>
    <definedName name="OpenSolver_ChosenSolver" localSheetId="9" hidden="1">NeosCou</definedName>
    <definedName name="OpenSolver_ChosenSolver" localSheetId="10" hidden="1">NeosCou</definedName>
    <definedName name="OpenSolver_ChosenSolver" localSheetId="11" hidden="1">NeosCou</definedName>
    <definedName name="OpenSolver_ChosenSolver" localSheetId="12" hidden="1">NeosCou</definedName>
    <definedName name="OpenSolver_ChosenSolver" localSheetId="13" hidden="1">NeosCou</definedName>
    <definedName name="OpenSolver_ChosenSolver" localSheetId="14" hidden="1">NeosCou</definedName>
    <definedName name="OpenSolver_ChosenSolver" localSheetId="15" hidden="1">NeosCou</definedName>
    <definedName name="OpenSolver_ChosenSolver" localSheetId="16" hidden="1">NeosCou</definedName>
    <definedName name="OpenSolver_ChosenSolver" localSheetId="17" hidden="1">NeosCou</definedName>
    <definedName name="OpenSolver_ChosenSolver" localSheetId="43" hidden="1">NeosCou</definedName>
    <definedName name="OpenSolver_ChosenSolver" localSheetId="44" hidden="1">NeosCou</definedName>
    <definedName name="OpenSolver_ChosenSolver" localSheetId="45" hidden="1">NeosCou</definedName>
    <definedName name="OpenSolver_ChosenSolver" localSheetId="46" hidden="1">NeosCou</definedName>
    <definedName name="OpenSolver_ChosenSolver" localSheetId="47" hidden="1">NeosCou</definedName>
    <definedName name="OpenSolver_ChosenSolver" localSheetId="48" hidden="1">NeosCou</definedName>
    <definedName name="OpenSolver_ChosenSolver" localSheetId="49" hidden="1">NeosCou</definedName>
    <definedName name="OpenSolver_ChosenSolver" localSheetId="50" hidden="1">NeosCou</definedName>
    <definedName name="OpenSolver_ChosenSolver" localSheetId="51" hidden="1">NOMAD</definedName>
    <definedName name="OpenSolver_ChosenSolver" localSheetId="52" hidden="1">NeosCou</definedName>
    <definedName name="OpenSolver_ChosenSolver" localSheetId="18" hidden="1">NeosCou</definedName>
    <definedName name="OpenSolver_ChosenSolver" localSheetId="53" hidden="1">NeosCou</definedName>
    <definedName name="OpenSolver_ChosenSolver" localSheetId="55" hidden="1">NeosCou</definedName>
    <definedName name="OpenSolver_ChosenSolver" localSheetId="54" hidden="1">CBC</definedName>
    <definedName name="OpenSolver_ChosenSolver" localSheetId="56" hidden="1">NeosCou</definedName>
    <definedName name="OpenSolver_ChosenSolver" localSheetId="57" hidden="1">NeosCou</definedName>
    <definedName name="OpenSolver_ChosenSolver" localSheetId="58" hidden="1">NeosCou</definedName>
    <definedName name="OpenSolver_ChosenSolver" localSheetId="59" hidden="1">NeosCou</definedName>
    <definedName name="OpenSolver_ChosenSolver" localSheetId="60" hidden="1">NeosCou</definedName>
    <definedName name="OpenSolver_ChosenSolver" localSheetId="61" hidden="1">NeosCou</definedName>
    <definedName name="OpenSolver_ChosenSolver" localSheetId="62" hidden="1">NeosCou</definedName>
    <definedName name="OpenSolver_ChosenSolver" localSheetId="63" hidden="1">CBC</definedName>
    <definedName name="OpenSolver_ChosenSolver" localSheetId="65" hidden="1">NeosCou</definedName>
    <definedName name="OpenSolver_ChosenSolver" localSheetId="67" hidden="1">NeosCou</definedName>
    <definedName name="OpenSolver_ChosenSolver" localSheetId="19" hidden="1">NeosCou</definedName>
    <definedName name="OpenSolver_ChosenSolver" localSheetId="68" hidden="1">NeosCou</definedName>
    <definedName name="OpenSolver_ChosenSolver" localSheetId="69" hidden="1">NeosCou</definedName>
    <definedName name="OpenSolver_ChosenSolver" localSheetId="70" hidden="1">NeosCou</definedName>
    <definedName name="OpenSolver_ChosenSolver" localSheetId="71" hidden="1">NeosCou</definedName>
    <definedName name="OpenSolver_ChosenSolver" localSheetId="73" hidden="1">NeosCou</definedName>
    <definedName name="OpenSolver_ChosenSolver" localSheetId="74" hidden="1">NeosCou</definedName>
    <definedName name="OpenSolver_ChosenSolver" localSheetId="75" hidden="1">NeosCou</definedName>
    <definedName name="OpenSolver_ChosenSolver" localSheetId="20" hidden="1">NeosCou</definedName>
    <definedName name="OpenSolver_ChosenSolver" localSheetId="22" hidden="1">NeosCou</definedName>
    <definedName name="OpenSolver_ChosenSolver" localSheetId="23" hidden="1">NeosCou</definedName>
    <definedName name="OpenSolver_ChosenSolver" localSheetId="24" hidden="1">NeosCou</definedName>
    <definedName name="OpenSolver_ChosenSolver" localSheetId="25" hidden="1">NeosCou</definedName>
    <definedName name="OpenSolver_ChosenSolver" localSheetId="26" hidden="1">NeosCou</definedName>
    <definedName name="OpenSolver_ChosenSolver" localSheetId="77" hidden="1">Gurobi</definedName>
    <definedName name="OpenSolver_ConstraintList" localSheetId="37">#REF!</definedName>
    <definedName name="OpenSolver_ConstraintList" localSheetId="67">#REF!</definedName>
    <definedName name="OpenSolver_ConstraintList">#REF!</definedName>
    <definedName name="OpenSolver_Duals" localSheetId="73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42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52" hidden="1">FALSE</definedName>
    <definedName name="OpenSolver_DualsNewSheet" localSheetId="18" hidden="1">FALSE</definedName>
    <definedName name="OpenSolver_DualsNewSheet" localSheetId="53" hidden="1">FALSE</definedName>
    <definedName name="OpenSolver_DualsNewSheet" localSheetId="55" hidden="1">TRUE</definedName>
    <definedName name="OpenSolver_DualsNewSheet" localSheetId="54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TRUE</definedName>
    <definedName name="OpenSolver_DualsNewSheet" localSheetId="67" hidden="1">TRUE</definedName>
    <definedName name="OpenSolver_DualsNewSheet" localSheetId="19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1" hidden="1">FALSE</definedName>
    <definedName name="OpenSolver_DualsNewSheet" localSheetId="73" hidden="1">TRUE</definedName>
    <definedName name="OpenSolver_DualsNewSheet" localSheetId="74" hidden="1">FALSE</definedName>
    <definedName name="OpenSolver_DualsNewSheet" localSheetId="75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7" hidden="1">FALSE</definedName>
    <definedName name="OpenSolver_LinearityCheck" localSheetId="2" hidden="1">1</definedName>
    <definedName name="OpenSolver_LinearityCheck" localSheetId="28" hidden="1">1</definedName>
    <definedName name="OpenSolver_LinearityCheck" localSheetId="29" hidden="1">1</definedName>
    <definedName name="OpenSolver_LinearityCheck" localSheetId="30" hidden="1">1</definedName>
    <definedName name="OpenSolver_LinearityCheck" localSheetId="31" hidden="1">1</definedName>
    <definedName name="OpenSolver_LinearityCheck" localSheetId="32" hidden="1">1</definedName>
    <definedName name="OpenSolver_LinearityCheck" localSheetId="33" hidden="1">1</definedName>
    <definedName name="OpenSolver_LinearityCheck" localSheetId="34" hidden="1">1</definedName>
    <definedName name="OpenSolver_LinearityCheck" localSheetId="35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40" hidden="1">1</definedName>
    <definedName name="OpenSolver_LinearityCheck" localSheetId="41" hidden="1">1</definedName>
    <definedName name="OpenSolver_LinearityCheck" localSheetId="42" hidden="1">1</definedName>
    <definedName name="OpenSolver_LinearityCheck" localSheetId="3" hidden="1">1</definedName>
    <definedName name="OpenSolver_LinearityCheck" localSheetId="4" hidden="1">1</definedName>
    <definedName name="OpenSolver_LinearityCheck" localSheetId="5" hidden="1">1</definedName>
    <definedName name="OpenSolver_LinearityCheck" localSheetId="12" hidden="1">1</definedName>
    <definedName name="OpenSolver_LinearityCheck" localSheetId="14" hidden="1">1</definedName>
    <definedName name="OpenSolver_LinearityCheck" localSheetId="1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43" hidden="1">1</definedName>
    <definedName name="OpenSolver_LinearityCheck" localSheetId="44" hidden="1">1</definedName>
    <definedName name="OpenSolver_LinearityCheck" localSheetId="4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48" hidden="1">1</definedName>
    <definedName name="OpenSolver_LinearityCheck" localSheetId="49" hidden="1">1</definedName>
    <definedName name="OpenSolver_LinearityCheck" localSheetId="50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18" hidden="1">1</definedName>
    <definedName name="OpenSolver_LinearityCheck" localSheetId="53" hidden="1">1</definedName>
    <definedName name="OpenSolver_LinearityCheck" localSheetId="55" hidden="1">1</definedName>
    <definedName name="OpenSolver_LinearityCheck" localSheetId="56" hidden="1">1</definedName>
    <definedName name="OpenSolver_LinearityCheck" localSheetId="57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60" hidden="1">1</definedName>
    <definedName name="OpenSolver_LinearityCheck" localSheetId="61" hidden="1">1</definedName>
    <definedName name="OpenSolver_LinearityCheck" localSheetId="62" hidden="1">1</definedName>
    <definedName name="OpenSolver_LinearityCheck" localSheetId="65" hidden="1">1</definedName>
    <definedName name="OpenSolver_LinearityCheck" localSheetId="67" hidden="1">1</definedName>
    <definedName name="OpenSolver_LinearityCheck" localSheetId="19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3" hidden="1">1</definedName>
    <definedName name="OpenSolver_LinearityCheck" localSheetId="74" hidden="1">1</definedName>
    <definedName name="OpenSolver_LinearityCheck" localSheetId="75" hidden="1">1</definedName>
    <definedName name="OpenSolver_LinearityCheck" localSheetId="20" hidden="1">1</definedName>
    <definedName name="OpenSolver_LinearityCheck" localSheetId="22" hidden="1">1</definedName>
    <definedName name="OpenSolver_LinearityCheck" localSheetId="25" hidden="1">1</definedName>
    <definedName name="OpenSolver_LinearityCheck" localSheetId="26" hidden="1">1</definedName>
    <definedName name="OpenSolver_ModelParameters" localSheetId="76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Test15e_Relax!$O$10:$P$10</definedName>
    <definedName name="OpenSolver_ModelParameters" localSheetId="38">Test16!$O$11:$P$11</definedName>
    <definedName name="OpenSolver_ModelParameters" localSheetId="39">Test16b!$O$11:$P$11</definedName>
    <definedName name="OpenSolver_ModelParameters" localSheetId="40">Test17!$O$11:$P$11</definedName>
    <definedName name="OpenSolver_ModelParameters" localSheetId="41">Test18!$O$9:$P$9</definedName>
    <definedName name="OpenSolver_ModelParameters" localSheetId="42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3">Test20!$O$10:$P$10</definedName>
    <definedName name="OpenSolver_ModelParameters" localSheetId="44">Test21!$O$10:$P$10</definedName>
    <definedName name="OpenSolver_ModelParameters" localSheetId="45">Test22!$O$10:$P$10</definedName>
    <definedName name="OpenSolver_ModelParameters" localSheetId="46">Test23!$O$10:$P$10</definedName>
    <definedName name="OpenSolver_ModelParameters" localSheetId="47">Test24_IterativeCalc!$O$8:$P$8</definedName>
    <definedName name="OpenSolver_ModelParameters" localSheetId="49">Test26!$M$8:$M$8</definedName>
    <definedName name="OpenSolver_ModelParameters" localSheetId="50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4">'Test45_SheetName(1)+2-1'!$O$7:$P$7</definedName>
    <definedName name="OpenSolver_ModelParameters" localSheetId="75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6" hidden="1">TRUE</definedName>
    <definedName name="OpenSolver_UpdateSensitivity" localSheetId="37" hidden="1">TRUE</definedName>
    <definedName name="OpenSolver_UpdateSensitivity" localSheetId="38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3" hidden="1">TRUE</definedName>
    <definedName name="OpenSolver_UpdateSensitivity" localSheetId="46" hidden="1">TRUE</definedName>
    <definedName name="OpenSolver_UpdateSensitivity" localSheetId="47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52" hidden="1">TRUE</definedName>
    <definedName name="OpenSolver_UpdateSensitivity" localSheetId="18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4" hidden="1">TRUE</definedName>
    <definedName name="OpenSolver_UpdateSensitivity" localSheetId="56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3" hidden="1">TRUE</definedName>
    <definedName name="OpenSolver_UpdateSensitivity" localSheetId="65" hidden="1">TRUE</definedName>
    <definedName name="OpenSolver_UpdateSensitivity" localSheetId="67" hidden="1">TRUE</definedName>
    <definedName name="OpenSolver_UpdateSensitivity" localSheetId="19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75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50">Test27_Parameters!$O$7:$P$7</definedName>
    <definedName name="OpenSolverResult">Data!$A$1:$A$7</definedName>
    <definedName name="OpenSolverResultCodes">Data!$A$1:$B$7</definedName>
    <definedName name="p" localSheetId="37">#REF!</definedName>
    <definedName name="p" localSheetId="67">#REF!</definedName>
    <definedName name="p" localSheetId="73">#REF!</definedName>
    <definedName name="p" localSheetId="74">#REF!</definedName>
    <definedName name="p">#REF!</definedName>
    <definedName name="q" localSheetId="37">#REF!</definedName>
    <definedName name="q" localSheetId="67">#REF!</definedName>
    <definedName name="q" localSheetId="73">#REF!</definedName>
    <definedName name="q" localSheetId="74">#REF!</definedName>
    <definedName name="q">#REF!</definedName>
    <definedName name="s" localSheetId="37">#REF!</definedName>
    <definedName name="s" localSheetId="67">#REF!</definedName>
    <definedName name="s" localSheetId="73">#REF!</definedName>
    <definedName name="s" localSheetId="74">#REF!</definedName>
    <definedName name="s">#REF!</definedName>
    <definedName name="Scale" localSheetId="76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Test15e_Relax!$O$10</definedName>
    <definedName name="Scale" localSheetId="38">Test16!$O$11</definedName>
    <definedName name="Scale" localSheetId="39">Test16b!$O$11</definedName>
    <definedName name="Scale" localSheetId="40">Test17!$O$11</definedName>
    <definedName name="Scale" localSheetId="41">Test18!$O$9</definedName>
    <definedName name="Scale" localSheetId="42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3">Test20!$O$10</definedName>
    <definedName name="Scale" localSheetId="44">Test21!$O$10</definedName>
    <definedName name="Scale" localSheetId="45">Test22!$O$10</definedName>
    <definedName name="Scale" localSheetId="46">Test23!$O$10</definedName>
    <definedName name="Scale" localSheetId="47">Test24_IterativeCalc!$O$8</definedName>
    <definedName name="Scale" localSheetId="49">Test26!#REF!</definedName>
    <definedName name="Scale" localSheetId="50">Test27_Parameters!$O$7</definedName>
    <definedName name="Scale" localSheetId="18">Test3!$O$7</definedName>
    <definedName name="Scale" localSheetId="19">Test4!$O$8</definedName>
    <definedName name="Scale" localSheetId="74">'Test45_SheetName(1)+2-1'!$O$7</definedName>
    <definedName name="Scale" localSheetId="75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37">#REF!</definedName>
    <definedName name="scale2" localSheetId="67">#REF!</definedName>
    <definedName name="scale2">#REF!</definedName>
    <definedName name="sencount" hidden="1">1</definedName>
    <definedName name="Sheet1OpenSolverModelParameters" localSheetId="76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Test15e_Relax!$K$8:$K$8</definedName>
    <definedName name="Sheet1OpenSolverModelParameters" localSheetId="38">Test16!$K$9:$K$9</definedName>
    <definedName name="Sheet1OpenSolverModelParameters" localSheetId="39">Test16b!$K$9:$K$9</definedName>
    <definedName name="Sheet1OpenSolverModelParameters" localSheetId="40">Test17!$K$9:$K$9</definedName>
    <definedName name="Sheet1OpenSolverModelParameters" localSheetId="41">Test18!$K$7:$K$7</definedName>
    <definedName name="Sheet1OpenSolverModelParameters" localSheetId="42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3">Test20!$K$8:$K$8</definedName>
    <definedName name="Sheet1OpenSolverModelParameters" localSheetId="44">Test21!$K$8:$K$8</definedName>
    <definedName name="Sheet1OpenSolverModelParameters" localSheetId="45">Test22!$K$8:$K$8</definedName>
    <definedName name="Sheet1OpenSolverModelParameters" localSheetId="46">Test23!$K$8:$K$8</definedName>
    <definedName name="Sheet1OpenSolverModelParameters" localSheetId="47">Test24_IterativeCalc!$K$6:$K$6</definedName>
    <definedName name="Sheet1OpenSolverModelParameters" localSheetId="49">Test26!$K$6:$K$6</definedName>
    <definedName name="Sheet1OpenSolverModelParameters" localSheetId="50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4">'Test45_SheetName(1)+2-1'!$K$5:$K$5</definedName>
    <definedName name="Sheet1OpenSolverModelParameters" localSheetId="75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37" hidden="1">CBC (default)</definedName>
    <definedName name="Solver" localSheetId="57" hidden="1">CBC (default)</definedName>
    <definedName name="Solver" localSheetId="67" hidden="1">CBC (default)</definedName>
    <definedName name="Solver" localSheetId="73" hidden="1">CBC (default)</definedName>
    <definedName name="Solver" localSheetId="74" hidden="1">CBC (default)</definedName>
    <definedName name="Solver" localSheetId="75" hidden="1">CBC (default)</definedName>
    <definedName name="Solver" hidden="1">CBC (default)</definedName>
    <definedName name="solver_adj" localSheetId="76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Test15e_Relax!$D$5:$F$5</definedName>
    <definedName name="solver_adj" localSheetId="38" hidden="1">Test16!$D$6:$F$6</definedName>
    <definedName name="solver_adj" localSheetId="39" hidden="1">Test16b!$D$6:$F$6</definedName>
    <definedName name="solver_adj" localSheetId="40" hidden="1">Test17!$D$6:$F$6</definedName>
    <definedName name="solver_adj" localSheetId="41" hidden="1">Test18!$D$4:$F$4</definedName>
    <definedName name="solver_adj" localSheetId="42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3" hidden="1">Test20!$D$5:$F$5</definedName>
    <definedName name="solver_adj" localSheetId="44" hidden="1">Test21!$D$5:$F$5</definedName>
    <definedName name="solver_adj" localSheetId="45" hidden="1">Test22!$D$5:$F$5</definedName>
    <definedName name="solver_adj" localSheetId="46" hidden="1">Test23!$D$5:$F$5</definedName>
    <definedName name="solver_adj" localSheetId="47" hidden="1">Test24_IterativeCalc!$D$5:$F$5</definedName>
    <definedName name="solver_adj" localSheetId="48" hidden="1">Test25!$D$7:$F$7</definedName>
    <definedName name="solver_adj" localSheetId="49" hidden="1">Test26!$D$5:$F$5</definedName>
    <definedName name="solver_adj" localSheetId="50" hidden="1">Test27_Parameters!$D$4:$F$4</definedName>
    <definedName name="solver_adj" localSheetId="51" hidden="1">Test28_CBCOptions!$D$13:$F$13</definedName>
    <definedName name="solver_adj" localSheetId="52" hidden="1">Test29!$E$4:$G$4</definedName>
    <definedName name="solver_adj" localSheetId="18" hidden="1">Test3!$D$4:$G$4,Test3!$Q$3:$R$4</definedName>
    <definedName name="solver_adj" localSheetId="53" hidden="1">Test30!$D$4:$J$4</definedName>
    <definedName name="solver_adj" localSheetId="55" hidden="1">Test31!$D$4:$F$4</definedName>
    <definedName name="solver_adj" localSheetId="56" hidden="1">Test32!$D$4:$H$4</definedName>
    <definedName name="solver_adj" localSheetId="57" hidden="1">Test33!$E$4:$G$4</definedName>
    <definedName name="solver_adj" localSheetId="58" hidden="1">Test34!$C$4:$D$4</definedName>
    <definedName name="solver_adj" localSheetId="59" hidden="1">Test35!$D$5:$E$5</definedName>
    <definedName name="solver_adj" localSheetId="60" hidden="1">Test36!$D$4:$F$4</definedName>
    <definedName name="solver_adj" localSheetId="61" hidden="1">Test37!$D$5:$H$5</definedName>
    <definedName name="solver_adj" localSheetId="62" hidden="1">Test38!$S$10:$S$11</definedName>
    <definedName name="solver_adj" localSheetId="65" hidden="1">Test39_SensNames!$D$14:$H$16,Test39_SensNames!$J$21</definedName>
    <definedName name="solver_adj" localSheetId="67" hidden="1">Test39_SensNames2!$D$14:$H$16,Test39_SensNames2!$J$21</definedName>
    <definedName name="solver_adj" localSheetId="19" hidden="1">Test4!$D$5:$G$5,Test4!$N$4:$N$5,Test4!$Q$4:$R$5</definedName>
    <definedName name="solver_adj" localSheetId="68" hidden="1">Test40!$D$11</definedName>
    <definedName name="solver_adj" localSheetId="69" hidden="1">Test41!$F$2:$I$2</definedName>
    <definedName name="solver_adj" localSheetId="70" hidden="1">Test42!$D$7:$D$8</definedName>
    <definedName name="solver_adj" localSheetId="71" hidden="1">Test43!$D$2:$F$2</definedName>
    <definedName name="solver_adj" localSheetId="73" hidden="1">Test44_Seek!$D$2:$F$2</definedName>
    <definedName name="solver_adj" localSheetId="74" hidden="1">'Test45_SheetName(1)+2-1'!$D$4:$F$4</definedName>
    <definedName name="solver_adj" localSheetId="75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7" hidden="1">TestNewAutomodel!$B$28:$D$28,TestNewAutomodel!$C$3:$C$5</definedName>
    <definedName name="solver_cvg" localSheetId="76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4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18" hidden="1">0.0001</definedName>
    <definedName name="solver_cvg" localSheetId="53" hidden="1">0.0001</definedName>
    <definedName name="solver_cvg" localSheetId="55" hidden="1">0.0001</definedName>
    <definedName name="solver_cvg" localSheetId="54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5" hidden="1">0.0001</definedName>
    <definedName name="solver_cvg" localSheetId="67" hidden="1">0.0001</definedName>
    <definedName name="solver_cvg" localSheetId="19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1" hidden="1">0.0001</definedName>
    <definedName name="solver_cvg" localSheetId="73" hidden="1">0.0001</definedName>
    <definedName name="solver_cvg" localSheetId="74" hidden="1">0.0001</definedName>
    <definedName name="solver_cvg" localSheetId="75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7" hidden="1">0.0001</definedName>
    <definedName name="solver_drv" localSheetId="76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4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18" hidden="1">1</definedName>
    <definedName name="solver_drv" localSheetId="53" hidden="1">1</definedName>
    <definedName name="solver_drv" localSheetId="55" hidden="1">1</definedName>
    <definedName name="solver_drv" localSheetId="54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5" hidden="1">1</definedName>
    <definedName name="solver_drv" localSheetId="67" hidden="1">1</definedName>
    <definedName name="solver_drv" localSheetId="19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1" hidden="1">1</definedName>
    <definedName name="solver_drv" localSheetId="73" hidden="1">1</definedName>
    <definedName name="solver_drv" localSheetId="74" hidden="1">1</definedName>
    <definedName name="solver_drv" localSheetId="75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7" hidden="1">1</definedName>
    <definedName name="solver_eng" localSheetId="2" hidden="1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42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3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8" hidden="1">2</definedName>
    <definedName name="solver_eng" localSheetId="49" hidden="1">2</definedName>
    <definedName name="solver_eng" localSheetId="52" hidden="1">2</definedName>
    <definedName name="solver_eng" localSheetId="18">2</definedName>
    <definedName name="solver_eng" localSheetId="53" hidden="1">2</definedName>
    <definedName name="solver_eng" localSheetId="56" hidden="1">2</definedName>
    <definedName name="solver_eng" localSheetId="59" hidden="1">2</definedName>
    <definedName name="solver_eng" localSheetId="60" hidden="1">2</definedName>
    <definedName name="solver_eng" localSheetId="61" hidden="1">2</definedName>
    <definedName name="solver_eng" localSheetId="19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74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7" hidden="1">2</definedName>
    <definedName name="solver_est" localSheetId="76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4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18" hidden="1">1</definedName>
    <definedName name="solver_est" localSheetId="53" hidden="1">1</definedName>
    <definedName name="solver_est" localSheetId="55" hidden="1">1</definedName>
    <definedName name="solver_est" localSheetId="54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5" hidden="1">1</definedName>
    <definedName name="solver_est" localSheetId="67" hidden="1">1</definedName>
    <definedName name="solver_est" localSheetId="19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1" hidden="1">1</definedName>
    <definedName name="solver_est" localSheetId="73" hidden="1">1</definedName>
    <definedName name="solver_est" localSheetId="74" hidden="1">1</definedName>
    <definedName name="solver_est" localSheetId="75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7" hidden="1">1</definedName>
    <definedName name="solver_itr" localSheetId="76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42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</definedName>
    <definedName name="solver_itr" localSheetId="49" hidden="1">1000</definedName>
    <definedName name="solver_itr" localSheetId="50" hidden="1">100</definedName>
    <definedName name="solver_itr" localSheetId="51" hidden="1">1000</definedName>
    <definedName name="solver_itr" localSheetId="52" hidden="1">1000</definedName>
    <definedName name="solver_itr" localSheetId="18" hidden="1">1000</definedName>
    <definedName name="solver_itr" localSheetId="53" hidden="1">1000</definedName>
    <definedName name="solver_itr" localSheetId="55" hidden="1">1000</definedName>
    <definedName name="solver_itr" localSheetId="54" hidden="1">100</definedName>
    <definedName name="solver_itr" localSheetId="56" hidden="1">1000</definedName>
    <definedName name="solver_itr" localSheetId="57" hidden="1">100</definedName>
    <definedName name="solver_itr" localSheetId="58" hidden="1">1000</definedName>
    <definedName name="solver_itr" localSheetId="59" hidden="1">20000</definedName>
    <definedName name="solver_itr" localSheetId="60" hidden="1">100</definedName>
    <definedName name="solver_itr" localSheetId="61" hidden="1">1000</definedName>
    <definedName name="solver_itr" localSheetId="62" hidden="1">100000</definedName>
    <definedName name="solver_itr" localSheetId="63" hidden="1">100</definedName>
    <definedName name="solver_itr" localSheetId="65" hidden="1">2000</definedName>
    <definedName name="solver_itr" localSheetId="67" hidden="1">2000</definedName>
    <definedName name="solver_itr" localSheetId="19" hidden="1">1000</definedName>
    <definedName name="solver_itr" localSheetId="68" hidden="1">1000</definedName>
    <definedName name="solver_itr" localSheetId="69" hidden="1">100000</definedName>
    <definedName name="solver_itr" localSheetId="70" hidden="1">1000</definedName>
    <definedName name="solver_itr" localSheetId="71" hidden="1">1000</definedName>
    <definedName name="solver_itr" localSheetId="73" hidden="1">1000</definedName>
    <definedName name="solver_itr" localSheetId="74" hidden="1">200</definedName>
    <definedName name="solver_itr" localSheetId="75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7" hidden="1">100</definedName>
    <definedName name="solver_lhs1" localSheetId="76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Test15e_Relax!$H$13</definedName>
    <definedName name="solver_lhs1" localSheetId="38" hidden="1">Test16!$D$6:$H$6</definedName>
    <definedName name="solver_lhs1" localSheetId="39" hidden="1">Test16b!$E$6:$H$6</definedName>
    <definedName name="solver_lhs1" localSheetId="40" hidden="1">Test17!$D$6:$H$6</definedName>
    <definedName name="solver_lhs1" localSheetId="41" hidden="1">Test18!$D$4:$F$4</definedName>
    <definedName name="solver_lhs1" localSheetId="42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3" hidden="1">Test20!$H$11</definedName>
    <definedName name="solver_lhs1" localSheetId="44" hidden="1">Test21!$D$5</definedName>
    <definedName name="solver_lhs1" localSheetId="45" hidden="1">Test22!$D$5</definedName>
    <definedName name="solver_lhs1" localSheetId="46" hidden="1">Test23!$D$7</definedName>
    <definedName name="solver_lhs1" localSheetId="47" hidden="1">Test24_IterativeCalc!$H$12</definedName>
    <definedName name="solver_lhs1" localSheetId="48" hidden="1">Test25!$H$11:$H$12</definedName>
    <definedName name="solver_lhs1" localSheetId="49" hidden="1">Test26!$H$11</definedName>
    <definedName name="solver_lhs1" localSheetId="50" hidden="1">Test27_Parameters!$H$8</definedName>
    <definedName name="solver_lhs1" localSheetId="51" hidden="1">Test28_CBCOptions!$H$20</definedName>
    <definedName name="solver_lhs1" localSheetId="52" hidden="1">Test29!$H$11</definedName>
    <definedName name="solver_lhs1" localSheetId="18" hidden="1">Test3!$S$3:$S$4</definedName>
    <definedName name="solver_lhs1" localSheetId="53" hidden="1">Test30!$K$8</definedName>
    <definedName name="solver_lhs1" localSheetId="55" hidden="1">Test31!$G$8</definedName>
    <definedName name="solver_lhs1" localSheetId="56" hidden="1">Test32!$I$12</definedName>
    <definedName name="solver_lhs1" localSheetId="57" hidden="1">Test33!$H$8</definedName>
    <definedName name="solver_lhs1" localSheetId="58" hidden="1">Test34!$E$6:$E$7</definedName>
    <definedName name="solver_lhs1" localSheetId="59" hidden="1">Test35!$F$8</definedName>
    <definedName name="solver_lhs1" localSheetId="60" hidden="1">Test36!$D$4:$F$4</definedName>
    <definedName name="solver_lhs1" localSheetId="61" hidden="1">Test37!$I$7:$I$9</definedName>
    <definedName name="solver_lhs1" localSheetId="62" hidden="1">Test38!$S$10:$S$11</definedName>
    <definedName name="solver_lhs1" localSheetId="65" hidden="1">Test39_SensNames!$I$14:$I$16</definedName>
    <definedName name="solver_lhs1" localSheetId="67" hidden="1">Test39_SensNames2!$I$14:$I$16</definedName>
    <definedName name="solver_lhs1" localSheetId="19" hidden="1">Test4!$I$9</definedName>
    <definedName name="solver_lhs1" localSheetId="71" hidden="1">Test43!$G$6</definedName>
    <definedName name="solver_lhs1" localSheetId="73" hidden="1">Test44_Seek!$G$6</definedName>
    <definedName name="solver_lhs1" localSheetId="74" hidden="1">'Test45_SheetName(1)+2-1'!$H$11</definedName>
    <definedName name="solver_lhs1" localSheetId="75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7" hidden="1">TestNewAutomodel!$B$20</definedName>
    <definedName name="solver_lhs10" localSheetId="31" hidden="1">Test13b!$H$16</definedName>
    <definedName name="solver_lhs10" localSheetId="52" hidden="1">Test29!$G$4</definedName>
    <definedName name="solver_lhs10" localSheetId="57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7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7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7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7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6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Test15e_Relax!$H$12</definedName>
    <definedName name="solver_lhs2" localSheetId="38" hidden="1">Test16!$H$12</definedName>
    <definedName name="solver_lhs2" localSheetId="39" hidden="1">Test16b!$H$12</definedName>
    <definedName name="solver_lhs2" localSheetId="40" hidden="1">Test17!$H$12</definedName>
    <definedName name="solver_lhs2" localSheetId="41" hidden="1">Test18!$H$10</definedName>
    <definedName name="solver_lhs2" localSheetId="42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3" hidden="1">Test20!$H$12</definedName>
    <definedName name="solver_lhs2" localSheetId="44" hidden="1">Test21!$H$11</definedName>
    <definedName name="solver_lhs2" localSheetId="45" hidden="1">Test22!$H$11</definedName>
    <definedName name="solver_lhs2" localSheetId="46" hidden="1">Test23!$H$11</definedName>
    <definedName name="solver_lhs2" localSheetId="47" hidden="1">Test24_IterativeCalc!$H$9:$H$10</definedName>
    <definedName name="solver_lhs2" localSheetId="48" hidden="1">Test25!$H$14</definedName>
    <definedName name="solver_lhs2" localSheetId="49" hidden="1">Test26!$H$12</definedName>
    <definedName name="solver_lhs2" localSheetId="50" hidden="1">Test27_Parameters!$H$9</definedName>
    <definedName name="solver_lhs2" localSheetId="51" hidden="1">Test28_CBCOptions!$H$17:$H$18</definedName>
    <definedName name="solver_lhs2" localSheetId="52" hidden="1">Test29!$H$8:$H$10</definedName>
    <definedName name="solver_lhs2" localSheetId="18" hidden="1">Test3!$I$8:$I$9</definedName>
    <definedName name="solver_lhs2" localSheetId="53" hidden="1">Test30!$K$10:$K$11</definedName>
    <definedName name="solver_lhs2" localSheetId="55" hidden="1">Test31!$G$10:$G$11</definedName>
    <definedName name="solver_lhs2" localSheetId="56" hidden="1">Test32!$I$8</definedName>
    <definedName name="solver_lhs2" localSheetId="57" hidden="1">Test33!$H$10:$H$11</definedName>
    <definedName name="solver_lhs2" localSheetId="58" hidden="1">Test34!$C$4:$D$4</definedName>
    <definedName name="solver_lhs2" localSheetId="59" hidden="1">Test35!$F$9</definedName>
    <definedName name="solver_lhs2" localSheetId="60" hidden="1">Test36!$G$8</definedName>
    <definedName name="solver_lhs2" localSheetId="61" hidden="1">Test37!$D$5:$H$5</definedName>
    <definedName name="solver_lhs2" localSheetId="62" hidden="1">Test38!$S$10:$S$11</definedName>
    <definedName name="solver_lhs2" localSheetId="65" hidden="1">Test39_SensNames!$D$17:$H$17</definedName>
    <definedName name="solver_lhs2" localSheetId="67" hidden="1">Test39_SensNames2!$D$17:$H$17</definedName>
    <definedName name="solver_lhs2" localSheetId="19" hidden="1">Test4!$I$10</definedName>
    <definedName name="solver_lhs2" localSheetId="71" hidden="1">Test43!$G$8:$G$9</definedName>
    <definedName name="solver_lhs2" localSheetId="73" hidden="1">Test44_Seek!$G$7</definedName>
    <definedName name="solver_lhs2" localSheetId="74" hidden="1">'Test45_SheetName(1)+2-1'!$H$8:$H$9</definedName>
    <definedName name="solver_lhs2" localSheetId="75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7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6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Test15e_Relax!$H$11</definedName>
    <definedName name="solver_lhs3" localSheetId="38" hidden="1">Test16!$H$13</definedName>
    <definedName name="solver_lhs3" localSheetId="39" hidden="1">Test16b!$H$13</definedName>
    <definedName name="solver_lhs3" localSheetId="40" hidden="1">Test17!$H$13</definedName>
    <definedName name="solver_lhs3" localSheetId="41" hidden="1">Test18!$H$11</definedName>
    <definedName name="solver_lhs3" localSheetId="42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3" hidden="1">Test20!$H$13</definedName>
    <definedName name="solver_lhs3" localSheetId="44" hidden="1">Test21!$H$12</definedName>
    <definedName name="solver_lhs3" localSheetId="45" hidden="1">Test22!$H$12</definedName>
    <definedName name="solver_lhs3" localSheetId="46" hidden="1">Test23!$H$12</definedName>
    <definedName name="solver_lhs3" localSheetId="47" hidden="1">Test24_IterativeCalc!$H$11</definedName>
    <definedName name="solver_lhs3" localSheetId="48" hidden="1">Test25!$H$13</definedName>
    <definedName name="solver_lhs3" localSheetId="49" hidden="1">Test26!$H$9:$H$10</definedName>
    <definedName name="solver_lhs3" localSheetId="50" hidden="1">Test27_Parameters!$H$10</definedName>
    <definedName name="solver_lhs3" localSheetId="51" hidden="1">Test28_CBCOptions!$H$19</definedName>
    <definedName name="solver_lhs3" localSheetId="52" hidden="1">Test29!$H$9</definedName>
    <definedName name="solver_lhs3" localSheetId="18" hidden="1">Test3!$I$11</definedName>
    <definedName name="solver_lhs3" localSheetId="53" hidden="1">Test30!$K$9</definedName>
    <definedName name="solver_lhs3" localSheetId="55" hidden="1">Test31!$G$9</definedName>
    <definedName name="solver_lhs3" localSheetId="56" hidden="1">Test32!$I$10:$I$11</definedName>
    <definedName name="solver_lhs3" localSheetId="57" hidden="1">Test33!$H$9</definedName>
    <definedName name="solver_lhs3" localSheetId="59" hidden="1">Test35!$F$10</definedName>
    <definedName name="solver_lhs3" localSheetId="67" hidden="1">Test39_SensNames2!$D$14:$H$16</definedName>
    <definedName name="solver_lhs3" localSheetId="19" hidden="1">Test4!$I$11</definedName>
    <definedName name="solver_lhs3" localSheetId="71" hidden="1">Test43!$G$7</definedName>
    <definedName name="solver_lhs3" localSheetId="73" hidden="1">Test44_Seek!$G$8</definedName>
    <definedName name="solver_lhs3" localSheetId="74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7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6" hidden="1">HighlightingExample!$M$15</definedName>
    <definedName name="solver_lhs4" localSheetId="21" hidden="1">'Test!6'!$H$12</definedName>
    <definedName name="solver_lhs4" localSheetId="2" hidden="1">Test1!$H$8:$H$9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Test15e_Relax!$D$5:$F$5</definedName>
    <definedName name="solver_lhs4" localSheetId="38" hidden="1">Test16!$H$14</definedName>
    <definedName name="solver_lhs4" localSheetId="39" hidden="1">Test16b!$H$14</definedName>
    <definedName name="solver_lhs4" localSheetId="40" hidden="1">Test17!$H$14</definedName>
    <definedName name="solver_lhs4" localSheetId="41" hidden="1">Test18!$H$12</definedName>
    <definedName name="solver_lhs4" localSheetId="42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3" hidden="1">Test20!$D$5:$F$5</definedName>
    <definedName name="solver_lhs4" localSheetId="44" hidden="1">Test21!$H$13</definedName>
    <definedName name="solver_lhs4" localSheetId="45" hidden="1">Test22!$H$13</definedName>
    <definedName name="solver_lhs4" localSheetId="46" hidden="1">Test23!$H$13</definedName>
    <definedName name="solver_lhs4" localSheetId="47" hidden="1">Test24_IterativeCalc!$H$12</definedName>
    <definedName name="solver_lhs4" localSheetId="49" hidden="1">Test26!$H$12</definedName>
    <definedName name="solver_lhs4" localSheetId="50" hidden="1">Test27_Parameters!$D$4:$E$4</definedName>
    <definedName name="solver_lhs4" localSheetId="51" hidden="1">Test28_CBCOptions!$H$20</definedName>
    <definedName name="solver_lhs4" localSheetId="52" hidden="1">Test29!$H$10:$H$11</definedName>
    <definedName name="solver_lhs4" localSheetId="18" hidden="1">Test3!$Q$5:$R$5</definedName>
    <definedName name="solver_lhs4" localSheetId="55" hidden="1">Test31!$D$4:$F$4</definedName>
    <definedName name="solver_lhs4" localSheetId="56" hidden="1">Test32!$I$9</definedName>
    <definedName name="solver_lhs4" localSheetId="57" hidden="1">Test33!$H$12</definedName>
    <definedName name="solver_lhs4" localSheetId="59" hidden="1">Test35!$F$11</definedName>
    <definedName name="solver_lhs4" localSheetId="19" hidden="1">Test4!$E$5:$F$5</definedName>
    <definedName name="solver_lhs4" localSheetId="71" hidden="1">Test43!$G$9</definedName>
    <definedName name="solver_lhs4" localSheetId="73" hidden="1">Test44_Seek!$G$9</definedName>
    <definedName name="solver_lhs4" localSheetId="74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7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6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Test15e_Relax!$F$5</definedName>
    <definedName name="solver_lhs5" localSheetId="38" hidden="1">Test16!$D$6</definedName>
    <definedName name="solver_lhs5" localSheetId="39" hidden="1">Test16b!$D$6</definedName>
    <definedName name="solver_lhs5" localSheetId="40" hidden="1">Test17!$D$6</definedName>
    <definedName name="solver_lhs5" localSheetId="41" hidden="1">Test18!$D$4</definedName>
    <definedName name="solver_lhs5" localSheetId="42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3" hidden="1">Test20!$D$5</definedName>
    <definedName name="solver_lhs5" localSheetId="44" hidden="1">Test21!$D$5</definedName>
    <definedName name="solver_lhs5" localSheetId="45" hidden="1">Test22!$D$5</definedName>
    <definedName name="solver_lhs5" localSheetId="46" hidden="1">Test23!$D$5</definedName>
    <definedName name="solver_lhs5" localSheetId="47" hidden="1">Test24_IterativeCalc!$D$5</definedName>
    <definedName name="solver_lhs5" localSheetId="49" hidden="1">Test26!$D$5</definedName>
    <definedName name="solver_lhs5" localSheetId="50" hidden="1">Test27_Parameters!$H$11</definedName>
    <definedName name="solver_lhs5" localSheetId="52" hidden="1">Test29!$F$4</definedName>
    <definedName name="solver_lhs5" localSheetId="18" hidden="1">Test3!$I$10</definedName>
    <definedName name="solver_lhs5" localSheetId="57" hidden="1">Test35!$C$4</definedName>
    <definedName name="solver_lhs5" localSheetId="59" hidden="1">Test35!$F$12:$F$17</definedName>
    <definedName name="solver_lhs5" localSheetId="19" hidden="1">Test4!$D$5:$E$5</definedName>
    <definedName name="solver_lhs5" localSheetId="74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7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6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Test15e_Relax!$E$5:$F$5</definedName>
    <definedName name="solver_lhs6" localSheetId="38" hidden="1">Test16!$D$6:$F$6</definedName>
    <definedName name="solver_lhs6" localSheetId="39" hidden="1">Test16b!$D$6:$F$6</definedName>
    <definedName name="solver_lhs6" localSheetId="40" hidden="1">Test17!$D$6:$F$6</definedName>
    <definedName name="solver_lhs6" localSheetId="41" hidden="1">Test18!$D$4:$F$4</definedName>
    <definedName name="solver_lhs6" localSheetId="42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3" hidden="1">Test20!$D$5:$F$5</definedName>
    <definedName name="solver_lhs6" localSheetId="44" hidden="1">Test21!$D$5:$F$5</definedName>
    <definedName name="solver_lhs6" localSheetId="45" hidden="1">Test22!$D$5:$F$5</definedName>
    <definedName name="solver_lhs6" localSheetId="46" hidden="1">Test23!$D$5:$F$5</definedName>
    <definedName name="solver_lhs6" localSheetId="47" hidden="1">Test24_IterativeCalc!#REF!</definedName>
    <definedName name="solver_lhs6" localSheetId="49" hidden="1">Test26!#REF!</definedName>
    <definedName name="solver_lhs6" localSheetId="50" hidden="1">Test27_Parameters!#REF!</definedName>
    <definedName name="solver_lhs6" localSheetId="52" hidden="1">Test29!$G$4</definedName>
    <definedName name="solver_lhs6" localSheetId="18" hidden="1">Test3!$D$4</definedName>
    <definedName name="solver_lhs6" localSheetId="57" hidden="1">Test35!$C$4</definedName>
    <definedName name="solver_lhs6" localSheetId="59" hidden="1">Test35!$F$18</definedName>
    <definedName name="solver_lhs6" localSheetId="19" hidden="1">Test4!$I$12</definedName>
    <definedName name="solver_lhs6" localSheetId="74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7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6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Test15e_Relax!$E$5:$F$5</definedName>
    <definedName name="solver_lhs7" localSheetId="38" hidden="1">Test16!#REF!</definedName>
    <definedName name="solver_lhs7" localSheetId="39" hidden="1">Test16b!#REF!</definedName>
    <definedName name="solver_lhs7" localSheetId="40" hidden="1">Test17!#REF!</definedName>
    <definedName name="solver_lhs7" localSheetId="41" hidden="1">Test18!#REF!</definedName>
    <definedName name="solver_lhs7" localSheetId="42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3" hidden="1">Test20!#REF!</definedName>
    <definedName name="solver_lhs7" localSheetId="44" hidden="1">Test21!#REF!</definedName>
    <definedName name="solver_lhs7" localSheetId="45" hidden="1">Test22!#REF!</definedName>
    <definedName name="solver_lhs7" localSheetId="46" hidden="1">Test23!#REF!</definedName>
    <definedName name="solver_lhs7" localSheetId="47" hidden="1">Test24_IterativeCalc!#REF!</definedName>
    <definedName name="solver_lhs7" localSheetId="49" hidden="1">Test26!#REF!</definedName>
    <definedName name="solver_lhs7" localSheetId="50" hidden="1">Test27_Parameters!#REF!</definedName>
    <definedName name="solver_lhs7" localSheetId="52" hidden="1">Test29!$F$4:$G$4</definedName>
    <definedName name="solver_lhs7" localSheetId="18" hidden="1">Test3!$E$4</definedName>
    <definedName name="solver_lhs7" localSheetId="57" hidden="1">Test33!$E$4</definedName>
    <definedName name="solver_lhs7" localSheetId="19" hidden="1">Test4!$S$4:$S$5</definedName>
    <definedName name="solver_lhs7" localSheetId="74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7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6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Test15e_Relax!#REF!</definedName>
    <definedName name="solver_lhs8" localSheetId="38" hidden="1">Test16!#REF!</definedName>
    <definedName name="solver_lhs8" localSheetId="39" hidden="1">Test16b!#REF!</definedName>
    <definedName name="solver_lhs8" localSheetId="40" hidden="1">Test17!#REF!</definedName>
    <definedName name="solver_lhs8" localSheetId="41" hidden="1">Test18!#REF!</definedName>
    <definedName name="solver_lhs8" localSheetId="42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3" hidden="1">Test20!#REF!</definedName>
    <definedName name="solver_lhs8" localSheetId="44" hidden="1">Test21!#REF!</definedName>
    <definedName name="solver_lhs8" localSheetId="45" hidden="1">Test22!#REF!</definedName>
    <definedName name="solver_lhs8" localSheetId="46" hidden="1">Test23!#REF!</definedName>
    <definedName name="solver_lhs8" localSheetId="47" hidden="1">Test24_IterativeCalc!#REF!</definedName>
    <definedName name="solver_lhs8" localSheetId="49" hidden="1">Test26!#REF!</definedName>
    <definedName name="solver_lhs8" localSheetId="50" hidden="1">Test27_Parameters!#REF!</definedName>
    <definedName name="solver_lhs8" localSheetId="52" hidden="1">Test29!$F$4</definedName>
    <definedName name="solver_lhs8" localSheetId="18" hidden="1">Test3!$F$4</definedName>
    <definedName name="solver_lhs8" localSheetId="57" hidden="1">Test33!$E$4</definedName>
    <definedName name="solver_lhs8" localSheetId="19" hidden="1">Test4!$Q$6:$R$6</definedName>
    <definedName name="solver_lhs8" localSheetId="74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6" hidden="1">HighlightingExample!$L$9:$N$9</definedName>
    <definedName name="solver_lhs9" localSheetId="31" hidden="1">Test13b!$H$15</definedName>
    <definedName name="solver_lhs9" localSheetId="52" hidden="1">Test29!$H$9</definedName>
    <definedName name="solver_lhs9" localSheetId="57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6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42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52" hidden="1">1</definedName>
    <definedName name="solver_lin" localSheetId="18" hidden="1">1</definedName>
    <definedName name="solver_lin" localSheetId="53" hidden="1">1</definedName>
    <definedName name="solver_lin" localSheetId="55" hidden="1">1</definedName>
    <definedName name="solver_lin" localSheetId="54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5" hidden="1">1</definedName>
    <definedName name="solver_lin" localSheetId="67" hidden="1">1</definedName>
    <definedName name="solver_lin" localSheetId="19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1" hidden="1">1</definedName>
    <definedName name="solver_lin" localSheetId="73" hidden="1">1</definedName>
    <definedName name="solver_lin" localSheetId="74" hidden="1">1</definedName>
    <definedName name="solver_lin" localSheetId="75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7" hidden="1">1</definedName>
    <definedName name="solver_mip" localSheetId="2" hidden="1">2147483647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2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59" hidden="1">2147483647</definedName>
    <definedName name="solver_mip" localSheetId="68" hidden="1">2147483647</definedName>
    <definedName name="solver_mip" localSheetId="69" hidden="1">2147483647</definedName>
    <definedName name="solver_mni" localSheetId="2" hidden="1">30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2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59" hidden="1">30</definedName>
    <definedName name="solver_mni" localSheetId="68" hidden="1">30</definedName>
    <definedName name="solver_mni" localSheetId="69" hidden="1">30</definedName>
    <definedName name="solver_mrt" localSheetId="2" hidden="1">0.075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2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59" hidden="1">0.075</definedName>
    <definedName name="solver_mrt" localSheetId="68" hidden="1">0.075</definedName>
    <definedName name="solver_mrt" localSheetId="69" hidden="1">0.075</definedName>
    <definedName name="solver_msl" localSheetId="2" hidden="1">2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2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59" hidden="1">2</definedName>
    <definedName name="solver_msl" localSheetId="68" hidden="1">2</definedName>
    <definedName name="solver_msl" localSheetId="69" hidden="1">2</definedName>
    <definedName name="solver_neg" localSheetId="76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4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51" hidden="1">2</definedName>
    <definedName name="solver_neg" localSheetId="52" hidden="1">1</definedName>
    <definedName name="solver_neg" localSheetId="18" hidden="1">1</definedName>
    <definedName name="solver_neg" localSheetId="53" hidden="1">1</definedName>
    <definedName name="solver_neg" localSheetId="55" hidden="1">1</definedName>
    <definedName name="solver_neg" localSheetId="54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1</definedName>
    <definedName name="solver_neg" localSheetId="62" hidden="1">2</definedName>
    <definedName name="solver_neg" localSheetId="63" hidden="1">1</definedName>
    <definedName name="solver_neg" localSheetId="65" hidden="1">1</definedName>
    <definedName name="solver_neg" localSheetId="67" hidden="1">2</definedName>
    <definedName name="solver_neg" localSheetId="19" hidden="1">1</definedName>
    <definedName name="solver_neg" localSheetId="68" hidden="1">1</definedName>
    <definedName name="solver_neg" localSheetId="69" hidden="1">2</definedName>
    <definedName name="solver_neg" localSheetId="70" hidden="1">2</definedName>
    <definedName name="solver_neg" localSheetId="71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7" hidden="1">1</definedName>
    <definedName name="solver_nod" localSheetId="2" hidden="1">2147483647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2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59" hidden="1">2147483647</definedName>
    <definedName name="solver_nod" localSheetId="68" hidden="1">2147483647</definedName>
    <definedName name="solver_nod" localSheetId="69" hidden="1">2147483647</definedName>
    <definedName name="solver_num" localSheetId="76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6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42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3" hidden="1">3</definedName>
    <definedName name="solver_num" localSheetId="44" hidden="1">4</definedName>
    <definedName name="solver_num" localSheetId="45" hidden="1">4</definedName>
    <definedName name="solver_num" localSheetId="46" hidden="1">4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3</definedName>
    <definedName name="solver_num" localSheetId="52" hidden="1">2</definedName>
    <definedName name="solver_num" localSheetId="18" hidden="1">8</definedName>
    <definedName name="solver_num" localSheetId="53" hidden="1">3</definedName>
    <definedName name="solver_num" localSheetId="55" hidden="1">3</definedName>
    <definedName name="solver_num" localSheetId="54" hidden="1">0</definedName>
    <definedName name="solver_num" localSheetId="56" hidden="1">4</definedName>
    <definedName name="solver_num" localSheetId="57" hidden="1">4</definedName>
    <definedName name="solver_num" localSheetId="58" hidden="1">1</definedName>
    <definedName name="solver_num" localSheetId="59" hidden="1">6</definedName>
    <definedName name="solver_num" localSheetId="60" hidden="1">2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5" hidden="1">2</definedName>
    <definedName name="solver_num" localSheetId="67" hidden="1">3</definedName>
    <definedName name="solver_num" localSheetId="19" hidden="1">9</definedName>
    <definedName name="solver_num" localSheetId="68" hidden="1">0</definedName>
    <definedName name="solver_num" localSheetId="69" hidden="1">0</definedName>
    <definedName name="solver_num" localSheetId="70" hidden="1">0</definedName>
    <definedName name="solver_num" localSheetId="71" hidden="1">3</definedName>
    <definedName name="solver_num" localSheetId="73" hidden="1">4</definedName>
    <definedName name="solver_num" localSheetId="74" hidden="1">3</definedName>
    <definedName name="solver_num" localSheetId="75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7" hidden="1">7</definedName>
    <definedName name="solver_nwt" localSheetId="76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4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18" hidden="1">1</definedName>
    <definedName name="solver_nwt" localSheetId="53" hidden="1">1</definedName>
    <definedName name="solver_nwt" localSheetId="55" hidden="1">1</definedName>
    <definedName name="solver_nwt" localSheetId="54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5" hidden="1">1</definedName>
    <definedName name="solver_nwt" localSheetId="67" hidden="1">1</definedName>
    <definedName name="solver_nwt" localSheetId="19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1" hidden="1">1</definedName>
    <definedName name="solver_nwt" localSheetId="73" hidden="1">1</definedName>
    <definedName name="solver_nwt" localSheetId="74" hidden="1">1</definedName>
    <definedName name="solver_nwt" localSheetId="75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7" hidden="1">1</definedName>
    <definedName name="solver_opt" localSheetId="76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Test15e_Relax!$H$9</definedName>
    <definedName name="solver_opt" localSheetId="38" hidden="1">Test16!$H$10</definedName>
    <definedName name="solver_opt" localSheetId="39" hidden="1">Test16b!$H$10</definedName>
    <definedName name="solver_opt" localSheetId="40" hidden="1">Test17!$H$10</definedName>
    <definedName name="solver_opt" localSheetId="41" hidden="1">Test18!$H$8</definedName>
    <definedName name="solver_opt" localSheetId="42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3" hidden="1">Test20!$H$9</definedName>
    <definedName name="solver_opt" localSheetId="44" hidden="1">Test21!$H$9</definedName>
    <definedName name="solver_opt" localSheetId="45" hidden="1">Test22!$H$9</definedName>
    <definedName name="solver_opt" localSheetId="46" hidden="1">Test23!$H$9</definedName>
    <definedName name="solver_opt" localSheetId="47" hidden="1">Test24_IterativeCalc!$H$7</definedName>
    <definedName name="solver_opt" localSheetId="48" hidden="1">Test25!$H$9</definedName>
    <definedName name="solver_opt" localSheetId="50" hidden="1">Test27_Parameters!$H$6</definedName>
    <definedName name="solver_opt" localSheetId="51" hidden="1">Test28_CBCOptions!$H$15</definedName>
    <definedName name="solver_opt" localSheetId="52" hidden="1">Test29!$H$6</definedName>
    <definedName name="solver_opt" localSheetId="18" hidden="1">Test3!$I$6</definedName>
    <definedName name="solver_opt" localSheetId="53" hidden="1">Test30!$K$6</definedName>
    <definedName name="solver_opt" localSheetId="55" hidden="1">Test31!$G$6</definedName>
    <definedName name="solver_opt" localSheetId="56" hidden="1">Test32!$I$6</definedName>
    <definedName name="solver_opt" localSheetId="57" hidden="1">Test33!$H$6</definedName>
    <definedName name="solver_opt" localSheetId="58" hidden="1">Test34!$F$4</definedName>
    <definedName name="solver_opt" localSheetId="59" hidden="1">Test35!$F$6</definedName>
    <definedName name="solver_opt" localSheetId="60" hidden="1">Test36!$G$6</definedName>
    <definedName name="solver_opt" localSheetId="61" hidden="1">Test37!$I$6</definedName>
    <definedName name="solver_opt" localSheetId="62" hidden="1">Test38!$S$13</definedName>
    <definedName name="solver_opt" localSheetId="65" hidden="1">Test39_SensNames!$D$20</definedName>
    <definedName name="solver_opt" localSheetId="67" hidden="1">Test39_SensNames2!$D$20</definedName>
    <definedName name="solver_opt" localSheetId="19" hidden="1">Test4!$I$7</definedName>
    <definedName name="solver_opt" localSheetId="68" hidden="1">Test40!$D$16</definedName>
    <definedName name="solver_opt" localSheetId="69" hidden="1">Test41!$J$7</definedName>
    <definedName name="solver_opt" localSheetId="70" hidden="1">Test42!$F$15</definedName>
    <definedName name="solver_opt" localSheetId="71" hidden="1">Test43!$G$4</definedName>
    <definedName name="solver_opt" localSheetId="73" hidden="1">Test44_Seek!$G$4</definedName>
    <definedName name="solver_opt" localSheetId="74" hidden="1">'Test45_SheetName(1)+2-1'!$H$6</definedName>
    <definedName name="solver_opt" localSheetId="75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7" hidden="1">TestNewAutomodel!$C$9</definedName>
    <definedName name="solver_pre" localSheetId="76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4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18" hidden="1">0.000001</definedName>
    <definedName name="solver_pre" localSheetId="53" hidden="1">0.000001</definedName>
    <definedName name="solver_pre" localSheetId="55" hidden="1">0.000001</definedName>
    <definedName name="solver_pre" localSheetId="54" hidden="1">0.000001</definedName>
    <definedName name="solver_pre" localSheetId="56" hidden="1">0.000001</definedName>
    <definedName name="solver_pre" localSheetId="57" hidden="1">0.000001</definedName>
    <definedName name="solver_pre" localSheetId="58" hidden="1">0.00001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0.0001</definedName>
    <definedName name="solver_pre" localSheetId="67" hidden="1">0.00001</definedName>
    <definedName name="solver_pre" localSheetId="19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1" hidden="1">0.000001</definedName>
    <definedName name="solver_pre" localSheetId="73" hidden="1">0.000001</definedName>
    <definedName name="solver_pre" localSheetId="74" hidden="1">0.000001</definedName>
    <definedName name="solver_pre" localSheetId="75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7" hidden="1">0.000001</definedName>
    <definedName name="solver_rbv" localSheetId="2" hidden="1">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2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59" hidden="1">1</definedName>
    <definedName name="solver_rbv" localSheetId="68" hidden="1">1</definedName>
    <definedName name="solver_rbv" localSheetId="69" hidden="1">1</definedName>
    <definedName name="solver_rel1" localSheetId="76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42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1</definedName>
    <definedName name="solver_rel1" localSheetId="47" hidden="1">2</definedName>
    <definedName name="solver_rel1" localSheetId="48" hidden="1">1</definedName>
    <definedName name="solver_rel1" localSheetId="49" hidden="1">3</definedName>
    <definedName name="solver_rel1" localSheetId="50" hidden="1">1</definedName>
    <definedName name="solver_rel1" localSheetId="51" hidden="1">2</definedName>
    <definedName name="solver_rel1" localSheetId="52" hidden="1">1</definedName>
    <definedName name="solver_rel1" localSheetId="18" hidden="1">1</definedName>
    <definedName name="solver_rel1" localSheetId="53" hidden="1">1</definedName>
    <definedName name="solver_rel1" localSheetId="55" hidden="1">1</definedName>
    <definedName name="solver_rel1" localSheetId="56" hidden="1">2</definedName>
    <definedName name="solver_rel1" localSheetId="57" hidden="1">1</definedName>
    <definedName name="solver_rel1" localSheetId="58" hidden="1">3</definedName>
    <definedName name="solver_rel1" localSheetId="59" hidden="1">1</definedName>
    <definedName name="solver_rel1" localSheetId="60" hidden="1">4</definedName>
    <definedName name="solver_rel1" localSheetId="61" hidden="1">1</definedName>
    <definedName name="solver_rel1" localSheetId="62" hidden="1">1</definedName>
    <definedName name="solver_rel1" localSheetId="65" hidden="1">1</definedName>
    <definedName name="solver_rel1" localSheetId="67" hidden="1">1</definedName>
    <definedName name="solver_rel1" localSheetId="19" hidden="1">1</definedName>
    <definedName name="solver_rel1" localSheetId="71" hidden="1">2</definedName>
    <definedName name="solver_rel1" localSheetId="73" hidden="1">2</definedName>
    <definedName name="solver_rel1" localSheetId="74" hidden="1">2</definedName>
    <definedName name="solver_rel1" localSheetId="75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7" hidden="1">1</definedName>
    <definedName name="solver_rel10" localSheetId="31" hidden="1">3</definedName>
    <definedName name="solver_rel10" localSheetId="52" hidden="1">3</definedName>
    <definedName name="solver_rel10" localSheetId="57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7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7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7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7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6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42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1</definedName>
    <definedName name="solver_rel2" localSheetId="48" hidden="1">1</definedName>
    <definedName name="solver_rel2" localSheetId="49" hidden="1">2</definedName>
    <definedName name="solver_rel2" localSheetId="50" hidden="1">3</definedName>
    <definedName name="solver_rel2" localSheetId="51" hidden="1">1</definedName>
    <definedName name="solver_rel2" localSheetId="52" hidden="1">3</definedName>
    <definedName name="solver_rel2" localSheetId="18" hidden="1">1</definedName>
    <definedName name="solver_rel2" localSheetId="53" hidden="1">1</definedName>
    <definedName name="solver_rel2" localSheetId="55" hidden="1">1</definedName>
    <definedName name="solver_rel2" localSheetId="56" hidden="1">1</definedName>
    <definedName name="solver_rel2" localSheetId="57" hidden="1">1</definedName>
    <definedName name="solver_rel2" localSheetId="58" hidden="1">5</definedName>
    <definedName name="solver_rel2" localSheetId="59" hidden="1">1</definedName>
    <definedName name="solver_rel2" localSheetId="60" hidden="1">1</definedName>
    <definedName name="solver_rel2" localSheetId="61" hidden="1">3</definedName>
    <definedName name="solver_rel2" localSheetId="62" hidden="1">3</definedName>
    <definedName name="solver_rel2" localSheetId="65" hidden="1">2</definedName>
    <definedName name="solver_rel2" localSheetId="67" hidden="1">2</definedName>
    <definedName name="solver_rel2" localSheetId="19" hidden="1">1</definedName>
    <definedName name="solver_rel2" localSheetId="71" hidden="1">1</definedName>
    <definedName name="solver_rel2" localSheetId="73" hidden="1">3</definedName>
    <definedName name="solver_rel2" localSheetId="74" hidden="1">1</definedName>
    <definedName name="solver_rel2" localSheetId="75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7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6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42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3</definedName>
    <definedName name="solver_rel3" localSheetId="49" hidden="1">1</definedName>
    <definedName name="solver_rel3" localSheetId="50" hidden="1">3</definedName>
    <definedName name="solver_rel3" localSheetId="51" hidden="1">3</definedName>
    <definedName name="solver_rel3" localSheetId="52" hidden="1">3</definedName>
    <definedName name="solver_rel3" localSheetId="18" hidden="1">1</definedName>
    <definedName name="solver_rel3" localSheetId="53" hidden="1">3</definedName>
    <definedName name="solver_rel3" localSheetId="55" hidden="1">3</definedName>
    <definedName name="solver_rel3" localSheetId="56" hidden="1">1</definedName>
    <definedName name="solver_rel3" localSheetId="57" hidden="1">3</definedName>
    <definedName name="solver_rel3" localSheetId="59" hidden="1">3</definedName>
    <definedName name="solver_rel3" localSheetId="67" hidden="1">3</definedName>
    <definedName name="solver_rel3" localSheetId="19" hidden="1">3</definedName>
    <definedName name="solver_rel3" localSheetId="71" hidden="1">3</definedName>
    <definedName name="solver_rel3" localSheetId="73" hidden="1">1</definedName>
    <definedName name="solver_rel3" localSheetId="74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7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6" hidden="1">1</definedName>
    <definedName name="solver_rel4" localSheetId="21" hidden="1">2</definedName>
    <definedName name="solver_rel4" localSheetId="2" hidden="1">1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42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3</definedName>
    <definedName name="solver_rel4" localSheetId="47" hidden="1">2</definedName>
    <definedName name="solver_rel4" localSheetId="49" hidden="1">2</definedName>
    <definedName name="solver_rel4" localSheetId="50" hidden="1">4</definedName>
    <definedName name="solver_rel4" localSheetId="51" hidden="1">2</definedName>
    <definedName name="solver_rel4" localSheetId="52" hidden="1">1</definedName>
    <definedName name="solver_rel4" localSheetId="18" hidden="1">3</definedName>
    <definedName name="solver_rel4" localSheetId="55" hidden="1">4</definedName>
    <definedName name="solver_rel4" localSheetId="56" hidden="1">3</definedName>
    <definedName name="solver_rel4" localSheetId="57" hidden="1">3</definedName>
    <definedName name="solver_rel4" localSheetId="59" hidden="1">3</definedName>
    <definedName name="solver_rel4" localSheetId="19" hidden="1">5</definedName>
    <definedName name="solver_rel4" localSheetId="71" hidden="1">1</definedName>
    <definedName name="solver_rel4" localSheetId="73" hidden="1">1</definedName>
    <definedName name="solver_rel4" localSheetId="74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7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6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5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42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7" hidden="1">1</definedName>
    <definedName name="solver_rel5" localSheetId="49" hidden="1">1</definedName>
    <definedName name="solver_rel5" localSheetId="50" hidden="1">2</definedName>
    <definedName name="solver_rel5" localSheetId="52" hidden="1">3</definedName>
    <definedName name="solver_rel5" localSheetId="18" hidden="1">3</definedName>
    <definedName name="solver_rel5" localSheetId="57" hidden="1">3</definedName>
    <definedName name="solver_rel5" localSheetId="59" hidden="1">1</definedName>
    <definedName name="solver_rel5" localSheetId="19" hidden="1">4</definedName>
    <definedName name="solver_rel5" localSheetId="74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7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6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4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42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3</definedName>
    <definedName name="solver_rel6" localSheetId="47" hidden="1">5</definedName>
    <definedName name="solver_rel6" localSheetId="49" hidden="1">5</definedName>
    <definedName name="solver_rel6" localSheetId="50" hidden="1">5</definedName>
    <definedName name="solver_rel6" localSheetId="52" hidden="1">1</definedName>
    <definedName name="solver_rel6" localSheetId="18" hidden="1">4</definedName>
    <definedName name="solver_rel6" localSheetId="57" hidden="1">1</definedName>
    <definedName name="solver_rel6" localSheetId="59" hidden="1">1</definedName>
    <definedName name="solver_rel6" localSheetId="19" hidden="1">1</definedName>
    <definedName name="solver_rel6" localSheetId="74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7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6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42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7" hidden="1">4</definedName>
    <definedName name="solver_rel7" localSheetId="49" hidden="1">4</definedName>
    <definedName name="solver_rel7" localSheetId="50" hidden="1">4</definedName>
    <definedName name="solver_rel7" localSheetId="52" hidden="1">4</definedName>
    <definedName name="solver_rel7" localSheetId="18" hidden="1">5</definedName>
    <definedName name="solver_rel7" localSheetId="57" hidden="1">3</definedName>
    <definedName name="solver_rel7" localSheetId="19" hidden="1">1</definedName>
    <definedName name="solver_rel7" localSheetId="74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7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6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42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7" hidden="1">5</definedName>
    <definedName name="solver_rel8" localSheetId="49" hidden="1">5</definedName>
    <definedName name="solver_rel8" localSheetId="50" hidden="1">5</definedName>
    <definedName name="solver_rel8" localSheetId="52" hidden="1">1</definedName>
    <definedName name="solver_rel8" localSheetId="18" hidden="1">5</definedName>
    <definedName name="solver_rel8" localSheetId="57" hidden="1">3</definedName>
    <definedName name="solver_rel8" localSheetId="19" hidden="1">3</definedName>
    <definedName name="solver_rel8" localSheetId="74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6" hidden="1">3</definedName>
    <definedName name="solver_rel9" localSheetId="31" hidden="1">3</definedName>
    <definedName name="solver_rel9" localSheetId="52" hidden="1">3</definedName>
    <definedName name="solver_rel9" localSheetId="57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6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Test15e_Relax!$J$13</definedName>
    <definedName name="solver_rhs1" localSheetId="38" hidden="1">Test16!$D$8:$H$8</definedName>
    <definedName name="solver_rhs1" localSheetId="39" hidden="1">Test16b!$E$8:$H$8</definedName>
    <definedName name="solver_rhs1" localSheetId="40" hidden="1">Test17!$D$8:$H$8</definedName>
    <definedName name="solver_rhs1" localSheetId="41" hidden="1">Test18!$D$6:$F$6</definedName>
    <definedName name="solver_rhs1" localSheetId="42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3" hidden="1">Test20!$J$11</definedName>
    <definedName name="solver_rhs1" localSheetId="44" hidden="1">-10</definedName>
    <definedName name="solver_rhs1" localSheetId="45" hidden="1">-10*2</definedName>
    <definedName name="solver_rhs1" localSheetId="46" hidden="1">Test23!$D$5</definedName>
    <definedName name="solver_rhs1" localSheetId="47" hidden="1">Test24_IterativeCalc!$J$12</definedName>
    <definedName name="solver_rhs1" localSheetId="48" hidden="1">Test25!$J$11:$J$12</definedName>
    <definedName name="solver_rhs1" localSheetId="49" hidden="1">Test26!$J$11</definedName>
    <definedName name="solver_rhs1" localSheetId="50" hidden="1">Test27_Parameters!$J$8</definedName>
    <definedName name="solver_rhs1" localSheetId="51" hidden="1">Test28_CBCOptions!$J$20</definedName>
    <definedName name="solver_rhs1" localSheetId="52" hidden="1">Test29!$J$11</definedName>
    <definedName name="solver_rhs1" localSheetId="18" hidden="1">Test3!$U$3:$U$4</definedName>
    <definedName name="solver_rhs1" localSheetId="53" hidden="1">Test30!$M$8</definedName>
    <definedName name="solver_rhs1" localSheetId="55" hidden="1">Test31!$I$8</definedName>
    <definedName name="solver_rhs1" localSheetId="56" hidden="1">Test32!$K$12</definedName>
    <definedName name="solver_rhs1" localSheetId="57" hidden="1">Test33!$J$8</definedName>
    <definedName name="solver_rhs1" localSheetId="58" hidden="1">Test34!$G$6:$G$7</definedName>
    <definedName name="solver_rhs1" localSheetId="59" hidden="1">Test35!$H$8</definedName>
    <definedName name="solver_rhs1" localSheetId="60" hidden="1">integer</definedName>
    <definedName name="solver_rhs1" localSheetId="61" hidden="1">Test37!$K$7:$K$9</definedName>
    <definedName name="solver_rhs1" localSheetId="62" hidden="1">Test38!$U$10:$U$11</definedName>
    <definedName name="solver_rhs1" localSheetId="65" hidden="1">Test39_SensNames!$J$14:$J$16</definedName>
    <definedName name="solver_rhs1" localSheetId="67" hidden="1">Test39_SensNames2!$J$14:$J$16</definedName>
    <definedName name="solver_rhs1" localSheetId="19" hidden="1">Test4!$K$9</definedName>
    <definedName name="solver_rhs1" localSheetId="71" hidden="1">Test43!$I$6</definedName>
    <definedName name="solver_rhs1" localSheetId="73" hidden="1">Test44_Seek!$I$6</definedName>
    <definedName name="solver_rhs1" localSheetId="74" hidden="1">'Test45_SheetName(1)+2-1'!$J$11</definedName>
    <definedName name="solver_rhs1" localSheetId="75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7" hidden="1">TestNewAutomodel!$D$20</definedName>
    <definedName name="solver_rhs10" localSheetId="31" hidden="1">Test13b!$J$16</definedName>
    <definedName name="solver_rhs10" localSheetId="52" hidden="1">-20</definedName>
    <definedName name="solver_rhs10" localSheetId="57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7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7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7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7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6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Test15e_Relax!$J$12</definedName>
    <definedName name="solver_rhs2" localSheetId="38" hidden="1">Test16!$J$12</definedName>
    <definedName name="solver_rhs2" localSheetId="39" hidden="1">Test16b!$J$12</definedName>
    <definedName name="solver_rhs2" localSheetId="40" hidden="1">Test17!$J$12</definedName>
    <definedName name="solver_rhs2" localSheetId="41" hidden="1">Test18!$J$10</definedName>
    <definedName name="solver_rhs2" localSheetId="42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3" hidden="1">Test20!$J$12</definedName>
    <definedName name="solver_rhs2" localSheetId="44" hidden="1">Test21!$J$11</definedName>
    <definedName name="solver_rhs2" localSheetId="45" hidden="1">Test22!$J$11</definedName>
    <definedName name="solver_rhs2" localSheetId="46" hidden="1">Test23!$J$11</definedName>
    <definedName name="solver_rhs2" localSheetId="47" hidden="1">Test24_IterativeCalc!$J$9:$J$10</definedName>
    <definedName name="solver_rhs2" localSheetId="48" hidden="1">Test25!$J$14</definedName>
    <definedName name="solver_rhs2" localSheetId="49" hidden="1">Test26!$J$12</definedName>
    <definedName name="solver_rhs2" localSheetId="50" hidden="1">Test27_Parameters!$J$9</definedName>
    <definedName name="solver_rhs2" localSheetId="51" hidden="1">Test28_CBCOptions!$J$17:$J$18</definedName>
    <definedName name="solver_rhs2" localSheetId="52" hidden="1">Test29!$J$8:$J$10</definedName>
    <definedName name="solver_rhs2" localSheetId="18" hidden="1">Test3!$K$8:$K$9</definedName>
    <definedName name="solver_rhs2" localSheetId="53" hidden="1">Test30!$M$10:$M$11</definedName>
    <definedName name="solver_rhs2" localSheetId="55" hidden="1">Test31!$I$10:$I$11</definedName>
    <definedName name="solver_rhs2" localSheetId="56" hidden="1">Test32!$K$8</definedName>
    <definedName name="solver_rhs2" localSheetId="57" hidden="1">Test33!$J$10:$J$11</definedName>
    <definedName name="solver_rhs2" localSheetId="58" hidden="1">binary</definedName>
    <definedName name="solver_rhs2" localSheetId="59" hidden="1">Test35!$H$9</definedName>
    <definedName name="solver_rhs2" localSheetId="60" hidden="1">Test36!$I$8</definedName>
    <definedName name="solver_rhs2" localSheetId="61" hidden="1">-6</definedName>
    <definedName name="solver_rhs2" localSheetId="62" hidden="1">Test38!$Q$10:$Q$11</definedName>
    <definedName name="solver_rhs2" localSheetId="65" hidden="1">Test39_SensNames!$D$18:$H$18</definedName>
    <definedName name="solver_rhs2" localSheetId="67" hidden="1">Test39_SensNames2!$D$18:$H$18</definedName>
    <definedName name="solver_rhs2" localSheetId="19" hidden="1">Test4!$K$10</definedName>
    <definedName name="solver_rhs2" localSheetId="71" hidden="1">Test43!$I$8:$I$9</definedName>
    <definedName name="solver_rhs2" localSheetId="73" hidden="1">Test44_Seek!$I$7</definedName>
    <definedName name="solver_rhs2" localSheetId="74" hidden="1">'Test45_SheetName(1)+2-1'!$J$8:$J$9</definedName>
    <definedName name="solver_rhs2" localSheetId="75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7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6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Test15e_Relax!$J$11</definedName>
    <definedName name="solver_rhs3" localSheetId="38" hidden="1">Test16!$J$13</definedName>
    <definedName name="solver_rhs3" localSheetId="39" hidden="1">Test16b!$J$13</definedName>
    <definedName name="solver_rhs3" localSheetId="40" hidden="1">Test17!$J$13</definedName>
    <definedName name="solver_rhs3" localSheetId="41" hidden="1">Test18!$J$11</definedName>
    <definedName name="solver_rhs3" localSheetId="42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3" hidden="1">Test20!$J$13</definedName>
    <definedName name="solver_rhs3" localSheetId="44" hidden="1">Test21!$J$12</definedName>
    <definedName name="solver_rhs3" localSheetId="45" hidden="1">Test22!$J$12</definedName>
    <definedName name="solver_rhs3" localSheetId="46" hidden="1">Test23!$J$12</definedName>
    <definedName name="solver_rhs3" localSheetId="47" hidden="1">Test24_IterativeCalc!$J$11</definedName>
    <definedName name="solver_rhs3" localSheetId="48" hidden="1">Test25!$J$13</definedName>
    <definedName name="solver_rhs3" localSheetId="49" hidden="1">Test26!$J$9:$J$10</definedName>
    <definedName name="solver_rhs3" localSheetId="50" hidden="1">Test27_Parameters!$J$10</definedName>
    <definedName name="solver_rhs3" localSheetId="51" hidden="1">Test28_CBCOptions!$J$19</definedName>
    <definedName name="solver_rhs3" localSheetId="52" hidden="1">Test29!$J$9</definedName>
    <definedName name="solver_rhs3" localSheetId="18" hidden="1">Test3!$K$11</definedName>
    <definedName name="solver_rhs3" localSheetId="53" hidden="1">Test30!$M$9</definedName>
    <definedName name="solver_rhs3" localSheetId="55" hidden="1">Test31!$I$9</definedName>
    <definedName name="solver_rhs3" localSheetId="56" hidden="1">Test32!$K$10:$K$11</definedName>
    <definedName name="solver_rhs3" localSheetId="57" hidden="1">Test33!$J$9</definedName>
    <definedName name="solver_rhs3" localSheetId="59" hidden="1">Test35!$H$10</definedName>
    <definedName name="solver_rhs3" localSheetId="67" hidden="1">0</definedName>
    <definedName name="solver_rhs3" localSheetId="19" hidden="1">Test4!$K$11</definedName>
    <definedName name="solver_rhs3" localSheetId="71" hidden="1">Test43!$I$7</definedName>
    <definedName name="solver_rhs3" localSheetId="73" hidden="1">Test44_Seek!$I$8</definedName>
    <definedName name="solver_rhs3" localSheetId="74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7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6" hidden="1">12</definedName>
    <definedName name="solver_rhs4" localSheetId="21" hidden="1">'Test!6'!$J$12</definedName>
    <definedName name="solver_rhs4" localSheetId="2" hidden="1">Test1!$J$8:$J$9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Test15e_Relax!$E$7</definedName>
    <definedName name="solver_rhs4" localSheetId="38" hidden="1">Test16!$J$14</definedName>
    <definedName name="solver_rhs4" localSheetId="39" hidden="1">Test16b!$J$14</definedName>
    <definedName name="solver_rhs4" localSheetId="40" hidden="1">Test17!$J$14</definedName>
    <definedName name="solver_rhs4" localSheetId="41" hidden="1">Test18!$J$12</definedName>
    <definedName name="solver_rhs4" localSheetId="42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3" hidden="1">Test20!$D$7:$F$7</definedName>
    <definedName name="solver_rhs4" localSheetId="44" hidden="1">Test21!$J$13</definedName>
    <definedName name="solver_rhs4" localSheetId="45" hidden="1">Test22!$J$13</definedName>
    <definedName name="solver_rhs4" localSheetId="46" hidden="1">Test23!$J$13</definedName>
    <definedName name="solver_rhs4" localSheetId="47" hidden="1">Test24_IterativeCalc!$J$12</definedName>
    <definedName name="solver_rhs4" localSheetId="49" hidden="1">Test26!$J$12</definedName>
    <definedName name="solver_rhs4" localSheetId="50" hidden="1">integer</definedName>
    <definedName name="solver_rhs4" localSheetId="51" hidden="1">Test28_CBCOptions!$J$20</definedName>
    <definedName name="solver_rhs4" localSheetId="52" hidden="1">Test29!$J$10:$J$11</definedName>
    <definedName name="solver_rhs4" localSheetId="18" hidden="1">Test3!$Q$7:$R$7</definedName>
    <definedName name="solver_rhs4" localSheetId="55" hidden="1">integer</definedName>
    <definedName name="solver_rhs4" localSheetId="56" hidden="1">Test32!$K$9</definedName>
    <definedName name="solver_rhs4" localSheetId="57" hidden="1">Test33!$J$12</definedName>
    <definedName name="solver_rhs4" localSheetId="59" hidden="1">Test35!$H$11</definedName>
    <definedName name="solver_rhs4" localSheetId="19" hidden="1">binary</definedName>
    <definedName name="solver_rhs4" localSheetId="71" hidden="1">Test43!$I$9</definedName>
    <definedName name="solver_rhs4" localSheetId="73" hidden="1">Test44_Seek!$I$9</definedName>
    <definedName name="solver_rhs4" localSheetId="74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7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6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binary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42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7" hidden="1">2</definedName>
    <definedName name="solver_rhs5" localSheetId="49" hidden="1">2</definedName>
    <definedName name="solver_rhs5" localSheetId="50" hidden="1">Test27_Parameters!$J$11</definedName>
    <definedName name="solver_rhs5" localSheetId="52" hidden="1">3</definedName>
    <definedName name="solver_rhs5" localSheetId="18" hidden="1">Test3!$K$10</definedName>
    <definedName name="solver_rhs5" localSheetId="57" hidden="1">6</definedName>
    <definedName name="solver_rhs5" localSheetId="59" hidden="1">Test35!$H$12:$H$17</definedName>
    <definedName name="solver_rhs5" localSheetId="19" hidden="1">integer</definedName>
    <definedName name="solver_rhs5" localSheetId="74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7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6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integer</definedName>
    <definedName name="solver_rhs6" localSheetId="38" hidden="1">Test16!$D$8:$F$8</definedName>
    <definedName name="solver_rhs6" localSheetId="39" hidden="1">Test16b!$D$8:$F$8</definedName>
    <definedName name="solver_rhs6" localSheetId="40" hidden="1">Test17!$D$8:$F$8</definedName>
    <definedName name="solver_rhs6" localSheetId="41" hidden="1">Test18!$D$6:$F$6</definedName>
    <definedName name="solver_rhs6" localSheetId="42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3" hidden="1">Test20!$D$7:$F$7</definedName>
    <definedName name="solver_rhs6" localSheetId="44" hidden="1">Test21!$D$7:$F$7</definedName>
    <definedName name="solver_rhs6" localSheetId="45" hidden="1">Test22!$D$7:$F$7</definedName>
    <definedName name="solver_rhs6" localSheetId="46" hidden="1">Test23!$D$7:$F$7</definedName>
    <definedName name="solver_rhs6" localSheetId="47" hidden="1">binary</definedName>
    <definedName name="solver_rhs6" localSheetId="49" hidden="1">binary</definedName>
    <definedName name="solver_rhs6" localSheetId="50" hidden="1">binary</definedName>
    <definedName name="solver_rhs6" localSheetId="52" hidden="1">12</definedName>
    <definedName name="solver_rhs6" localSheetId="18" hidden="1">integer</definedName>
    <definedName name="solver_rhs6" localSheetId="57" hidden="1">8</definedName>
    <definedName name="solver_rhs6" localSheetId="59" hidden="1">Test35!$H$18</definedName>
    <definedName name="solver_rhs6" localSheetId="19" hidden="1">Test4!$K$12</definedName>
    <definedName name="solver_rhs6" localSheetId="74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7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6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42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7" hidden="1">integer</definedName>
    <definedName name="solver_rhs7" localSheetId="49" hidden="1">integer</definedName>
    <definedName name="solver_rhs7" localSheetId="50" hidden="1">integer</definedName>
    <definedName name="solver_rhs7" localSheetId="52" hidden="1">integer</definedName>
    <definedName name="solver_rhs7" localSheetId="18" hidden="1">binary</definedName>
    <definedName name="solver_rhs7" localSheetId="57" hidden="1">5</definedName>
    <definedName name="solver_rhs7" localSheetId="19" hidden="1">Test4!$U$4:$U$5</definedName>
    <definedName name="solver_rhs7" localSheetId="74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7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6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42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7" hidden="1">binary</definedName>
    <definedName name="solver_rhs8" localSheetId="49" hidden="1">binary</definedName>
    <definedName name="solver_rhs8" localSheetId="50" hidden="1">binary</definedName>
    <definedName name="solver_rhs8" localSheetId="52" hidden="1">4</definedName>
    <definedName name="solver_rhs8" localSheetId="18" hidden="1">binary</definedName>
    <definedName name="solver_rhs8" localSheetId="57" hidden="1">4</definedName>
    <definedName name="solver_rhs8" localSheetId="19" hidden="1">Test4!$Q$8:$R$8</definedName>
    <definedName name="solver_rhs8" localSheetId="74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6" hidden="1">HighlightingExample!#REF!</definedName>
    <definedName name="solver_rhs9" localSheetId="31" hidden="1">Test13b!$J$15</definedName>
    <definedName name="solver_rhs9" localSheetId="52" hidden="1">Test29!$J$9</definedName>
    <definedName name="solver_rhs9" localSheetId="57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1" hidden="1">2</definedName>
    <definedName name="solver_rlx" localSheetId="21" hidden="1">2</definedName>
    <definedName name="solver_rlx" localSheetId="2" hidden="1">2</definedName>
    <definedName name="solver_rlx" localSheetId="27" hidden="1">2</definedName>
    <definedName name="solver_rlx" localSheetId="28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1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12" hidden="1">2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47" hidden="1">2</definedName>
    <definedName name="solver_rlx" localSheetId="48" hidden="1">2</definedName>
    <definedName name="solver_rlx" localSheetId="49" hidden="1">2</definedName>
    <definedName name="solver_rlx" localSheetId="50" hidden="1">2</definedName>
    <definedName name="solver_rlx" localSheetId="51" hidden="1">2</definedName>
    <definedName name="solver_rlx" localSheetId="52" hidden="1">2</definedName>
    <definedName name="solver_rlx" localSheetId="18" hidden="1">2</definedName>
    <definedName name="solver_rlx" localSheetId="53" hidden="1">2</definedName>
    <definedName name="solver_rlx" localSheetId="55" hidden="1">2</definedName>
    <definedName name="solver_rlx" localSheetId="56" hidden="1">2</definedName>
    <definedName name="solver_rlx" localSheetId="57" hidden="1">2</definedName>
    <definedName name="solver_rlx" localSheetId="58" hidden="1">2</definedName>
    <definedName name="solver_rlx" localSheetId="59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5" hidden="1">2</definedName>
    <definedName name="solver_rlx" localSheetId="67" hidden="1">2</definedName>
    <definedName name="solver_rlx" localSheetId="19" hidden="1">2</definedName>
    <definedName name="solver_rlx" localSheetId="68" hidden="1">2</definedName>
    <definedName name="solver_rlx" localSheetId="69" hidden="1">2</definedName>
    <definedName name="solver_rlx" localSheetId="70" hidden="1">2</definedName>
    <definedName name="solver_rlx" localSheetId="71" hidden="1">2</definedName>
    <definedName name="solver_rlx" localSheetId="73" hidden="1">2</definedName>
    <definedName name="solver_rlx" localSheetId="74" hidden="1">2</definedName>
    <definedName name="solver_rlx" localSheetId="75" hidden="1">2</definedName>
    <definedName name="solver_rlx" localSheetId="20" hidden="1">2</definedName>
    <definedName name="solver_rlx" localSheetId="22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6" hidden="1">2</definedName>
    <definedName name="solver_rsd" localSheetId="2" hidden="1">0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2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59" hidden="1">0</definedName>
    <definedName name="solver_rsd" localSheetId="68" hidden="1">0</definedName>
    <definedName name="solver_rsd" localSheetId="69" hidden="1">0</definedName>
    <definedName name="solver_scl" localSheetId="76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4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52" hidden="1">2</definedName>
    <definedName name="solver_scl" localSheetId="18" hidden="1">2</definedName>
    <definedName name="solver_scl" localSheetId="53" hidden="1">2</definedName>
    <definedName name="solver_scl" localSheetId="55" hidden="1">2</definedName>
    <definedName name="solver_scl" localSheetId="54" hidden="1">2</definedName>
    <definedName name="solver_scl" localSheetId="56" hidden="1">2</definedName>
    <definedName name="solver_scl" localSheetId="57" hidden="1">2</definedName>
    <definedName name="solver_scl" localSheetId="58" hidden="1">2</definedName>
    <definedName name="solver_scl" localSheetId="59" hidden="1">1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5" hidden="1">2</definedName>
    <definedName name="solver_scl" localSheetId="67" hidden="1">2</definedName>
    <definedName name="solver_scl" localSheetId="19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1" hidden="1">2</definedName>
    <definedName name="solver_scl" localSheetId="73" hidden="1">2</definedName>
    <definedName name="solver_scl" localSheetId="74" hidden="1">2</definedName>
    <definedName name="solver_scl" localSheetId="75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7" hidden="1">2</definedName>
    <definedName name="solver_sho" localSheetId="76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4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2</definedName>
    <definedName name="solver_sho" localSheetId="52" hidden="1">1</definedName>
    <definedName name="solver_sho" localSheetId="18" hidden="1">2</definedName>
    <definedName name="solver_sho" localSheetId="53" hidden="1">1</definedName>
    <definedName name="solver_sho" localSheetId="55" hidden="1">1</definedName>
    <definedName name="solver_sho" localSheetId="54" hidden="1">2</definedName>
    <definedName name="solver_sho" localSheetId="56" hidden="1">1</definedName>
    <definedName name="solver_sho" localSheetId="57" hidden="1">2</definedName>
    <definedName name="solver_sho" localSheetId="58" hidden="1">1</definedName>
    <definedName name="solver_sho" localSheetId="59" hidden="1">1</definedName>
    <definedName name="solver_sho" localSheetId="60" hidden="1">2</definedName>
    <definedName name="solver_sho" localSheetId="61" hidden="1">2</definedName>
    <definedName name="solver_sho" localSheetId="62" hidden="1">1</definedName>
    <definedName name="solver_sho" localSheetId="63" hidden="1">2</definedName>
    <definedName name="solver_sho" localSheetId="65" hidden="1">2</definedName>
    <definedName name="solver_sho" localSheetId="67" hidden="1">2</definedName>
    <definedName name="solver_sho" localSheetId="19" hidden="1">2</definedName>
    <definedName name="solver_sho" localSheetId="68" hidden="1">1</definedName>
    <definedName name="solver_sho" localSheetId="69" hidden="1">1</definedName>
    <definedName name="solver_sho" localSheetId="70" hidden="1">2</definedName>
    <definedName name="solver_sho" localSheetId="71" hidden="1">2</definedName>
    <definedName name="solver_sho" localSheetId="73" hidden="1">2</definedName>
    <definedName name="solver_sho" localSheetId="74" hidden="1">2</definedName>
    <definedName name="solver_sho" localSheetId="75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7" hidden="1">2</definedName>
    <definedName name="solver_ssz" localSheetId="2" hidden="1">100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2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59" hidden="1">100</definedName>
    <definedName name="solver_ssz" localSheetId="68" hidden="1">100</definedName>
    <definedName name="solver_ssz" localSheetId="69" hidden="1">100</definedName>
    <definedName name="solver_tim" localSheetId="76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4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100</definedName>
    <definedName name="solver_tim" localSheetId="47" hidden="1">999999999</definedName>
    <definedName name="solver_tim" localSheetId="48" hidden="1">999999999</definedName>
    <definedName name="solver_tim" localSheetId="49" hidden="1">999999999</definedName>
    <definedName name="solver_tim" localSheetId="50" hidden="1">100</definedName>
    <definedName name="solver_tim" localSheetId="51" hidden="1">100</definedName>
    <definedName name="solver_tim" localSheetId="52" hidden="1">999999999</definedName>
    <definedName name="solver_tim" localSheetId="18" hidden="1">100</definedName>
    <definedName name="solver_tim" localSheetId="53" hidden="1">999999999</definedName>
    <definedName name="solver_tim" localSheetId="55" hidden="1">999999999</definedName>
    <definedName name="solver_tim" localSheetId="54" hidden="1">9999999999</definedName>
    <definedName name="solver_tim" localSheetId="56" hidden="1">999999999</definedName>
    <definedName name="solver_tim" localSheetId="57" hidden="1">999999999</definedName>
    <definedName name="solver_tim" localSheetId="58" hidden="1">999999999</definedName>
    <definedName name="solver_tim" localSheetId="59" hidden="1">2000</definedName>
    <definedName name="solver_tim" localSheetId="60" hidden="1">100</definedName>
    <definedName name="solver_tim" localSheetId="61" hidden="1">100</definedName>
    <definedName name="solver_tim" localSheetId="62" hidden="1">999999999</definedName>
    <definedName name="solver_tim" localSheetId="63" hidden="1">9999999999</definedName>
    <definedName name="solver_tim" localSheetId="65" hidden="1">100</definedName>
    <definedName name="solver_tim" localSheetId="67" hidden="1">100</definedName>
    <definedName name="solver_tim" localSheetId="19" hidden="1">100</definedName>
    <definedName name="solver_tim" localSheetId="68" hidden="1">100</definedName>
    <definedName name="solver_tim" localSheetId="69" hidden="1">100</definedName>
    <definedName name="solver_tim" localSheetId="70" hidden="1">100</definedName>
    <definedName name="solver_tim" localSheetId="71" hidden="1">999999999</definedName>
    <definedName name="solver_tim" localSheetId="73" hidden="1">999999999</definedName>
    <definedName name="solver_tim" localSheetId="74" hidden="1">100</definedName>
    <definedName name="solver_tim" localSheetId="75" hidden="1">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7" hidden="1">100</definedName>
    <definedName name="solver_tol" localSheetId="76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4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52" hidden="1">0.05</definedName>
    <definedName name="solver_tol" localSheetId="18" hidden="1">0.05</definedName>
    <definedName name="solver_tol" localSheetId="53" hidden="1">0.05</definedName>
    <definedName name="solver_tol" localSheetId="55" hidden="1">0.05</definedName>
    <definedName name="solver_tol" localSheetId="54" hidden="1">0.05</definedName>
    <definedName name="solver_tol" localSheetId="56" hidden="1">0.05</definedName>
    <definedName name="solver_tol" localSheetId="57" hidden="1">0.05</definedName>
    <definedName name="solver_tol" localSheetId="58" hidden="1">0.05</definedName>
    <definedName name="solver_tol" localSheetId="59" hidden="1">0.0001</definedName>
    <definedName name="solver_tol" localSheetId="60" hidden="1">0.05</definedName>
    <definedName name="solver_tol" localSheetId="61" hidden="1">0.05</definedName>
    <definedName name="solver_tol" localSheetId="62" hidden="1">0.0001</definedName>
    <definedName name="solver_tol" localSheetId="63" hidden="1">0.05</definedName>
    <definedName name="solver_tol" localSheetId="65" hidden="1">0.05</definedName>
    <definedName name="solver_tol" localSheetId="67" hidden="1">0.05</definedName>
    <definedName name="solver_tol" localSheetId="19" hidden="1">0.05</definedName>
    <definedName name="solver_tol" localSheetId="68" hidden="1">0.05</definedName>
    <definedName name="solver_tol" localSheetId="69" hidden="1">0.0001</definedName>
    <definedName name="solver_tol" localSheetId="70" hidden="1">0.05</definedName>
    <definedName name="solver_tol" localSheetId="71" hidden="1">0.05</definedName>
    <definedName name="solver_tol" localSheetId="73" hidden="1">0.05</definedName>
    <definedName name="solver_tol" localSheetId="74" hidden="1">0.05</definedName>
    <definedName name="solver_tol" localSheetId="75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7" hidden="1">0.05</definedName>
    <definedName name="solver_typ" localSheetId="76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4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2</definedName>
    <definedName name="solver_typ" localSheetId="52" hidden="1">1</definedName>
    <definedName name="solver_typ" localSheetId="18" hidden="1">2</definedName>
    <definedName name="solver_typ" localSheetId="53" hidden="1">2</definedName>
    <definedName name="solver_typ" localSheetId="55" hidden="1">1</definedName>
    <definedName name="solver_typ" localSheetId="54" hidden="1">1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1</definedName>
    <definedName name="solver_typ" localSheetId="60" hidden="1">1</definedName>
    <definedName name="solver_typ" localSheetId="61" hidden="1">2</definedName>
    <definedName name="solver_typ" localSheetId="62" hidden="1">2</definedName>
    <definedName name="solver_typ" localSheetId="63" hidden="1">1</definedName>
    <definedName name="solver_typ" localSheetId="65" hidden="1">2</definedName>
    <definedName name="solver_typ" localSheetId="67" hidden="1">2</definedName>
    <definedName name="solver_typ" localSheetId="19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3" hidden="1">3</definedName>
    <definedName name="solver_typ" localSheetId="74" hidden="1">2</definedName>
    <definedName name="solver_typ" localSheetId="75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7" hidden="1">2</definedName>
    <definedName name="solver_val" localSheetId="76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4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0</definedName>
    <definedName name="solver_val" localSheetId="52" hidden="1">7</definedName>
    <definedName name="solver_val" localSheetId="18" hidden="1">0</definedName>
    <definedName name="solver_val" localSheetId="53" hidden="1">0</definedName>
    <definedName name="solver_val" localSheetId="55" hidden="1">0</definedName>
    <definedName name="solver_val" localSheetId="54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5" hidden="1">0</definedName>
    <definedName name="solver_val" localSheetId="67" hidden="1">0</definedName>
    <definedName name="solver_val" localSheetId="19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3" hidden="1">50</definedName>
    <definedName name="solver_val" localSheetId="74" hidden="1">0</definedName>
    <definedName name="solver_val" localSheetId="75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7" hidden="1">0</definedName>
    <definedName name="solver_ver" localSheetId="2" hidden="1">3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2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9" hidden="1">3</definedName>
    <definedName name="solver_ver" localSheetId="52" hidden="1">3</definedName>
    <definedName name="solver_ver" localSheetId="53" hidden="1">3</definedName>
    <definedName name="solver_ver" localSheetId="59" hidden="1">3</definedName>
    <definedName name="solver_ver" localSheetId="61" hidden="1">3</definedName>
    <definedName name="solver_ver" localSheetId="68" hidden="1">3</definedName>
    <definedName name="solver_ver" localSheetId="69" hidden="1">3</definedName>
    <definedName name="TestType">Data!$D$1:$D$2</definedName>
    <definedName name="uhj">Test36!$B$1</definedName>
    <definedName name="wa" localSheetId="68">#REF!</definedName>
    <definedName name="wa" localSheetId="69">#REF!</definedName>
    <definedName name="wa" localSheetId="70">#REF!</definedName>
    <definedName name="wa">Test38!$P$3</definedName>
    <definedName name="wb" localSheetId="68">#REF!</definedName>
    <definedName name="wb" localSheetId="69">#REF!</definedName>
    <definedName name="wb" localSheetId="70">#REF!</definedName>
    <definedName name="wb">Test38!$P$4</definedName>
    <definedName name="wc" localSheetId="68">#REF!</definedName>
    <definedName name="wc" localSheetId="69">#REF!</definedName>
    <definedName name="wc" localSheetId="70">#REF!</definedName>
    <definedName name="wc">Test38!$P$5</definedName>
    <definedName name="wd" localSheetId="68">#REF!</definedName>
    <definedName name="wd" localSheetId="69">#REF!</definedName>
    <definedName name="wd" localSheetId="70">#REF!</definedName>
    <definedName name="wd">Test38!$P$6</definedName>
    <definedName name="x" localSheetId="37">#REF!</definedName>
    <definedName name="x" localSheetId="63">'Test38_(Data)'!$B$4:$AP$4</definedName>
    <definedName name="x" localSheetId="67">#REF!</definedName>
    <definedName name="x" localSheetId="70">Test42!$E$6</definedName>
    <definedName name="x" localSheetId="73">#REF!</definedName>
    <definedName name="x" localSheetId="74">#REF!</definedName>
    <definedName name="x">#REF!</definedName>
    <definedName name="xa" localSheetId="68">#REF!</definedName>
    <definedName name="xa" localSheetId="69">#REF!</definedName>
    <definedName name="xa" localSheetId="70">#REF!</definedName>
    <definedName name="xa">Test38!$N$3</definedName>
    <definedName name="xb" localSheetId="68">#REF!</definedName>
    <definedName name="xb" localSheetId="69">#REF!</definedName>
    <definedName name="xb" localSheetId="70">#REF!</definedName>
    <definedName name="xb">Test38!$N$4</definedName>
    <definedName name="xc" localSheetId="68">#REF!</definedName>
    <definedName name="xc" localSheetId="69">#REF!</definedName>
    <definedName name="xc" localSheetId="70">#REF!</definedName>
    <definedName name="xc">Test38!$N$5</definedName>
    <definedName name="xd" localSheetId="68">#REF!</definedName>
    <definedName name="xd" localSheetId="69">#REF!</definedName>
    <definedName name="xd" localSheetId="70">#REF!</definedName>
    <definedName name="xd">Test38!$N$6</definedName>
    <definedName name="xstep" localSheetId="37">#REF!</definedName>
    <definedName name="xstep" localSheetId="67">#REF!</definedName>
    <definedName name="xstep" localSheetId="73">#REF!</definedName>
    <definedName name="xstep" localSheetId="74">#REF!</definedName>
    <definedName name="xstep">#REF!</definedName>
    <definedName name="y" localSheetId="37">#REF!</definedName>
    <definedName name="y" localSheetId="63">'Test38_(Data)'!$A$5:$A$45</definedName>
    <definedName name="y" localSheetId="67">#REF!</definedName>
    <definedName name="y" localSheetId="70">Test42!$E$7</definedName>
    <definedName name="y" localSheetId="73">#REF!</definedName>
    <definedName name="y" localSheetId="74">#REF!</definedName>
    <definedName name="y">#REF!</definedName>
    <definedName name="ya" localSheetId="68">#REF!</definedName>
    <definedName name="ya" localSheetId="69">#REF!</definedName>
    <definedName name="ya" localSheetId="70">#REF!</definedName>
    <definedName name="ya">Test38!$O$3</definedName>
    <definedName name="yb" localSheetId="68">#REF!</definedName>
    <definedName name="yb" localSheetId="69">#REF!</definedName>
    <definedName name="yb" localSheetId="70">#REF!</definedName>
    <definedName name="yb">Test38!$O$4</definedName>
    <definedName name="yc" localSheetId="68">#REF!</definedName>
    <definedName name="yc" localSheetId="69">#REF!</definedName>
    <definedName name="yc" localSheetId="70">#REF!</definedName>
    <definedName name="yc">Test38!$O$5</definedName>
    <definedName name="yd" localSheetId="68">#REF!</definedName>
    <definedName name="yd" localSheetId="69">#REF!</definedName>
    <definedName name="yd" localSheetId="70">#REF!</definedName>
    <definedName name="yd">Test38!$O$6</definedName>
    <definedName name="ystep" localSheetId="37">#REF!</definedName>
    <definedName name="ystep" localSheetId="67">#REF!</definedName>
    <definedName name="ystep" localSheetId="73">#REF!</definedName>
    <definedName name="ystep" localSheetId="74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15" i="2" l="1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H9" i="45"/>
  <c r="A37" i="60"/>
  <c r="H9" i="44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C6" i="95"/>
  <c r="H6" i="94"/>
  <c r="G4" i="92"/>
  <c r="G4" i="90"/>
  <c r="D20" i="96"/>
  <c r="D20" i="77"/>
  <c r="S13" i="75"/>
  <c r="I6" i="71"/>
  <c r="G6" i="70"/>
  <c r="F6" i="69"/>
  <c r="F4" i="68"/>
  <c r="H6" i="67"/>
  <c r="I6" i="66"/>
  <c r="G6" i="65"/>
  <c r="K6" i="63"/>
  <c r="H6" i="62"/>
  <c r="H6" i="4"/>
  <c r="H9" i="58"/>
  <c r="H7" i="57"/>
  <c r="H9" i="54"/>
  <c r="H9" i="53"/>
  <c r="H9" i="52"/>
  <c r="H9" i="51"/>
  <c r="H9" i="50"/>
  <c r="H8" i="49"/>
  <c r="H10" i="48"/>
  <c r="H10" i="47"/>
  <c r="H10" i="46"/>
  <c r="H9" i="98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24" i="96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16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F26" i="76"/>
  <c r="K25" i="76"/>
  <c r="C25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N24" i="76" l="1"/>
  <c r="Q26" i="76"/>
  <c r="F16" i="88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<sst xmlns="http://schemas.openxmlformats.org/spreadsheetml/2006/main" count="2657" uniqueCount="440">
  <si>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</si>
  <si>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</si>
  <si>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</si>
  <si>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</si>
  <si>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</si>
  <si>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</si>
  <si>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</si>
  <si>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</si>
  <si>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</si>
  <si>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</si>
  <si>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</si>
  <si>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</si>
  <si>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</si>
  <si>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</si>
  <si>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</si>
  <si>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</si>
  <si>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</si>
  <si>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</si>
  <si>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</si>
  <si>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</si>
  <si>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</si>
  <si>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</si>
  <si>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</si>
  <si>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</si>
  <si>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</si>
  <si>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</si>
  <si>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</si>
  <si>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</si>
  <si>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</si>
  <si>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</si>
  <si>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</si>
  <si>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</si>
  <si>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</si>
  <si>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</si>
  <si>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</si>
  <si>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</si>
  <si>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</si>
  <si>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</si>
  <si>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</si>
  <si>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</si>
  <si>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</si>
  <si>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</si>
  <si>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</si>
  <si>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</si>
  <si>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</si>
  <si>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</si>
  <si>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</si>
  <si>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</si>
  <si>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</si>
  <si>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</si>
  <si>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</si>
  <si>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</si>
  <si>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</si>
  <si>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</si>
  <si>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</si>
  <si>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</si>
  <si>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</si>
  <si>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</si>
  <si>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</si>
  <si>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</si>
  <si>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</si>
  <si>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</si>
  <si>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</si>
  <si>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</si>
  <si>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</si>
  <si>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</si>
  <si>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</si>
  <si>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</si>
  <si>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</si>
  <si>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</si>
  <si>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</si>
  <si>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</si>
  <si>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</si>
  <si>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</si>
  <si>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</si>
  <si>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</si>
  <si>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</si>
  <si>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</si>
  <si>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</si>
  <si>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</si>
  <si>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</si>
  <si>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</si>
  <si>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</si>
  <si>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</si>
  <si>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</si>
  <si>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</si>
  <si>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</si>
  <si>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</si>
  <si>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</si>
  <si>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</si>
  <si>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</si>
  <si>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</si>
  <si>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</si>
  <si>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</si>
  <si>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</si>
  <si>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</si>
  <si>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</si>
  <si>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</si>
  <si>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</si>
  <si>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</si>
  <si>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</si>
  <si>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</si>
  <si>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</si>
  <si>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</si>
  <si>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</si>
  <si>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</si>
  <si>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</si>
  <si>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</si>
  <si>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</si>
  <si>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</si>
  <si>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</si>
  <si>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</si>
  <si>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</si>
  <si>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</si>
  <si>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</si>
  <si>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</si>
  <si>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</si>
  <si>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</si>
  <si>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</si>
  <si>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</si>
  <si>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</si>
  <si>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</si>
  <si>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</si>
  <si>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</si>
  <si>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</si>
  <si>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</si>
  <si>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</si>
  <si>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</si>
  <si>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</si>
  <si>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</si>
  <si>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</si>
  <si>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</si>
  <si>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</si>
  <si>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</si>
  <si>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</si>
  <si>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</si>
  <si>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</si>
  <si>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</si>
  <si>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</si>
  <si>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</si>
  <si>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</si>
  <si>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</si>
  <si>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</si>
  <si>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</si>
  <si>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</si>
  <si>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</si>
  <si>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</si>
  <si>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</si>
  <si>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</si>
  <si>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</si>
  <si>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</si>
  <si>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</si>
  <si>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</si>
  <si>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</si>
  <si>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</si>
  <si>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</si>
  <si>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</si>
  <si>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</si>
  <si>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</si>
  <si>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</si>
  <si>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</si>
  <si>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</si>
  <si>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</si>
  <si>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</si>
  <si>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</si>
  <si>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</si>
  <si>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</si>
  <si>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</si>
  <si>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</si>
  <si>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</si>
  <si>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</si>
  <si>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</si>
  <si>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</si>
  <si>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</si>
  <si>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</si>
  <si>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</si>
  <si>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</si>
  <si>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</si>
  <si>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</si>
  <si>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</si>
  <si>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</si>
  <si>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</si>
  <si>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</si>
  <si>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</si>
  <si>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</si>
  <si>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</si>
  <si>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</si>
  <si>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</si>
  <si>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</si>
  <si>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</si>
  <si>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</si>
  <si>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</si>
  <si>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</si>
  <si>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</si>
  <si>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</si>
  <si>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</si>
  <si>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</si>
  <si>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</si>
  <si>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</si>
  <si>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</si>
  <si>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</si>
  <si>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</si>
  <si>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</si>
  <si>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</si>
  <si>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</si>
  <si>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</si>
  <si>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</si>
  <si>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</si>
  <si>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</si>
  <si>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</si>
  <si>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</si>
  <si>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</si>
  <si>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</si>
  <si>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</si>
  <si>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</si>
  <si>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</si>
  <si>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</si>
  <si>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</si>
  <si>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</si>
  <si>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</si>
  <si>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</si>
  <si>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</si>
  <si>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</si>
  <si>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</si>
  <si>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</si>
  <si>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</si>
  <si>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</si>
  <si>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</si>
  <si>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</si>
  <si>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</si>
  <si>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</si>
  <si>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</si>
  <si>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</si>
  <si>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</si>
  <si>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</si>
  <si>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</si>
  <si>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</si>
  <si>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</si>
  <si>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</si>
  <si>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</si>
  <si>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</si>
  <si>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</si>
  <si>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</si>
  <si>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</si>
  <si>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</si>
  <si>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</si>
  <si>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</si>
  <si>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</si>
  <si>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</si>
  <si>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</si>
  <si>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</si>
  <si>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</si>
  <si>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</si>
  <si>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</si>
  <si>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</si>
  <si>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</si>
  <si>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</si>
  <si>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</si>
  <si>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</si>
  <si>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</si>
  <si>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</si>
  <si>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</si>
  <si>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</si>
  <si>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</si>
  <si>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</si>
  <si>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</si>
  <si>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</si>
  <si>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</si>
  <si>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</si>
  <si>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</si>
  <si>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</si>
  <si>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</si>
  <si>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</si>
  <si>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</si>
  <si>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</si>
  <si>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</si>
  <si>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</si>
  <si>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</si>
  <si>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</si>
  <si>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</si>
  <si>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</si>
  <si>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</si>
  <si>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</si>
  <si>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</si>
  <si>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</si>
  <si>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</si>
  <si>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</si>
  <si>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</si>
  <si>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</si>
  <si>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</si>
  <si>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</si>
  <si>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</si>
  <si>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</si>
  <si>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</si>
  <si>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</si>
  <si>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</si>
  <si>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</si>
  <si>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</si>
  <si>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</si>
  <si>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</si>
  <si>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</si>
  <si>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</si>
  <si>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</si>
  <si>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</si>
  <si>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</si>
  <si>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</si>
  <si>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</si>
  <si>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</si>
  <si>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</si>
  <si>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</si>
  <si>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</si>
  <si>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</si>
  <si>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</si>
  <si>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</si>
  <si>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</si>
  <si>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</si>
  <si>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</si>
  <si>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</si>
  <si>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</si>
  <si>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</si>
  <si>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</si>
  <si>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</si>
  <si>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</si>
  <si>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</si>
  <si>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</si>
  <si>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</si>
  <si>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</si>
  <si>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</si>
  <si>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</si>
  <si>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</si>
  <si>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</si>
  <si>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</si>
  <si>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</si>
  <si>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</si>
  <si>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</si>
  <si>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</si>
  <si>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</si>
  <si>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</si>
  <si>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</si>
  <si>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</si>
  <si>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</si>
  <si>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</si>
  <si>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</si>
  <si>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</si>
  <si>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</si>
  <si>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</si>
  <si>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</si>
  <si>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</si>
  <si>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</si>
  <si>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</si>
  <si>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</si>
  <si>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</si>
  <si>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</si>
  <si>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</si>
  <si>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</si>
  <si>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</si>
  <si>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</si>
  <si>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</si>
  <si>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</si>
  <si>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</si>
  <si>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</si>
  <si>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</si>
  <si>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</si>
  <si>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</si>
  <si>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</si>
  <si>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</si>
  <si>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</si>
  <si>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</si>
  <si>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</si>
  <si>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</si>
  <si>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</si>
  <si>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</si>
  <si>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</si>
  <si>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</si>
  <si>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</si>
  <si>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</si>
  <si>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</si>
  <si>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</si>
  <si>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</si>
  <si>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</si>
  <si>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</si>
  <si>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</si>
  <si>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</si>
  <si>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</si>
  <si>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</si>
  <si>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</si>
  <si>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</si>
  <si>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</si>
  <si>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</si>
  <si>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</si>
  <si>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</si>
  <si>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</si>
  <si>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</si>
  <si>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</si>
  <si>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</si>
  <si>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</si>
  <si>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</si>
  <si>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</si>
  <si>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</si>
  <si>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</si>
  <si>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</si>
  <si>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</si>
  <si>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</si>
  <si>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</si>
  <si>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</si>
  <si>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</si>
  <si>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</si>
  <si>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</si>
  <si>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</si>
  <si>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</si>
  <si>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</si>
  <si>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</si>
  <si>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</si>
  <si>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</si>
  <si>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</si>
  <si>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</si>
  <si>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</si>
  <si>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</si>
  <si>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</si>
  <si>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</si>
  <si>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</si>
  <si>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</si>
  <si>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</si>
  <si>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</si>
  <si>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</si>
  <si>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</si>
  <si>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</si>
  <si>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</si>
  <si>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</si>
  <si>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</si>
  <si>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</si>
  <si>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</si>
  <si>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FAIL*</t>
  </si>
  <si>
    <t>PASS*</t>
  </si>
  <si>
    <t>NA</t>
  </si>
  <si>
    <t>OpenSolver Sensitivity Report - Gurobi</t>
  </si>
  <si>
    <t>Report Created: 12/03/2015 10:15:40 p.m.</t>
  </si>
  <si>
    <t>Report Created: 12/03/2015 10:23:20 p.m.</t>
  </si>
  <si>
    <t>Report Created: 12/03/2015 10:24:22 p.m.</t>
  </si>
  <si>
    <t>Report Created: 12/03/2015 10:29:08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</si>
</sst>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5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8589928"/>
        <c:axId val="388586008"/>
        <c:axId val="356324480"/>
      </c:surface3DChart>
      <c:catAx>
        <c:axId val="3885899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8600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858600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89928"/>
        <c:crosses val="min"/>
        <c:crossBetween val="between"/>
        <c:majorUnit val="0.1"/>
      </c:valAx>
      <c:serAx>
        <c:axId val="356324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8600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0.287799197719317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0.49925261467384102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1.7130007299066801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0.49905853963560498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0.287799197719317</c:v>
                </c:pt>
                <c:pt idx="3">
                  <c:v>0</c:v>
                </c:pt>
                <c:pt idx="4">
                  <c:v>0.287799197719317</c:v>
                </c:pt>
                <c:pt idx="6">
                  <c:v>2</c:v>
                </c:pt>
                <c:pt idx="7">
                  <c:v>1.7130007299066801</c:v>
                </c:pt>
                <c:pt idx="9">
                  <c:v>2</c:v>
                </c:pt>
                <c:pt idx="10">
                  <c:v>1.7130007299066801</c:v>
                </c:pt>
                <c:pt idx="12">
                  <c:v>0.287799197719317</c:v>
                </c:pt>
                <c:pt idx="13">
                  <c:v>1.7130007299066801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0.49925261467384102</c:v>
                </c:pt>
                <c:pt idx="3">
                  <c:v>1</c:v>
                </c:pt>
                <c:pt idx="4">
                  <c:v>0.49925261467384102</c:v>
                </c:pt>
                <c:pt idx="6">
                  <c:v>1</c:v>
                </c:pt>
                <c:pt idx="7">
                  <c:v>0.49905853963560498</c:v>
                </c:pt>
                <c:pt idx="9">
                  <c:v>0</c:v>
                </c:pt>
                <c:pt idx="10">
                  <c:v>0.49905853963560498</c:v>
                </c:pt>
                <c:pt idx="12">
                  <c:v>0.49925261467384102</c:v>
                </c:pt>
                <c:pt idx="13">
                  <c:v>0.49905853963560498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90320"/>
        <c:axId val="388590712"/>
      </c:scatterChart>
      <c:valAx>
        <c:axId val="3885903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90712"/>
        <c:crosses val="autoZero"/>
        <c:crossBetween val="midCat"/>
        <c:majorUnit val="0.5"/>
      </c:valAx>
      <c:valAx>
        <c:axId val="38859071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903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2.3571428570978941</c:v>
                </c:pt>
                <c:pt idx="2">
                  <c:v>6.9999999999275389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1.8557687224523363</c:v>
                </c:pt>
                <c:pt idx="2">
                  <c:v>-1.1685763467994548E-11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936560"/>
        <c:axId val="389934992"/>
      </c:scatterChart>
      <c:valAx>
        <c:axId val="38993656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934992"/>
        <c:crosses val="autoZero"/>
        <c:crossBetween val="midCat"/>
        <c:majorUnit val="1"/>
      </c:valAx>
      <c:valAx>
        <c:axId val="38993499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93656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6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68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9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0" name="OpenSolver 6"/>
        <xdr:cNvCxnSpPr>
          <a:stCxn id="68" idx="2"/>
          <a:endCxn id="69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71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2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3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4" name="OpenSolver 10"/>
        <xdr:cNvCxnSpPr>
          <a:stCxn id="72" idx="3"/>
          <a:endCxn id="73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5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76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7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8" name="OpenSolver 14"/>
        <xdr:cNvCxnSpPr>
          <a:stCxn id="76" idx="3"/>
          <a:endCxn id="7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79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0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1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" name="OpenSolver 18"/>
        <xdr:cNvCxnSpPr>
          <a:stCxn id="80" idx="3"/>
          <a:endCxn id="81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3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84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85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H7"/>
  <sheetViews>
    <sheetView workbookViewId="0">
      <selection activeCell="P19" sqref="P19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</cols>
  <sheetData>
    <row r="1" spans="1:7" x14ac:dyDescent="0.25">
      <c r="A1" s="62" t="s">
        <v>198</v>
      </c>
      <c r="B1" s="62">
        <v>-3</v>
      </c>
      <c r="D1" s="62" t="s">
        <v>205</v>
      </c>
      <c r="G1" s="62" t="s">
        <v>207</v>
      </c>
    </row>
    <row r="2" spans="1:7" x14ac:dyDescent="0.25">
      <c r="A2" s="62" t="s">
        <v>200</v>
      </c>
      <c r="B2" s="62">
        <v>-2</v>
      </c>
      <c r="D2" s="62" t="s">
        <v>206</v>
      </c>
      <c r="G2" s="62" t="s">
        <v>208</v>
      </c>
    </row>
    <row r="3" spans="1:7" x14ac:dyDescent="0.25">
      <c r="A3" s="62" t="s">
        <v>199</v>
      </c>
      <c r="B3" s="62">
        <v>-1</v>
      </c>
    </row>
    <row r="4" spans="1:7" x14ac:dyDescent="0.25">
      <c r="A4" s="62" t="s">
        <v>201</v>
      </c>
      <c r="B4" s="62">
        <v>0</v>
      </c>
    </row>
    <row r="5" spans="1:7" x14ac:dyDescent="0.25">
      <c r="A5" s="62" t="s">
        <v>202</v>
      </c>
      <c r="B5" s="62">
        <v>4</v>
      </c>
    </row>
    <row r="6" spans="1:7" x14ac:dyDescent="0.25">
      <c r="A6" s="62" t="s">
        <v>27</v>
      </c>
      <c r="B6" s="62">
        <v>5</v>
      </c>
    </row>
    <row r="7" spans="1:7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1"/>
  <sheetViews>
    <sheetView tabSelected="1" zoomScale="85" zoomScaleNormal="85" zoomScalePageLayoutView="85" workbookViewId="0">
      <selection activeCell="G16" sqref="G16"/>
    </sheetView>
  </sheetViews>
  <sheetFormatPr defaultColWidth="9.140625" defaultRowHeight="15" x14ac:dyDescent="0.25"/>
  <cols>
    <col min="1" max="1" width="26.7109375" style="166" customWidth="1"/>
    <col min="2" max="16384" width="9.140625" style="60"/>
  </cols>
  <sheetData>
    <row r="1" spans="1:9" s="162" customFormat="1" ht="63" customHeight="1" thickBot="1" x14ac:dyDescent="0.3">
      <c r="A1" s="164"/>
      <c r="C1" s="178" t="s">
        <v>374</v>
      </c>
      <c r="D1" s="178"/>
      <c r="E1" s="178"/>
      <c r="F1" s="178"/>
    </row>
    <row r="2" spans="1:9" s="161" customFormat="1" ht="15.75" thickBot="1" x14ac:dyDescent="0.3">
      <c r="A2" s="165" t="s">
        <v>194</v>
      </c>
      <c r="B2" s="160" t="s">
        <v>195</v>
      </c>
      <c r="C2" s="161" t="s">
        <v>196</v>
      </c>
      <c r="D2" s="161" t="s">
        <v>215</v>
      </c>
      <c r="E2" s="161" t="s">
        <v>358</v>
      </c>
      <c r="F2" s="161" t="s">
        <v>352</v>
      </c>
      <c r="G2" s="161" t="s">
        <v>197</v>
      </c>
      <c r="H2" s="161" t="s">
        <v>245</v>
      </c>
      <c r="I2" s="161" t="s">
        <v>244</v>
      </c>
    </row>
    <row r="3" spans="1:9" x14ac:dyDescent="0.25">
      <c r="A3" s="167" t="str">
        <f>HYPERLINK("[OpenSolver Tester.xlsm]'Test1'!A1",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67" t="str">
        <f>HYPERLINK("[OpenSolver Tester.xlsm]'Test1b'!A1",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393</v>
      </c>
      <c r="H4" s="60" t="s">
        <v>393</v>
      </c>
      <c r="I4" s="60" t="s">
        <v>393</v>
      </c>
    </row>
    <row r="5" spans="1:9" x14ac:dyDescent="0.25">
      <c r="A5" s="167" t="str">
        <f>HYPERLINK("[OpenSolver Tester.xlsm]'Test1c'!A1",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393</v>
      </c>
      <c r="H5" s="60" t="s">
        <v>393</v>
      </c>
      <c r="I5" s="60" t="s">
        <v>393</v>
      </c>
    </row>
    <row r="6" spans="1:9" x14ac:dyDescent="0.25">
      <c r="A6" s="167" t="str">
        <f>HYPERLINK("[OpenSolver Tester.xlsm]'Test1c2'!A1",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393</v>
      </c>
      <c r="H6" s="60" t="s">
        <v>393</v>
      </c>
      <c r="I6" s="60" t="s">
        <v>393</v>
      </c>
    </row>
    <row r="7" spans="1:9" x14ac:dyDescent="0.25">
      <c r="A7" s="167" t="str">
        <f>HYPERLINK("[OpenSolver Tester.xlsm]'Test1d'!A1",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393</v>
      </c>
      <c r="H7" s="60" t="s">
        <v>393</v>
      </c>
      <c r="I7" s="60" t="s">
        <v>393</v>
      </c>
    </row>
    <row r="8" spans="1:9" x14ac:dyDescent="0.25">
      <c r="A8" s="167" t="str">
        <f>HYPERLINK("[OpenSolver Tester.xlsm]'Test1e'!A1",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393</v>
      </c>
      <c r="H8" s="60" t="s">
        <v>393</v>
      </c>
      <c r="I8" s="60" t="s">
        <v>393</v>
      </c>
    </row>
    <row r="9" spans="1:9" x14ac:dyDescent="0.25">
      <c r="A9" s="167" t="str">
        <f>HYPERLINK("[OpenSolver Tester.xlsm]'Test1f'!A1",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393</v>
      </c>
      <c r="H9" s="60" t="s">
        <v>393</v>
      </c>
      <c r="I9" s="60" t="s">
        <v>393</v>
      </c>
    </row>
    <row r="10" spans="1:9" x14ac:dyDescent="0.25">
      <c r="A10" s="167" t="str">
        <f>HYPERLINK("[OpenSolver Tester.xlsm]'Test1g'!A1",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393</v>
      </c>
      <c r="H10" s="60" t="s">
        <v>393</v>
      </c>
      <c r="I10" s="60" t="s">
        <v>393</v>
      </c>
    </row>
    <row r="11" spans="1:9" x14ac:dyDescent="0.25">
      <c r="A11" s="167" t="str">
        <f>HYPERLINK("[OpenSolver Tester.xlsm]'Test1h'!A1",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393</v>
      </c>
      <c r="H11" s="60" t="s">
        <v>393</v>
      </c>
      <c r="I11" s="60" t="s">
        <v>393</v>
      </c>
    </row>
    <row r="12" spans="1:9" x14ac:dyDescent="0.25">
      <c r="A12" s="167" t="str">
        <f>HYPERLINK("[OpenSolver Tester.xlsm]'Test1i'!A1",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393</v>
      </c>
      <c r="H12" s="60" t="s">
        <v>393</v>
      </c>
      <c r="I12" s="60" t="s">
        <v>393</v>
      </c>
    </row>
    <row r="13" spans="1:9" x14ac:dyDescent="0.25">
      <c r="A13" s="167" t="str">
        <f>HYPERLINK("[OpenSolver Tester.xlsm]'Test1j'!A1",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393</v>
      </c>
      <c r="H13" s="60" t="s">
        <v>393</v>
      </c>
      <c r="I13" s="60" t="s">
        <v>393</v>
      </c>
    </row>
    <row r="14" spans="1:9" x14ac:dyDescent="0.25">
      <c r="A14" s="167" t="str">
        <f>HYPERLINK("[OpenSolver Tester.xlsm]'Test1j2'!A1",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393</v>
      </c>
      <c r="H14" s="60" t="s">
        <v>393</v>
      </c>
      <c r="I14" s="60" t="s">
        <v>393</v>
      </c>
    </row>
    <row r="15" spans="1:9" x14ac:dyDescent="0.25">
      <c r="A15" s="167" t="str">
        <f>HYPERLINK("[OpenSolver Tester.xlsm]'Test1k'!A1",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393</v>
      </c>
      <c r="H15" s="60" t="s">
        <v>393</v>
      </c>
      <c r="I15" s="60" t="s">
        <v>393</v>
      </c>
    </row>
    <row r="16" spans="1:9" x14ac:dyDescent="0.25">
      <c r="A16" s="167" t="str">
        <f>HYPERLINK("[OpenSolver Tester.xlsm]'Test1l'!A1",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393</v>
      </c>
      <c r="H16" s="60" t="s">
        <v>393</v>
      </c>
      <c r="I16" s="60" t="s">
        <v>393</v>
      </c>
    </row>
    <row r="17" spans="1:9" x14ac:dyDescent="0.25">
      <c r="A17" s="167" t="str">
        <f>HYPERLINK("[OpenSolver Tester.xlsm]'Test1m'!A1",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393</v>
      </c>
      <c r="H17" s="60" t="s">
        <v>393</v>
      </c>
      <c r="I17" s="60" t="s">
        <v>393</v>
      </c>
    </row>
    <row r="18" spans="1:9" x14ac:dyDescent="0.25">
      <c r="A18" s="167" t="str">
        <f>HYPERLINK("[OpenSolver Tester.xlsm]'Test2'!A1",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393</v>
      </c>
      <c r="H18" s="60" t="s">
        <v>393</v>
      </c>
      <c r="I18" s="60" t="s">
        <v>393</v>
      </c>
    </row>
    <row r="19" spans="1:9" x14ac:dyDescent="0.25">
      <c r="A19" s="167" t="str">
        <f>HYPERLINK("[OpenSolver Tester.xlsm]'Test3'!A1",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393</v>
      </c>
      <c r="H19" s="60" t="s">
        <v>393</v>
      </c>
      <c r="I19" s="60" t="s">
        <v>393</v>
      </c>
    </row>
    <row r="20" spans="1:9" x14ac:dyDescent="0.25">
      <c r="A20" s="167" t="str">
        <f>HYPERLINK("[OpenSolver Tester.xlsm]'Test4'!A1",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393</v>
      </c>
      <c r="H20" s="60" t="s">
        <v>393</v>
      </c>
      <c r="I20" s="60" t="s">
        <v>393</v>
      </c>
    </row>
    <row r="21" spans="1:9" x14ac:dyDescent="0.25">
      <c r="A21" s="167" t="str">
        <f>HYPERLINK("[OpenSolver Tester.xlsm]'Test5'!A1",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393</v>
      </c>
      <c r="H21" s="60" t="s">
        <v>393</v>
      </c>
      <c r="I21" s="60" t="s">
        <v>393</v>
      </c>
    </row>
    <row r="22" spans="1:9" x14ac:dyDescent="0.25">
      <c r="A22" s="167" t="str">
        <f>HYPERLINK("[OpenSolver Tester.xlsm]'Test!6'!A1",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393</v>
      </c>
      <c r="H22" s="60" t="s">
        <v>393</v>
      </c>
      <c r="I22" s="60" t="s">
        <v>393</v>
      </c>
    </row>
    <row r="23" spans="1:9" x14ac:dyDescent="0.25">
      <c r="A23" s="167" t="str">
        <f>HYPERLINK("[OpenSolver Tester.xlsm]'Test7'!A1",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393</v>
      </c>
      <c r="H23" s="60" t="s">
        <v>393</v>
      </c>
      <c r="I23" s="60" t="s">
        <v>393</v>
      </c>
    </row>
    <row r="24" spans="1:9" x14ac:dyDescent="0.25">
      <c r="A24" s="167" t="str">
        <f>HYPERLINK("[OpenSolver Tester.xlsm]'Test8'!A1",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393</v>
      </c>
      <c r="H24" s="60" t="s">
        <v>393</v>
      </c>
      <c r="I24" s="60" t="s">
        <v>393</v>
      </c>
    </row>
    <row r="25" spans="1:9" x14ac:dyDescent="0.25">
      <c r="A25" s="167" t="str">
        <f>HYPERLINK("[OpenSolver Tester.xlsm]'Test8B'!A1",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393</v>
      </c>
      <c r="H25" s="60" t="s">
        <v>393</v>
      </c>
      <c r="I25" s="60" t="s">
        <v>393</v>
      </c>
    </row>
    <row r="26" spans="1:9" x14ac:dyDescent="0.25">
      <c r="A26" s="167" t="str">
        <f>HYPERLINK("[OpenSolver Tester.xlsm]'Test9A'!A1",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432</v>
      </c>
      <c r="G26" s="60" t="s">
        <v>393</v>
      </c>
      <c r="H26" s="60" t="s">
        <v>393</v>
      </c>
      <c r="I26" s="60" t="s">
        <v>393</v>
      </c>
    </row>
    <row r="27" spans="1:9" x14ac:dyDescent="0.25">
      <c r="A27" s="167" t="str">
        <f>HYPERLINK("[OpenSolver Tester.xlsm]'Test9B'!A1",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393</v>
      </c>
      <c r="H27" s="60" t="s">
        <v>393</v>
      </c>
      <c r="I27" s="60" t="s">
        <v>393</v>
      </c>
    </row>
    <row r="28" spans="1:9" x14ac:dyDescent="0.25">
      <c r="A28" s="167" t="str">
        <f>HYPERLINK("[OpenSolver Tester.xlsm]'Test10'!A1",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393</v>
      </c>
      <c r="H28" s="60" t="s">
        <v>393</v>
      </c>
      <c r="I28" s="60" t="s">
        <v>393</v>
      </c>
    </row>
    <row r="29" spans="1:9" x14ac:dyDescent="0.25">
      <c r="A29" s="167" t="str">
        <f>HYPERLINK("[OpenSolver Tester.xlsm]'Test11'!A1",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433</v>
      </c>
      <c r="H29" s="60" t="s">
        <v>393</v>
      </c>
      <c r="I29" s="60" t="s">
        <v>393</v>
      </c>
    </row>
    <row r="30" spans="1:9" x14ac:dyDescent="0.25">
      <c r="A30" s="167" t="str">
        <f>HYPERLINK("[OpenSolver Tester.xlsm]'Test12'!A1",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433</v>
      </c>
      <c r="H30" s="60" t="s">
        <v>393</v>
      </c>
      <c r="I30" s="60" t="s">
        <v>393</v>
      </c>
    </row>
    <row r="31" spans="1:9" x14ac:dyDescent="0.25">
      <c r="A31" s="167" t="str">
        <f>HYPERLINK("[OpenSolver Tester.xlsm]'Test13'!A1",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433</v>
      </c>
      <c r="H31" s="60" t="s">
        <v>393</v>
      </c>
      <c r="I31" s="60" t="s">
        <v>393</v>
      </c>
    </row>
    <row r="32" spans="1:9" x14ac:dyDescent="0.25">
      <c r="A32" s="167" t="str">
        <f>HYPERLINK("[OpenSolver Tester.xlsm]'Test13b'!A1",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433</v>
      </c>
      <c r="H32" s="60" t="s">
        <v>393</v>
      </c>
      <c r="I32" s="60" t="s">
        <v>393</v>
      </c>
    </row>
    <row r="33" spans="1:9" x14ac:dyDescent="0.25">
      <c r="A33" s="167" t="str">
        <f>HYPERLINK("[OpenSolver Tester.xlsm]'Test14'!A1",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393</v>
      </c>
      <c r="H33" s="60" t="s">
        <v>393</v>
      </c>
      <c r="I33" s="60" t="s">
        <v>393</v>
      </c>
    </row>
    <row r="34" spans="1:9" x14ac:dyDescent="0.25">
      <c r="A34" s="167" t="str">
        <f>HYPERLINK("[OpenSolver Tester.xlsm]'Test15'!A1",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393</v>
      </c>
      <c r="H34" s="60" t="s">
        <v>393</v>
      </c>
      <c r="I34" s="60" t="s">
        <v>393</v>
      </c>
    </row>
    <row r="35" spans="1:9" x14ac:dyDescent="0.25">
      <c r="A35" s="167" t="str">
        <f>HYPERLINK("[OpenSolver Tester.xlsm]'Test15b'!A1",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393</v>
      </c>
      <c r="H35" s="60" t="s">
        <v>393</v>
      </c>
      <c r="I35" s="60" t="s">
        <v>393</v>
      </c>
    </row>
    <row r="36" spans="1:9" x14ac:dyDescent="0.25">
      <c r="A36" s="167" t="str">
        <f>HYPERLINK("[OpenSolver Tester.xlsm]'Test15c'!A1",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432</v>
      </c>
      <c r="G36" s="177" t="s">
        <v>433</v>
      </c>
      <c r="H36" s="60" t="s">
        <v>393</v>
      </c>
      <c r="I36" s="60" t="s">
        <v>393</v>
      </c>
    </row>
    <row r="37" spans="1:9" x14ac:dyDescent="0.25">
      <c r="A37" s="167" t="str">
        <f>HYPERLINK("[OpenSolver Tester.xlsm]'Test15d'!A1",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432</v>
      </c>
      <c r="G37" s="177" t="s">
        <v>433</v>
      </c>
      <c r="H37" s="60" t="s">
        <v>393</v>
      </c>
      <c r="I37" s="60" t="s">
        <v>393</v>
      </c>
    </row>
    <row r="38" spans="1:9" x14ac:dyDescent="0.25">
      <c r="A38" s="167" t="str">
        <f>HYPERLINK("[OpenSolver Tester.xlsm]'Test15e_Relax'!A1", "Test15e_Relax")</f>
        <v>Test15e_Relax</v>
      </c>
      <c r="B38" s="60" t="s">
        <v>393</v>
      </c>
      <c r="C38" s="174" t="s">
        <v>393</v>
      </c>
      <c r="D38" s="60" t="s">
        <v>393</v>
      </c>
      <c r="E38" s="60" t="s">
        <v>393</v>
      </c>
      <c r="F38" s="60" t="s">
        <v>393</v>
      </c>
      <c r="G38" s="60" t="s">
        <v>393</v>
      </c>
      <c r="H38" s="60" t="s">
        <v>393</v>
      </c>
      <c r="I38" s="60" t="s">
        <v>393</v>
      </c>
    </row>
    <row r="39" spans="1:9" x14ac:dyDescent="0.25">
      <c r="A39" s="167" t="str">
        <f>HYPERLINK("[OpenSolver Tester.xlsm]'Test16'!A1", "Test16")</f>
        <v>Test16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393</v>
      </c>
      <c r="H39" s="60" t="s">
        <v>393</v>
      </c>
      <c r="I39" s="60" t="s">
        <v>393</v>
      </c>
    </row>
    <row r="40" spans="1:9" x14ac:dyDescent="0.25">
      <c r="A40" s="167" t="str">
        <f>HYPERLINK("[OpenSolver Tester.xlsm]'Test16b'!A1", "Test16b")</f>
        <v>Test16b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393</v>
      </c>
      <c r="H40" s="60" t="s">
        <v>393</v>
      </c>
      <c r="I40" s="60" t="s">
        <v>393</v>
      </c>
    </row>
    <row r="41" spans="1:9" x14ac:dyDescent="0.25">
      <c r="A41" s="167" t="str">
        <f>HYPERLINK("[OpenSolver Tester.xlsm]'Test17'!A1", "Test17")</f>
        <v>Test17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393</v>
      </c>
      <c r="H41" s="60" t="s">
        <v>393</v>
      </c>
      <c r="I41" s="60" t="s">
        <v>393</v>
      </c>
    </row>
    <row r="42" spans="1:9" x14ac:dyDescent="0.25">
      <c r="A42" s="167" t="str">
        <f>HYPERLINK("[OpenSolver Tester.xlsm]'Test18'!A1", "Test18")</f>
        <v>Test18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393</v>
      </c>
      <c r="H42" s="60" t="s">
        <v>393</v>
      </c>
      <c r="I42" s="60" t="s">
        <v>393</v>
      </c>
    </row>
    <row r="43" spans="1:9" x14ac:dyDescent="0.25">
      <c r="A43" s="167" t="str">
        <f>HYPERLINK("[OpenSolver Tester.xlsm]'Test19'!A1", "Test19")</f>
        <v>Test19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393</v>
      </c>
      <c r="H43" s="60" t="s">
        <v>393</v>
      </c>
      <c r="I43" s="60" t="s">
        <v>393</v>
      </c>
    </row>
    <row r="44" spans="1:9" x14ac:dyDescent="0.25">
      <c r="A44" s="167" t="str">
        <f>HYPERLINK("[OpenSolver Tester.xlsm]'Test20'!A1", "Test20")</f>
        <v>Test20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393</v>
      </c>
      <c r="H44" s="60" t="s">
        <v>393</v>
      </c>
      <c r="I44" s="60" t="s">
        <v>393</v>
      </c>
    </row>
    <row r="45" spans="1:9" x14ac:dyDescent="0.25">
      <c r="A45" s="167" t="str">
        <f>HYPERLINK("[OpenSolver Tester.xlsm]'Test21'!A1", "Test21")</f>
        <v>Test21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393</v>
      </c>
      <c r="H45" s="60" t="s">
        <v>393</v>
      </c>
      <c r="I45" s="60" t="s">
        <v>393</v>
      </c>
    </row>
    <row r="46" spans="1:9" x14ac:dyDescent="0.25">
      <c r="A46" s="167" t="str">
        <f>HYPERLINK("[OpenSolver Tester.xlsm]'Test22'!A1", "Test22")</f>
        <v>Test22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432</v>
      </c>
      <c r="G46" s="60" t="s">
        <v>393</v>
      </c>
      <c r="H46" s="60" t="s">
        <v>393</v>
      </c>
      <c r="I46" s="60" t="s">
        <v>393</v>
      </c>
    </row>
    <row r="47" spans="1:9" x14ac:dyDescent="0.25">
      <c r="A47" s="167" t="str">
        <f>HYPERLINK("[OpenSolver Tester.xlsm]'Test23'!A1", "Test23")</f>
        <v>Test23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432</v>
      </c>
      <c r="G47" s="60" t="s">
        <v>393</v>
      </c>
      <c r="H47" s="60" t="s">
        <v>393</v>
      </c>
      <c r="I47" s="60" t="s">
        <v>393</v>
      </c>
    </row>
    <row r="48" spans="1:9" x14ac:dyDescent="0.25">
      <c r="A48" s="167" t="str">
        <f>HYPERLINK("[OpenSolver Tester.xlsm]'Test24_IterativeCalc'!A1", "Test24_IterativeCalc")</f>
        <v>Test24_IterativeCalc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393</v>
      </c>
      <c r="H48" s="60" t="s">
        <v>393</v>
      </c>
      <c r="I48" s="60" t="s">
        <v>393</v>
      </c>
    </row>
    <row r="49" spans="1:9" x14ac:dyDescent="0.25">
      <c r="A49" s="167" t="str">
        <f>HYPERLINK("[OpenSolver Tester.xlsm]'Test25'!A1", "Test25")</f>
        <v>Test25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393</v>
      </c>
      <c r="H49" s="60" t="s">
        <v>393</v>
      </c>
      <c r="I49" s="60" t="s">
        <v>393</v>
      </c>
    </row>
    <row r="50" spans="1:9" x14ac:dyDescent="0.25">
      <c r="A50" s="167" t="str">
        <f>HYPERLINK("[OpenSolver Tester.xlsm]'Test26'!A1", "Test26")</f>
        <v>Test26</v>
      </c>
      <c r="B50" s="60" t="s">
        <v>393</v>
      </c>
      <c r="C50" s="60" t="s">
        <v>393</v>
      </c>
      <c r="D50" s="60" t="s">
        <v>393</v>
      </c>
      <c r="E50" s="60" t="s">
        <v>393</v>
      </c>
      <c r="F50" s="60" t="s">
        <v>393</v>
      </c>
      <c r="G50" s="60" t="s">
        <v>393</v>
      </c>
      <c r="H50" s="60" t="s">
        <v>393</v>
      </c>
      <c r="I50" s="60" t="s">
        <v>393</v>
      </c>
    </row>
    <row r="51" spans="1:9" x14ac:dyDescent="0.25">
      <c r="A51" s="167" t="str">
        <f>HYPERLINK("[OpenSolver Tester.xlsm]'Test27_Parameters'!A1", "Test27_Parameters")</f>
        <v>Test27_Parameters</v>
      </c>
      <c r="B51" s="60" t="s">
        <v>393</v>
      </c>
      <c r="C51" s="60" t="s">
        <v>393</v>
      </c>
      <c r="D51" s="60" t="s">
        <v>393</v>
      </c>
      <c r="E51" s="60" t="s">
        <v>434</v>
      </c>
      <c r="F51" s="60" t="s">
        <v>434</v>
      </c>
      <c r="G51" s="60" t="s">
        <v>434</v>
      </c>
      <c r="H51" s="60" t="s">
        <v>434</v>
      </c>
      <c r="I51" s="60" t="s">
        <v>434</v>
      </c>
    </row>
    <row r="52" spans="1:9" x14ac:dyDescent="0.25">
      <c r="A52" s="167" t="str">
        <f>HYPERLINK("[OpenSolver Tester.xlsm]'Test28_CBCOptions'!A1", "Test28_CBCOptions")</f>
        <v>Test28_CBCOptions</v>
      </c>
      <c r="B52" s="60" t="s">
        <v>393</v>
      </c>
      <c r="C52" s="60" t="s">
        <v>393</v>
      </c>
      <c r="D52" s="60" t="s">
        <v>393</v>
      </c>
      <c r="E52" s="60" t="s">
        <v>393</v>
      </c>
      <c r="F52" s="60" t="s">
        <v>432</v>
      </c>
      <c r="G52" s="60" t="s">
        <v>432</v>
      </c>
      <c r="H52" s="60" t="s">
        <v>393</v>
      </c>
      <c r="I52" s="60" t="s">
        <v>432</v>
      </c>
    </row>
    <row r="53" spans="1:9" x14ac:dyDescent="0.25">
      <c r="A53" s="167" t="str">
        <f>HYPERLINK("[OpenSolver Tester.xlsm]'Test29'!A1", "Test29")</f>
        <v>Test29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393</v>
      </c>
      <c r="H53" s="60" t="s">
        <v>393</v>
      </c>
      <c r="I53" s="60" t="s">
        <v>393</v>
      </c>
    </row>
    <row r="54" spans="1:9" x14ac:dyDescent="0.25">
      <c r="A54" s="167" t="str">
        <f>HYPERLINK("[OpenSolver Tester.xlsm]'Test30'!A1", "Test30")</f>
        <v>Test30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393</v>
      </c>
      <c r="H54" s="60" t="s">
        <v>393</v>
      </c>
      <c r="I54" s="60" t="s">
        <v>393</v>
      </c>
    </row>
    <row r="55" spans="1:9" x14ac:dyDescent="0.25">
      <c r="A55" s="167" t="str">
        <f>HYPERLINK("[OpenSolver Tester.xlsm]'Test31'!A1", "Test31")</f>
        <v>Test31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393</v>
      </c>
      <c r="H55" s="60" t="s">
        <v>393</v>
      </c>
      <c r="I55" s="60" t="s">
        <v>393</v>
      </c>
    </row>
    <row r="56" spans="1:9" x14ac:dyDescent="0.25">
      <c r="A56" s="167" t="str">
        <f>HYPERLINK("[OpenSolver Tester.xlsm]'Test32'!A1", "Test32")</f>
        <v>Test32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393</v>
      </c>
      <c r="H56" s="60" t="s">
        <v>393</v>
      </c>
      <c r="I56" s="60" t="s">
        <v>393</v>
      </c>
    </row>
    <row r="57" spans="1:9" x14ac:dyDescent="0.25">
      <c r="A57" s="167" t="str">
        <f>HYPERLINK("[OpenSolver Tester.xlsm]'Test33'!A1", "Test33")</f>
        <v>Test33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393</v>
      </c>
      <c r="H57" s="60" t="s">
        <v>393</v>
      </c>
      <c r="I57" s="60" t="s">
        <v>393</v>
      </c>
    </row>
    <row r="58" spans="1:9" x14ac:dyDescent="0.25">
      <c r="A58" s="167" t="str">
        <f>HYPERLINK("[OpenSolver Tester.xlsm]'Test34'!A1", "Test34")</f>
        <v>Test34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393</v>
      </c>
      <c r="H58" s="60" t="s">
        <v>393</v>
      </c>
      <c r="I58" s="60" t="s">
        <v>393</v>
      </c>
    </row>
    <row r="59" spans="1:9" x14ac:dyDescent="0.25">
      <c r="A59" s="167" t="str">
        <f>HYPERLINK("[OpenSolver Tester.xlsm]'Test35'!A1", "Test35")</f>
        <v>Test35</v>
      </c>
      <c r="B59" s="60" t="s">
        <v>393</v>
      </c>
      <c r="C59" s="60" t="s">
        <v>393</v>
      </c>
      <c r="D59" s="60" t="s">
        <v>393</v>
      </c>
      <c r="E59" s="60" t="s">
        <v>393</v>
      </c>
      <c r="F59" s="60" t="s">
        <v>393</v>
      </c>
      <c r="G59" s="60" t="s">
        <v>433</v>
      </c>
      <c r="H59" s="60" t="s">
        <v>393</v>
      </c>
      <c r="I59" s="60" t="s">
        <v>393</v>
      </c>
    </row>
    <row r="60" spans="1:9" x14ac:dyDescent="0.25">
      <c r="A60" s="167" t="str">
        <f>HYPERLINK("[OpenSolver Tester.xlsm]'Test36'!A1", "Test36")</f>
        <v>Test36</v>
      </c>
      <c r="B60" s="60" t="s">
        <v>393</v>
      </c>
      <c r="C60" s="60" t="s">
        <v>393</v>
      </c>
      <c r="D60" s="60" t="s">
        <v>393</v>
      </c>
      <c r="E60" s="60" t="s">
        <v>393</v>
      </c>
      <c r="F60" s="60" t="s">
        <v>432</v>
      </c>
      <c r="G60" s="60" t="s">
        <v>393</v>
      </c>
      <c r="H60" s="60" t="s">
        <v>393</v>
      </c>
      <c r="I60" s="60" t="s">
        <v>432</v>
      </c>
    </row>
    <row r="61" spans="1:9" x14ac:dyDescent="0.25">
      <c r="A61" s="167" t="str">
        <f>HYPERLINK("[OpenSolver Tester.xlsm]'Test37'!A1", "Test37")</f>
        <v>Test37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393</v>
      </c>
      <c r="H61" s="60" t="s">
        <v>393</v>
      </c>
      <c r="I61" s="60" t="s">
        <v>393</v>
      </c>
    </row>
    <row r="62" spans="1:9" x14ac:dyDescent="0.25">
      <c r="A62" s="167" t="str">
        <f>HYPERLINK("[OpenSolver Tester.xlsm]'Test38'!A1", "Test38")</f>
        <v>Test38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393</v>
      </c>
      <c r="H62" s="60" t="s">
        <v>393</v>
      </c>
      <c r="I62" s="60" t="s">
        <v>393</v>
      </c>
    </row>
    <row r="63" spans="1:9" x14ac:dyDescent="0.25">
      <c r="A63" s="167" t="str">
        <f>HYPERLINK("[OpenSolver Tester.xlsm]'Test39_SensNames'!A1", "Test39_SensNames")</f>
        <v>Test39_SensNames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67" t="str">
        <f>HYPERLINK("[OpenSolver Tester.xlsm]'Test39_SensNames2'!A1", "Test39_SensNames2")</f>
        <v>Test39_SensNames2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393</v>
      </c>
      <c r="G64" s="60" t="s">
        <v>393</v>
      </c>
      <c r="H64" s="60" t="s">
        <v>393</v>
      </c>
      <c r="I64" s="60" t="s">
        <v>393</v>
      </c>
    </row>
    <row r="65" spans="1:9" x14ac:dyDescent="0.25">
      <c r="A65" s="167" t="str">
        <f>HYPERLINK("[OpenSolver Tester.xlsm]'Test40'!A1", "Test40")</f>
        <v>Test40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393</v>
      </c>
      <c r="G65" s="60" t="s">
        <v>393</v>
      </c>
      <c r="H65" s="177" t="s">
        <v>393</v>
      </c>
      <c r="I65" s="60" t="s">
        <v>393</v>
      </c>
    </row>
    <row r="66" spans="1:9" x14ac:dyDescent="0.25">
      <c r="A66" s="167" t="str">
        <f>HYPERLINK("[OpenSolver Tester.xlsm]'Test41'!A1", "Test41")</f>
        <v>Test41</v>
      </c>
      <c r="B66" s="60" t="s">
        <v>393</v>
      </c>
      <c r="C66" s="60" t="s">
        <v>393</v>
      </c>
      <c r="D66" s="60" t="s">
        <v>393</v>
      </c>
      <c r="E66" s="60" t="s">
        <v>432</v>
      </c>
      <c r="F66" s="60" t="s">
        <v>393</v>
      </c>
      <c r="G66" s="175" t="s">
        <v>393</v>
      </c>
      <c r="H66" s="60" t="s">
        <v>432</v>
      </c>
      <c r="I66" s="60" t="s">
        <v>393</v>
      </c>
    </row>
    <row r="67" spans="1:9" x14ac:dyDescent="0.25">
      <c r="A67" s="167" t="str">
        <f>HYPERLINK("[OpenSolver Tester.xlsm]'Test42'!A1", "Test42")</f>
        <v>Test42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393</v>
      </c>
      <c r="H67" s="60" t="s">
        <v>393</v>
      </c>
      <c r="I67" s="60" t="s">
        <v>393</v>
      </c>
    </row>
    <row r="68" spans="1:9" x14ac:dyDescent="0.25">
      <c r="A68" s="167" t="str">
        <f>HYPERLINK("[OpenSolver Tester.xlsm]'Test43'!A1", "Test43")</f>
        <v>Test43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393</v>
      </c>
      <c r="H68" s="60" t="s">
        <v>393</v>
      </c>
      <c r="I68" s="60" t="s">
        <v>393</v>
      </c>
    </row>
    <row r="69" spans="1:9" x14ac:dyDescent="0.25">
      <c r="A69" s="167" t="str">
        <f>HYPERLINK("[OpenSolver Tester.xlsm]'Test44_Seek'!A1", "Test44_Seek")</f>
        <v>Test44_Seek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393</v>
      </c>
      <c r="G69" s="60" t="s">
        <v>393</v>
      </c>
      <c r="H69" s="60" t="s">
        <v>393</v>
      </c>
      <c r="I69" s="60" t="s">
        <v>393</v>
      </c>
    </row>
    <row r="70" spans="1:9" x14ac:dyDescent="0.25">
      <c r="A70" s="167" t="str">
        <f>HYPERLINK("[OpenSolver Tester.xlsm]'Test45_SheetName(1)+2-1'!A1", "Test45_SheetName(1)+2-1")</f>
        <v>Test45_SheetName(1)+2-1</v>
      </c>
      <c r="B70" s="60" t="s">
        <v>393</v>
      </c>
      <c r="C70" s="60" t="s">
        <v>393</v>
      </c>
      <c r="D70" s="60" t="s">
        <v>393</v>
      </c>
      <c r="E70" s="60" t="s">
        <v>393</v>
      </c>
      <c r="F70" s="60" t="s">
        <v>393</v>
      </c>
      <c r="G70" s="60" t="s">
        <v>393</v>
      </c>
      <c r="H70" s="60" t="s">
        <v>393</v>
      </c>
      <c r="I70" s="60" t="s">
        <v>393</v>
      </c>
    </row>
    <row r="71" spans="1:9" x14ac:dyDescent="0.25">
      <c r="A71" s="167" t="str">
        <f>HYPERLINK("[OpenSolver Tester.xlsm]'Test46_NonLinBinary'!A1", "Test46_NonLinBinary")</f>
        <v>Test46_NonLinBinary</v>
      </c>
      <c r="B71" s="60" t="s">
        <v>393</v>
      </c>
      <c r="C71" s="60" t="s">
        <v>393</v>
      </c>
      <c r="D71" s="60" t="s">
        <v>393</v>
      </c>
      <c r="E71" s="60" t="s">
        <v>393</v>
      </c>
      <c r="F71" s="60" t="s">
        <v>393</v>
      </c>
      <c r="G71" s="60" t="s">
        <v>393</v>
      </c>
      <c r="H71" s="60" t="s">
        <v>393</v>
      </c>
      <c r="I71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R18" sqref="R18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59">
        <v>0</v>
      </c>
      <c r="E4" s="159">
        <v>5.2941176470588198</v>
      </c>
      <c r="F4" s="159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H22" sqref="H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N21" sqref="N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7.2164496600635096E-16</v>
      </c>
      <c r="E5" s="179">
        <v>5.2941176470588198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58.235294117647022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116.47058823529404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116.47058823529404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7.2164496600635096E-16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58.235294117647022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116.47058823529404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116.47058823529404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7.2164496600635096E-16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58.235294117647022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116.47058823529404</v>
      </c>
      <c r="H10" s="179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116.47058823529404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1.7507114455074735</v>
      </c>
      <c r="E5" s="1">
        <v>4.1227663537320467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15.869721952211087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62.857544346127249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173.43757349153157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46">
        <v>-4.4408920985006202E-16</v>
      </c>
      <c r="E4" s="1">
        <v>1</v>
      </c>
      <c r="F4" s="1">
        <v>1</v>
      </c>
      <c r="G4" s="146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46">
        <v>-1.5631940186722199E-13</v>
      </c>
      <c r="E4" s="1">
        <v>1</v>
      </c>
      <c r="F4" s="1">
        <v>1</v>
      </c>
      <c r="G4" s="146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712.53566661174614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10.999999999998437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21.999999999996717</v>
      </c>
      <c r="J9" s="1" t="s">
        <v>8</v>
      </c>
      <c r="K9" s="1">
        <v>150</v>
      </c>
    </row>
    <row r="10" spans="1:23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8.3970690958470797</v>
      </c>
      <c r="Q4" s="157">
        <v>0</v>
      </c>
      <c r="R4" s="10">
        <v>10.9999985799721</v>
      </c>
      <c r="S4" s="9">
        <f>SUM(Q4:R4)</f>
        <v>10.9999985799721</v>
      </c>
      <c r="T4" s="11" t="s">
        <v>8</v>
      </c>
      <c r="U4" s="10">
        <v>55</v>
      </c>
    </row>
    <row r="5" spans="1:21" x14ac:dyDescent="0.25">
      <c r="A5" s="63" t="s">
        <v>210</v>
      </c>
      <c r="D5" s="146">
        <v>-8.1281498864882398E-8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32.999999670000399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721.43093827456175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14.547825357574048</v>
      </c>
      <c r="J9" s="1" t="s">
        <v>8</v>
      </c>
      <c r="K9" s="1">
        <f>61.2345678+2.3*N4-S5</f>
        <v>14.54782606045049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28.799998453000843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1220703125</v>
      </c>
      <c r="Q4" s="157">
        <v>2441406250</v>
      </c>
      <c r="R4" s="10">
        <v>0</v>
      </c>
      <c r="S4" s="9">
        <f>SUM(Q4:R4)</f>
        <v>2441406250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1831054687.5</v>
      </c>
      <c r="J5"/>
      <c r="K5"/>
      <c r="M5" t="s">
        <v>20</v>
      </c>
      <c r="N5">
        <v>0</v>
      </c>
      <c r="Q5" s="4">
        <v>0</v>
      </c>
      <c r="R5" s="5">
        <v>1831054687.5</v>
      </c>
      <c r="S5" s="4">
        <f>SUM(Q5:R5)</f>
        <v>1831054687.5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2441406250</v>
      </c>
      <c r="R6" s="10">
        <f>SUM(R4:R5)</f>
        <v>1831054687.5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64062500000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21972656250</v>
      </c>
      <c r="J9" s="1" t="s">
        <v>8</v>
      </c>
      <c r="K9" s="1">
        <f>61.2345678+2.3*N4-S5</f>
        <v>976562561.23456764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42114257812.5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-42114257812.5</v>
      </c>
      <c r="Q11" t="s">
        <v>22</v>
      </c>
    </row>
    <row r="12" spans="1:21" x14ac:dyDescent="0.25">
      <c r="G12" s="1">
        <v>-32</v>
      </c>
      <c r="I12" s="16">
        <f>SUMPRODUCT($D$5:$G$5,D12:G12)</f>
        <v>-58593750000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1.9999999561495314</v>
      </c>
      <c r="E5" s="1">
        <v>72692.273533903062</v>
      </c>
      <c r="F5" s="1">
        <v>58667.865232564509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452752.28153187956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1503649.3916632691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2948632.91809393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249911.11739596282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594203.61270980677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14380.930224433541</v>
      </c>
      <c r="E4" s="1">
        <v>13812.496035825461</v>
      </c>
      <c r="F4" s="1">
        <v>13242.242857813835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123188.31998759881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454713.67293218151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910561.03323098272</v>
      </c>
      <c r="K9" s="1" t="s">
        <v>8</v>
      </c>
      <c r="L9" s="1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301802.8617715463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68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48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46">
        <v>-4.0630361297644396E-9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46">
        <v>-4.0630361297644396E-9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-4.7322420733340891E-7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49" t="s">
        <v>1</v>
      </c>
      <c r="J1" s="150" t="s">
        <v>2</v>
      </c>
      <c r="K1" s="150" t="s">
        <v>3</v>
      </c>
      <c r="L1" s="151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2">
        <v>2.6182822537839598</v>
      </c>
      <c r="J2" s="35">
        <v>0</v>
      </c>
      <c r="K2" s="35">
        <v>0</v>
      </c>
      <c r="L2" s="153">
        <v>27.42160784192005</v>
      </c>
    </row>
    <row r="3" spans="1:15" ht="15.75" thickBot="1" x14ac:dyDescent="0.3">
      <c r="A3" s="63" t="s">
        <v>209</v>
      </c>
      <c r="D3" s="31">
        <v>2.6182822510485702</v>
      </c>
      <c r="E3" s="31">
        <v>0</v>
      </c>
      <c r="F3" s="31">
        <v>0</v>
      </c>
      <c r="G3" s="31"/>
      <c r="I3" s="154" t="b">
        <f>ABS(D3-I2)/(1+ABS(I2))&lt;=0.000001</f>
        <v>1</v>
      </c>
      <c r="J3" s="155" t="b">
        <f>ABS(E3-J2)/(1+ABS(J2))&lt;=0.000001</f>
        <v>1</v>
      </c>
      <c r="K3" s="155" t="b">
        <f>ABS(F3-K2)/(1+ABS(K2))&lt;=0.000001</f>
        <v>1</v>
      </c>
      <c r="L3" s="156" t="b">
        <f>ABS(L2-H5)/(1+ABS(L2))&lt;=0.000001</f>
        <v>1</v>
      </c>
      <c r="O3" s="147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27.42160778462387</v>
      </c>
      <c r="I5" s="31"/>
      <c r="J5" s="31"/>
      <c r="M5" s="147"/>
      <c r="N5" s="147"/>
      <c r="O5" s="147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47"/>
      <c r="N6" s="147"/>
      <c r="O6" s="147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</v>
      </c>
      <c r="I7" s="31" t="s">
        <v>8</v>
      </c>
      <c r="J7" s="31">
        <v>60</v>
      </c>
      <c r="M7" s="147"/>
      <c r="N7" s="147"/>
      <c r="O7" s="147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47"/>
      <c r="O8" s="147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198.9473681412953</v>
      </c>
      <c r="I9" s="31" t="s">
        <v>9</v>
      </c>
      <c r="J9" s="31">
        <v>110</v>
      </c>
    </row>
    <row r="10" spans="1:15" ht="15.75" thickBot="1" x14ac:dyDescent="0.3">
      <c r="A10" s="168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198.9473681412953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198.9473681412953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198.9473681412953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198.9473681412953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198.9473681412953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198.9473681412953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198.9473681412953</v>
      </c>
      <c r="I16" s="31" t="s">
        <v>9</v>
      </c>
      <c r="J16" s="31">
        <v>110</v>
      </c>
      <c r="M16" s="147"/>
      <c r="N16" s="147"/>
      <c r="O16" s="147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198.9473681412953</v>
      </c>
      <c r="I17" s="31" t="s">
        <v>9</v>
      </c>
      <c r="J17" s="31">
        <v>110</v>
      </c>
      <c r="L17" s="17"/>
      <c r="M17" s="147"/>
      <c r="N17" s="147"/>
      <c r="O17" s="147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198.9473681412953</v>
      </c>
      <c r="I18" s="31" t="s">
        <v>9</v>
      </c>
      <c r="J18" s="31">
        <v>110</v>
      </c>
      <c r="N18" s="147"/>
      <c r="O18" s="147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198.9473681412953</v>
      </c>
      <c r="I19" s="31" t="s">
        <v>9</v>
      </c>
      <c r="J19" s="31">
        <v>110</v>
      </c>
      <c r="N19" s="147"/>
      <c r="O19" s="147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198.9473681412953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198.9473681412953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198.9473681412953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198.9473681412953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198.9473681412953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198.9473681412953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198.9473681412953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198.9473681412953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198.9473681412953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198.9473681412953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198.9473681412953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198.9473681412953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198.9473681412953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198.9473681412953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198.9473681412953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198.9473681412953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198.9473681412953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198.9473681412953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198.9473681412953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198.9473681412953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198.9473681412953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198.9473681412953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198.9473681412953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198.9473681412953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198.9473681412953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198.9473681412953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198.9473681412953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198.9473681412953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198.9473681412953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198.9473681412953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198.9473681412953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198.9473681412953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198.9473681412953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198.9473681412953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198.9473681412953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198.9473681412953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198.9473681412953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198.9473681412953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198.9473681412953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198.9473681412953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198.9473681412953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198.9473681412953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198.9473681412953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198.9473681412953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198.9473681412953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198.9473681412953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198.9473681412953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198.9473681412953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198.9473681412953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198.9473681412953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198.9473681412953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198.9473681412953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198.9473681412953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179.9999997468862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-1264.6303272564594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198.9473681412953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198.9473681412953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198.9473681412953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198.9473681412953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198.9473681412953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198.9473681412953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198.9473681412953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198.9473681412953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198.9473681412953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198.9473681412953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198.9473681412953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198.9473681412953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198.9473681412953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198.9473681412953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198.9473681412953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198.9473681412953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198.9473681412953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198.9473681412953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198.9473681412953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198.9473681412953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198.9473681412953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198.9473681412953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198.9473681412953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198.9473681412953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198.9473681412953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198.9473681412953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198.9473681412953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198.9473681412953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198.9473681412953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198.9473681412953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198.9473681412953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198.9473681412953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198.9473681412953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198.9473681412953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198.9473681412953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198.9473681412953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198.9473681412953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198.9473681412953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198.9473681412953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198.9473681412953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198.9473681412953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198.9473681412953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198.9473681412953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198.9473681412953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198.9473681412953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198.9473681412953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198.9473681412953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198.9473681412953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198.9473681412953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198.9473681412953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198.9473681412953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198.9473681412953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198.9473681412953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198.9473681412953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198.9473681412953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198.9473681412953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198.9473681412953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198.9473681412953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198.9473681412953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198.9473681412953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198.9473681412953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198.9473681412953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198.9473681412953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198.9473681412953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179.9999997468862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68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46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46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173" customWidth="1"/>
    <col min="5" max="5" width="7.28515625" style="173" customWidth="1"/>
    <col min="6" max="6" width="5.140625" style="173" customWidth="1"/>
    <col min="7" max="7" width="3.140625" style="173" customWidth="1"/>
    <col min="8" max="8" width="8.42578125" style="173" customWidth="1"/>
    <col min="9" max="9" width="3" style="173" bestFit="1" customWidth="1"/>
    <col min="10" max="10" width="6" style="173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206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173" t="s">
        <v>1</v>
      </c>
      <c r="E4" s="173" t="s">
        <v>2</v>
      </c>
      <c r="F4" s="173" t="s">
        <v>3</v>
      </c>
    </row>
    <row r="5" spans="1:10" x14ac:dyDescent="0.25">
      <c r="A5" s="63" t="s">
        <v>210</v>
      </c>
      <c r="D5" s="146">
        <v>-1.9</v>
      </c>
      <c r="E5" s="173">
        <v>-1.9</v>
      </c>
      <c r="F5" s="173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173" t="s">
        <v>9</v>
      </c>
      <c r="E6" s="173" t="s">
        <v>9</v>
      </c>
      <c r="F6" s="173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173">
        <v>-1.9</v>
      </c>
      <c r="H7"/>
      <c r="I7"/>
      <c r="J7"/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  <c r="C9" s="16" t="s">
        <v>0</v>
      </c>
      <c r="D9" s="173">
        <v>2</v>
      </c>
      <c r="E9" s="173">
        <v>3</v>
      </c>
      <c r="F9" s="173">
        <v>4</v>
      </c>
      <c r="H9" s="173">
        <f>SUMPRODUCT($D$5:$F$5,D9:F9)</f>
        <v>-9.5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173">
        <v>1</v>
      </c>
      <c r="H11" s="173">
        <f>SUMPRODUCT($D$5:$F$5,D11:F11)+5*P10</f>
        <v>-1.9</v>
      </c>
      <c r="I11" s="173" t="s">
        <v>9</v>
      </c>
      <c r="J11" s="173">
        <v>-50</v>
      </c>
    </row>
    <row r="12" spans="1:10" x14ac:dyDescent="0.25">
      <c r="E12" s="173">
        <v>1</v>
      </c>
      <c r="H12" s="173">
        <f>SUMPRODUCT($D$5:$F$5,D12:F12)</f>
        <v>-1.9</v>
      </c>
      <c r="I12" s="173" t="s">
        <v>9</v>
      </c>
      <c r="J12" s="173">
        <v>-50</v>
      </c>
    </row>
    <row r="13" spans="1:10" x14ac:dyDescent="0.25">
      <c r="F13" s="173">
        <v>1</v>
      </c>
      <c r="H13" s="173">
        <f>SUMPRODUCT($D$5:$F$5,D13:F13)</f>
        <v>0</v>
      </c>
      <c r="I13" s="173" t="s">
        <v>9</v>
      </c>
      <c r="J13" s="173">
        <v>-50</v>
      </c>
    </row>
    <row r="17" spans="1:6" x14ac:dyDescent="0.25">
      <c r="C17" s="56" t="s">
        <v>15</v>
      </c>
    </row>
    <row r="18" spans="1:6" s="173" customFormat="1" x14ac:dyDescent="0.25">
      <c r="A18" s="61"/>
      <c r="C18" s="16"/>
      <c r="D18" s="173">
        <v>-1.9</v>
      </c>
      <c r="E18" s="173">
        <v>-1.9</v>
      </c>
      <c r="F18" s="173">
        <v>0</v>
      </c>
    </row>
    <row r="19" spans="1:6" s="173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73" customFormat="1" x14ac:dyDescent="0.25">
      <c r="A21" s="61"/>
      <c r="C21" s="56" t="s">
        <v>16</v>
      </c>
    </row>
    <row r="22" spans="1:6" s="173" customFormat="1" x14ac:dyDescent="0.25">
      <c r="A22" s="61"/>
      <c r="C22" s="16"/>
      <c r="D22" s="173">
        <v>-9.5</v>
      </c>
    </row>
    <row r="23" spans="1:6" s="173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46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46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M22" sqref="M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46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46">
        <v>-2</v>
      </c>
      <c r="E4" s="146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46">
        <v>0</v>
      </c>
      <c r="F5" s="146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436999</v>
      </c>
      <c r="N9" s="58">
        <f ca="1">M9+1</f>
        <v>437000</v>
      </c>
    </row>
    <row r="10" spans="1:14" ht="15.75" thickBot="1" x14ac:dyDescent="0.3">
      <c r="A10" s="168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5452.1551717812144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16356.465515343643</v>
      </c>
      <c r="I9" s="57"/>
      <c r="J9" s="57"/>
    </row>
    <row r="10" spans="1:10" ht="15.75" thickBot="1" x14ac:dyDescent="0.3">
      <c r="A10" s="168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59973.706889593363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119947.41377918673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119947.41377918673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185373.27584056128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0.166344261963908</v>
      </c>
      <c r="E5" s="59">
        <v>5.2243727263413797</v>
      </c>
      <c r="F5" s="59">
        <v>2.4662927278786301E-2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59.427497736739689</v>
      </c>
      <c r="I9" s="59" t="s">
        <v>8</v>
      </c>
      <c r="J9" s="5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118.99667680816451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117.86218215334033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180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68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-486.34416621094385</v>
      </c>
      <c r="E13" s="30">
        <v>-1466.1492504982991</v>
      </c>
      <c r="F13" s="30">
        <v>-1852.175427334874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-12779.837793256282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-43217.188545609213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-85068.545830094503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131.52382730970567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179.99999976586696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5.0000002299749902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19.000000369969982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5.0000002299749902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436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08" t="s">
        <v>365</v>
      </c>
      <c r="C9" s="109" t="s">
        <v>366</v>
      </c>
      <c r="D9" s="109">
        <v>3</v>
      </c>
      <c r="E9" s="109">
        <v>0</v>
      </c>
      <c r="F9" s="109">
        <v>2</v>
      </c>
      <c r="G9" s="109">
        <v>1E+100</v>
      </c>
      <c r="H9" s="110">
        <v>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75">
        <v>1E+100</v>
      </c>
      <c r="H13" s="107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75">
        <v>1E+100</v>
      </c>
      <c r="H14" s="107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7">
        <v>3</v>
      </c>
    </row>
    <row r="16" spans="1:8" ht="15.75" thickBot="1" x14ac:dyDescent="0.3">
      <c r="B16" s="108" t="s">
        <v>371</v>
      </c>
      <c r="C16" s="109" t="s">
        <v>236</v>
      </c>
      <c r="D16" s="109">
        <v>4</v>
      </c>
      <c r="E16" s="109">
        <v>-1</v>
      </c>
      <c r="F16" s="109">
        <v>4</v>
      </c>
      <c r="G16" s="109">
        <v>3</v>
      </c>
      <c r="H16" s="110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3.0000001199749899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10.000000199959979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3.0000001199749899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7.0000000799849893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26952.150733450253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26952.150733450253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26952.150733450253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26952.150733450253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1.00000000002002</v>
      </c>
      <c r="D4" s="81">
        <v>1.0000000000400999</v>
      </c>
      <c r="F4">
        <f>100*(D4-C4^2)^2+(1-C4)^2</f>
        <v>4.0115925094694363E-22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68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33.932634094899498</v>
      </c>
      <c r="E5">
        <v>0.58940310805420804</v>
      </c>
    </row>
    <row r="6" spans="1:15" ht="15.75" thickBot="1" x14ac:dyDescent="0.3">
      <c r="A6" s="64" t="b">
        <f>AND(F22)</f>
        <v>1</v>
      </c>
      <c r="F6">
        <f>D5^2*E5^2</f>
        <v>399.99999999999812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19.999999999999954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34.522037202953705</v>
      </c>
      <c r="H9">
        <v>40</v>
      </c>
    </row>
    <row r="10" spans="1:15" ht="15.75" thickBot="1" x14ac:dyDescent="0.3">
      <c r="A10" s="168" t="str">
        <f>HYPERLINK("[OpenSolver Tester.xlsm]Results!A1", "&lt;- Results")</f>
        <v>&lt;- Results</v>
      </c>
      <c r="F10">
        <f>D5</f>
        <v>33.932634094899498</v>
      </c>
      <c r="G10" t="s">
        <v>9</v>
      </c>
      <c r="H10">
        <v>0</v>
      </c>
    </row>
    <row r="11" spans="1:15" x14ac:dyDescent="0.25">
      <c r="F11">
        <f>E5</f>
        <v>0.58940310805420804</v>
      </c>
      <c r="H11">
        <v>0</v>
      </c>
    </row>
    <row r="12" spans="1:15" x14ac:dyDescent="0.25">
      <c r="F12">
        <f>E5*D5+E5+D5</f>
        <v>54.522037202953655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54.522037202953655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54.522037202953655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-14.522037202953751</v>
      </c>
      <c r="G15" t="s">
        <v>8</v>
      </c>
      <c r="H15">
        <v>0</v>
      </c>
      <c r="O15" s="83"/>
    </row>
    <row r="16" spans="1:15" x14ac:dyDescent="0.25">
      <c r="F16">
        <f>E5-D5*E5+D5</f>
        <v>14.522037202953751</v>
      </c>
      <c r="G16" t="s">
        <v>8</v>
      </c>
      <c r="H16">
        <v>60</v>
      </c>
      <c r="O16" s="83"/>
    </row>
    <row r="17" spans="6:15" x14ac:dyDescent="0.25">
      <c r="F17">
        <f>E5-D5+E5*D5</f>
        <v>-13.343230986845338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J26" t="e">
        <f>solve</f>
        <v>#NAME?</v>
      </c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D10" s="158" t="s">
        <v>1</v>
      </c>
      <c r="E10" s="158" t="s">
        <v>2</v>
      </c>
      <c r="F10" s="158"/>
      <c r="G10" t="s">
        <v>242</v>
      </c>
    </row>
    <row r="11" spans="1:9" x14ac:dyDescent="0.25">
      <c r="D11" s="158">
        <v>2</v>
      </c>
      <c r="E11" s="158">
        <v>0</v>
      </c>
      <c r="F11" s="158"/>
      <c r="G11" s="158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3.1382147071219202</v>
      </c>
      <c r="E5">
        <v>3.1382147071219202</v>
      </c>
      <c r="F5">
        <v>3.1382147071219202</v>
      </c>
      <c r="G5">
        <v>3.1382147071219202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-5.712151464990086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-44.49928384896063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-31.946425020472951</v>
      </c>
      <c r="J9" t="s">
        <v>8</v>
      </c>
      <c r="K9">
        <v>0</v>
      </c>
    </row>
    <row r="10" spans="1:11" ht="15.75" thickBot="1" x14ac:dyDescent="0.3">
      <c r="A10" s="168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68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0.93825718410426995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0.41010749027389998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5.1849061806073005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281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431</v>
      </c>
      <c r="C22" s="109" t="s">
        <v>430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397</v>
      </c>
      <c r="C26" s="75" t="s">
        <v>398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399</v>
      </c>
      <c r="C27" s="75" t="s">
        <v>400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401</v>
      </c>
      <c r="C28" s="75" t="s">
        <v>402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403</v>
      </c>
      <c r="C29" s="75" t="s">
        <v>404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405</v>
      </c>
      <c r="C30" s="75" t="s">
        <v>406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407</v>
      </c>
      <c r="C31" s="75" t="s">
        <v>408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409</v>
      </c>
      <c r="C32" s="75" t="s">
        <v>410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ht="15.75" thickBot="1" x14ac:dyDescent="0.3">
      <c r="B33" s="108" t="s">
        <v>411</v>
      </c>
      <c r="C33" s="109" t="s">
        <v>412</v>
      </c>
      <c r="D33" s="109">
        <v>150</v>
      </c>
      <c r="E33" s="109">
        <v>35</v>
      </c>
      <c r="F33" s="109">
        <v>150</v>
      </c>
      <c r="G33" s="109">
        <v>0</v>
      </c>
      <c r="H33" s="110">
        <v>100</v>
      </c>
    </row>
    <row r="34" spans="2:8" x14ac:dyDescent="0.25">
      <c r="B34" s="177"/>
      <c r="C34" s="177"/>
      <c r="D34" s="177"/>
      <c r="E34" s="177"/>
      <c r="F34" s="177"/>
      <c r="G34" s="177"/>
      <c r="H34" s="177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2">
        <v>100</v>
      </c>
      <c r="E14" s="172">
        <v>99.999999999999901</v>
      </c>
      <c r="F14" s="172">
        <v>0</v>
      </c>
      <c r="G14" s="172">
        <v>0</v>
      </c>
      <c r="H14" s="172">
        <v>0</v>
      </c>
      <c r="I14">
        <f>SUM(D14:H14)</f>
        <v>199.99999999999989</v>
      </c>
      <c r="J14">
        <v>200</v>
      </c>
    </row>
    <row r="15" spans="1:10" x14ac:dyDescent="0.25">
      <c r="C15" t="s">
        <v>263</v>
      </c>
      <c r="D15" s="172">
        <v>0</v>
      </c>
      <c r="E15" s="172">
        <v>0</v>
      </c>
      <c r="F15" s="172">
        <v>200</v>
      </c>
      <c r="G15" s="172">
        <v>100</v>
      </c>
      <c r="H15" s="172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 s="172">
        <v>0</v>
      </c>
      <c r="E16" s="172">
        <v>200</v>
      </c>
      <c r="F16" s="172">
        <v>0</v>
      </c>
      <c r="G16" s="172">
        <v>0</v>
      </c>
      <c r="H16" s="172">
        <v>149.99999999999901</v>
      </c>
      <c r="I16">
        <f>SUM(D16:H16)</f>
        <v>349.99999999999898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299.99999999999989</v>
      </c>
      <c r="F17">
        <f>SUM(F14:F16)</f>
        <v>200</v>
      </c>
      <c r="G17">
        <f>SUM(G14:G16)</f>
        <v>100</v>
      </c>
      <c r="H17">
        <f>SUM(H14:H16)</f>
        <v>149.99999999999901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395</v>
      </c>
    </row>
    <row r="19" spans="3:10" x14ac:dyDescent="0.25">
      <c r="J19" t="s">
        <v>396</v>
      </c>
    </row>
    <row r="20" spans="3:10" x14ac:dyDescent="0.25">
      <c r="C20" t="s">
        <v>0</v>
      </c>
      <c r="D20">
        <f>SUMPRODUCT(D9:H11,D14:H16)</f>
        <v>13249.999999999982</v>
      </c>
      <c r="J20" t="s">
        <v>430</v>
      </c>
    </row>
    <row r="21" spans="3:10" x14ac:dyDescent="0.25">
      <c r="J21">
        <v>99999.999999990003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414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438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431</v>
      </c>
      <c r="C22" s="109" t="s">
        <v>430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397</v>
      </c>
      <c r="C26" s="75" t="s">
        <v>398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399</v>
      </c>
      <c r="C27" s="75" t="s">
        <v>400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401</v>
      </c>
      <c r="C28" s="75" t="s">
        <v>402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403</v>
      </c>
      <c r="C29" s="75" t="s">
        <v>404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405</v>
      </c>
      <c r="C30" s="75" t="s">
        <v>406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407</v>
      </c>
      <c r="C31" s="75" t="s">
        <v>408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409</v>
      </c>
      <c r="C32" s="75" t="s">
        <v>410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x14ac:dyDescent="0.25">
      <c r="B33" s="106" t="s">
        <v>411</v>
      </c>
      <c r="C33" s="75" t="s">
        <v>412</v>
      </c>
      <c r="D33" s="75">
        <v>150</v>
      </c>
      <c r="E33" s="75">
        <v>35</v>
      </c>
      <c r="F33" s="75">
        <v>150</v>
      </c>
      <c r="G33" s="75">
        <v>0</v>
      </c>
      <c r="H33" s="107">
        <v>100</v>
      </c>
    </row>
    <row r="34" spans="2:8" x14ac:dyDescent="0.25">
      <c r="B34" s="106" t="s">
        <v>415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416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417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7">
        <v>0</v>
      </c>
    </row>
    <row r="37" spans="2:8" x14ac:dyDescent="0.25">
      <c r="B37" s="106" t="s">
        <v>418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7">
        <v>0</v>
      </c>
    </row>
    <row r="38" spans="2:8" x14ac:dyDescent="0.25">
      <c r="B38" s="106" t="s">
        <v>419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7">
        <v>200</v>
      </c>
    </row>
    <row r="39" spans="2:8" x14ac:dyDescent="0.25">
      <c r="B39" s="106" t="s">
        <v>420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7">
        <v>100</v>
      </c>
    </row>
    <row r="40" spans="2:8" x14ac:dyDescent="0.25">
      <c r="B40" s="106" t="s">
        <v>421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422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423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424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7">
        <v>200</v>
      </c>
    </row>
    <row r="44" spans="2:8" x14ac:dyDescent="0.25">
      <c r="B44" s="106" t="s">
        <v>425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7">
        <v>100</v>
      </c>
    </row>
    <row r="45" spans="2:8" x14ac:dyDescent="0.25">
      <c r="B45" s="106" t="s">
        <v>426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427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7">
        <v>0</v>
      </c>
    </row>
    <row r="47" spans="2:8" x14ac:dyDescent="0.25">
      <c r="B47" s="106" t="s">
        <v>428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7">
        <v>0</v>
      </c>
    </row>
    <row r="48" spans="2:8" ht="15.75" thickBot="1" x14ac:dyDescent="0.3">
      <c r="B48" s="108" t="s">
        <v>429</v>
      </c>
      <c r="C48" s="109" t="s">
        <v>296</v>
      </c>
      <c r="D48" s="109">
        <v>150</v>
      </c>
      <c r="E48" s="109">
        <v>0</v>
      </c>
      <c r="F48" s="109">
        <v>0</v>
      </c>
      <c r="G48" s="109">
        <v>150</v>
      </c>
      <c r="H48" s="110">
        <v>1E+100</v>
      </c>
    </row>
    <row r="49" spans="2:8" x14ac:dyDescent="0.25">
      <c r="B49" s="177"/>
      <c r="C49" s="177"/>
      <c r="D49" s="177"/>
      <c r="E49" s="177"/>
      <c r="F49" s="177"/>
      <c r="G49" s="177"/>
      <c r="H49" s="177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M14" sqref="M1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413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</v>
      </c>
      <c r="E14">
        <v>99.999999999999901</v>
      </c>
      <c r="F14" s="81">
        <v>0</v>
      </c>
      <c r="G14" s="81">
        <v>0</v>
      </c>
      <c r="H14">
        <v>0</v>
      </c>
      <c r="I14">
        <f>SUM(D14:H14)</f>
        <v>199.99999999999989</v>
      </c>
      <c r="J14">
        <v>200</v>
      </c>
    </row>
    <row r="15" spans="1:11" x14ac:dyDescent="0.25">
      <c r="C15" t="s">
        <v>263</v>
      </c>
      <c r="D15" s="81">
        <v>0</v>
      </c>
      <c r="E15" s="81">
        <v>0</v>
      </c>
      <c r="F15">
        <v>200</v>
      </c>
      <c r="G15" s="81">
        <v>100</v>
      </c>
      <c r="H15" s="81">
        <v>0</v>
      </c>
      <c r="I15">
        <f>SUM(D15:H15)</f>
        <v>300</v>
      </c>
      <c r="J15">
        <v>300</v>
      </c>
    </row>
    <row r="16" spans="1:11" x14ac:dyDescent="0.25">
      <c r="C16" t="s">
        <v>264</v>
      </c>
      <c r="D16" s="81">
        <v>0</v>
      </c>
      <c r="E16">
        <v>200</v>
      </c>
      <c r="F16" s="81">
        <v>0</v>
      </c>
      <c r="G16" s="81">
        <v>0</v>
      </c>
      <c r="H16">
        <v>149.99999999999901</v>
      </c>
      <c r="I16">
        <f>SUM(D16:H16)</f>
        <v>349.99999999999898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299.99999999999989</v>
      </c>
      <c r="F17">
        <f>SUM(F14:F16)</f>
        <v>200</v>
      </c>
      <c r="G17">
        <f>SUM(G14:G16)</f>
        <v>100</v>
      </c>
      <c r="H17">
        <f>SUM(H14:H16)</f>
        <v>149.99999999999901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395</v>
      </c>
    </row>
    <row r="19" spans="3:10" x14ac:dyDescent="0.25">
      <c r="J19" t="s">
        <v>396</v>
      </c>
    </row>
    <row r="20" spans="3:10" x14ac:dyDescent="0.25">
      <c r="C20" t="s">
        <v>0</v>
      </c>
      <c r="D20">
        <f>SUMPRODUCT(D9:H11,D14:H16)</f>
        <v>13249.999999999982</v>
      </c>
      <c r="J20" t="s">
        <v>430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4"/>
      <c r="D1" s="115"/>
      <c r="E1" s="114"/>
    </row>
    <row r="2" spans="1:5" ht="15.75" thickBot="1" x14ac:dyDescent="0.3">
      <c r="A2" s="64" t="s">
        <v>206</v>
      </c>
      <c r="C2" s="116"/>
      <c r="D2" s="117"/>
      <c r="E2" s="114"/>
    </row>
    <row r="3" spans="1:5" x14ac:dyDescent="0.25">
      <c r="A3" s="63" t="s">
        <v>209</v>
      </c>
      <c r="C3" s="118" t="s">
        <v>305</v>
      </c>
      <c r="D3" s="119">
        <v>365</v>
      </c>
      <c r="E3" s="120"/>
    </row>
    <row r="4" spans="1:5" ht="15.75" thickBot="1" x14ac:dyDescent="0.3">
      <c r="A4" s="64" t="s">
        <v>208</v>
      </c>
      <c r="C4" s="118" t="s">
        <v>306</v>
      </c>
      <c r="D4" s="119">
        <v>5</v>
      </c>
      <c r="E4" s="120"/>
    </row>
    <row r="5" spans="1:5" x14ac:dyDescent="0.25">
      <c r="A5" s="63" t="s">
        <v>210</v>
      </c>
      <c r="C5" s="118" t="s">
        <v>307</v>
      </c>
      <c r="D5" s="121">
        <v>10</v>
      </c>
      <c r="E5" s="120"/>
    </row>
    <row r="6" spans="1:5" ht="15.75" thickBot="1" x14ac:dyDescent="0.3">
      <c r="A6" s="64" t="b">
        <f>AND(D17)</f>
        <v>1</v>
      </c>
      <c r="C6" s="118" t="s">
        <v>308</v>
      </c>
      <c r="D6" s="121">
        <v>20</v>
      </c>
      <c r="E6" s="120"/>
    </row>
    <row r="7" spans="1:5" x14ac:dyDescent="0.25">
      <c r="A7" s="63" t="s">
        <v>211</v>
      </c>
      <c r="C7" s="118" t="s">
        <v>309</v>
      </c>
      <c r="D7" s="119">
        <v>0.1</v>
      </c>
      <c r="E7" s="120"/>
    </row>
    <row r="8" spans="1:5" x14ac:dyDescent="0.25">
      <c r="A8" s="65" t="s">
        <v>201</v>
      </c>
      <c r="C8" s="118" t="s">
        <v>310</v>
      </c>
      <c r="D8" s="119">
        <f>D6*D7/D3</f>
        <v>5.4794520547945206E-3</v>
      </c>
      <c r="E8" s="120"/>
    </row>
    <row r="9" spans="1:5" ht="15.75" thickBot="1" x14ac:dyDescent="0.3">
      <c r="A9" s="64">
        <f>VLOOKUP(A8,OpenSolverResultCodes,2,FALSE)</f>
        <v>0</v>
      </c>
      <c r="C9" s="118"/>
      <c r="D9" s="119"/>
      <c r="E9" s="120"/>
    </row>
    <row r="10" spans="1:5" ht="15.75" thickBot="1" x14ac:dyDescent="0.3">
      <c r="A10" s="168" t="str">
        <f>HYPERLINK("[OpenSolver Tester.xlsm]Results!A1", "&lt;- Results")</f>
        <v>&lt;- Results</v>
      </c>
      <c r="C10" s="118"/>
      <c r="D10" s="119"/>
      <c r="E10" s="120"/>
    </row>
    <row r="11" spans="1:5" x14ac:dyDescent="0.25">
      <c r="C11" s="118" t="s">
        <v>311</v>
      </c>
      <c r="D11" s="176">
        <v>135.092560885014</v>
      </c>
      <c r="E11" s="120"/>
    </row>
    <row r="12" spans="1:5" x14ac:dyDescent="0.25">
      <c r="C12" s="118" t="s">
        <v>312</v>
      </c>
      <c r="D12" s="119">
        <f>D11/D4</f>
        <v>27.018512177002798</v>
      </c>
      <c r="E12" s="120"/>
    </row>
    <row r="13" spans="1:5" x14ac:dyDescent="0.25">
      <c r="C13" s="118" t="s">
        <v>313</v>
      </c>
      <c r="D13" s="121">
        <f>D8*D11/2</f>
        <v>0.37011660516442191</v>
      </c>
      <c r="E13" s="120"/>
    </row>
    <row r="14" spans="1:5" x14ac:dyDescent="0.25">
      <c r="C14" s="118" t="s">
        <v>314</v>
      </c>
      <c r="D14" s="122">
        <f>D5/D12</f>
        <v>0.37011660503318339</v>
      </c>
      <c r="E14" s="120"/>
    </row>
    <row r="15" spans="1:5" x14ac:dyDescent="0.25">
      <c r="C15" s="118"/>
      <c r="D15" s="119"/>
      <c r="E15" s="120"/>
    </row>
    <row r="16" spans="1:5" x14ac:dyDescent="0.25">
      <c r="C16" s="118" t="s">
        <v>315</v>
      </c>
      <c r="D16" s="123">
        <f>D13+D14</f>
        <v>0.74023321019760524</v>
      </c>
      <c r="E16" s="120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36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5" customFormat="1" x14ac:dyDescent="0.25">
      <c r="A1" s="63" t="s">
        <v>348</v>
      </c>
      <c r="B1" s="87"/>
      <c r="C1" s="119"/>
      <c r="D1" s="119" t="s">
        <v>319</v>
      </c>
      <c r="E1" s="119" t="s">
        <v>320</v>
      </c>
      <c r="F1" s="124" t="s">
        <v>126</v>
      </c>
      <c r="G1" s="124" t="s">
        <v>224</v>
      </c>
      <c r="H1" s="124" t="s">
        <v>128</v>
      </c>
      <c r="I1" s="124" t="s">
        <v>225</v>
      </c>
      <c r="J1" s="124" t="s">
        <v>321</v>
      </c>
      <c r="K1" s="127"/>
      <c r="N1" s="128" t="s">
        <v>322</v>
      </c>
      <c r="O1" s="128" t="s">
        <v>251</v>
      </c>
      <c r="P1" s="128" t="s">
        <v>252</v>
      </c>
    </row>
    <row r="2" spans="1:16" s="125" customFormat="1" ht="15.75" thickBot="1" x14ac:dyDescent="0.3">
      <c r="A2" s="64" t="s">
        <v>206</v>
      </c>
      <c r="B2" s="87"/>
      <c r="C2" s="119" t="s">
        <v>323</v>
      </c>
      <c r="D2" s="119">
        <v>0</v>
      </c>
      <c r="E2" s="119">
        <v>0</v>
      </c>
      <c r="F2" s="126">
        <v>0.287799197719317</v>
      </c>
      <c r="G2" s="126">
        <v>0.49925261467384102</v>
      </c>
      <c r="H2" s="126">
        <v>1.7130007299066801</v>
      </c>
      <c r="I2" s="126">
        <v>0.49905853963560498</v>
      </c>
      <c r="J2" s="124">
        <f>SQRT(($F$2-D2)^2+($G$2-E2)^2)</f>
        <v>0.57626517460848636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5" customFormat="1" x14ac:dyDescent="0.25">
      <c r="A3" s="63" t="s">
        <v>209</v>
      </c>
      <c r="B3" s="87"/>
      <c r="C3" s="119" t="s">
        <v>324</v>
      </c>
      <c r="D3" s="119">
        <v>0</v>
      </c>
      <c r="E3" s="119">
        <v>1</v>
      </c>
      <c r="F3" s="124"/>
      <c r="G3" s="124"/>
      <c r="H3" s="124"/>
      <c r="I3" s="124"/>
      <c r="J3" s="124">
        <f>SQRT(($F$2-D3)^2+($G$2-E3)^2)</f>
        <v>0.57756066531479389</v>
      </c>
      <c r="K3" s="100"/>
      <c r="N3" s="90" t="s">
        <v>327</v>
      </c>
      <c r="O3" s="90">
        <f>$F$2</f>
        <v>0.287799197719317</v>
      </c>
      <c r="P3" s="90">
        <f>$G$2</f>
        <v>0.49925261467384102</v>
      </c>
    </row>
    <row r="4" spans="1:16" s="125" customFormat="1" ht="15.75" thickBot="1" x14ac:dyDescent="0.3">
      <c r="A4" s="64" t="s">
        <v>208</v>
      </c>
      <c r="B4" s="87"/>
      <c r="C4" s="119" t="s">
        <v>325</v>
      </c>
      <c r="D4" s="119">
        <v>2</v>
      </c>
      <c r="E4" s="119">
        <v>1</v>
      </c>
      <c r="F4" s="124"/>
      <c r="G4" s="124"/>
      <c r="H4" s="124"/>
      <c r="I4" s="124"/>
      <c r="J4" s="124">
        <f>SQRT(($H$2-D4)^2+($I$2-E4)^2)</f>
        <v>0.57733086505582842</v>
      </c>
      <c r="K4" s="100"/>
      <c r="N4" s="90"/>
      <c r="O4" s="90"/>
      <c r="P4" s="90"/>
    </row>
    <row r="5" spans="1:16" s="125" customFormat="1" x14ac:dyDescent="0.25">
      <c r="A5" s="63" t="s">
        <v>210</v>
      </c>
      <c r="B5" s="87"/>
      <c r="C5" s="119" t="s">
        <v>326</v>
      </c>
      <c r="D5" s="119">
        <v>2</v>
      </c>
      <c r="E5" s="119">
        <v>0</v>
      </c>
      <c r="F5" s="124"/>
      <c r="G5" s="124"/>
      <c r="H5" s="124"/>
      <c r="I5" s="124"/>
      <c r="J5" s="124">
        <f>SQRT(($H$2-D5)^2+($I$2-E5)^2)</f>
        <v>0.57569784350588038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5" customFormat="1" ht="15.75" thickBot="1" x14ac:dyDescent="0.3">
      <c r="A6" s="64" t="b">
        <f>AND(F23,G23,H23,I23,J23)</f>
        <v>1</v>
      </c>
      <c r="B6" s="87"/>
      <c r="C6" s="129" t="s">
        <v>328</v>
      </c>
      <c r="D6" s="130"/>
      <c r="E6" s="131"/>
      <c r="F6" s="131"/>
      <c r="G6" s="131"/>
      <c r="H6" s="131"/>
      <c r="I6" s="132"/>
      <c r="J6" s="124">
        <f>SQRT((H2-F2)^2+(I2-G2)^2)</f>
        <v>1.4252015454013258</v>
      </c>
      <c r="K6" s="100"/>
      <c r="N6" s="90" t="s">
        <v>327</v>
      </c>
      <c r="O6" s="90">
        <f>$F$2</f>
        <v>0.287799197719317</v>
      </c>
      <c r="P6" s="90">
        <f>$G$2</f>
        <v>0.49925261467384102</v>
      </c>
    </row>
    <row r="7" spans="1:16" x14ac:dyDescent="0.25">
      <c r="A7" s="63" t="s">
        <v>211</v>
      </c>
      <c r="C7" s="114"/>
      <c r="D7" s="133"/>
      <c r="E7" s="114"/>
      <c r="F7" s="114"/>
      <c r="G7" s="114"/>
      <c r="H7" s="114"/>
      <c r="I7" s="134" t="s">
        <v>71</v>
      </c>
      <c r="J7" s="135">
        <f>SUM(J2:J6,K2:K6)</f>
        <v>3.7320560938863148</v>
      </c>
      <c r="K7" s="120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1.7130007299066801</v>
      </c>
      <c r="P9" s="90">
        <f>$I$2</f>
        <v>0.49905853963560498</v>
      </c>
    </row>
    <row r="10" spans="1:16" ht="15.75" thickBot="1" x14ac:dyDescent="0.3">
      <c r="A10" s="168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1.7130007299066801</v>
      </c>
      <c r="P12" s="90">
        <f>$I$2</f>
        <v>0.49905853963560498</v>
      </c>
    </row>
    <row r="14" spans="1:16" x14ac:dyDescent="0.25">
      <c r="N14" s="90" t="s">
        <v>327</v>
      </c>
      <c r="O14" s="90">
        <f>$F$2</f>
        <v>0.287799197719317</v>
      </c>
      <c r="P14" s="90">
        <f>$G$2</f>
        <v>0.49925261467384102</v>
      </c>
    </row>
    <row r="15" spans="1:16" x14ac:dyDescent="0.25">
      <c r="N15" s="90" t="s">
        <v>329</v>
      </c>
      <c r="O15" s="90">
        <f>$H$2</f>
        <v>1.7130007299066801</v>
      </c>
      <c r="P15" s="90">
        <f>$I$2</f>
        <v>0.49905853963560498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26">
        <v>0.28867444302612322</v>
      </c>
      <c r="G23" s="126">
        <v>0.49999853295374613</v>
      </c>
      <c r="H23" s="126">
        <v>1.7113233039553806</v>
      </c>
      <c r="I23" s="126">
        <v>0.4999986254183782</v>
      </c>
      <c r="J23" s="135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37" customWidth="1"/>
    <col min="4" max="4" width="7" style="137" customWidth="1"/>
    <col min="5" max="16384" width="10.28515625" style="137"/>
  </cols>
  <sheetData>
    <row r="1" spans="1:9" x14ac:dyDescent="0.25">
      <c r="A1" s="63" t="s">
        <v>348</v>
      </c>
      <c r="C1" s="181" t="s">
        <v>331</v>
      </c>
      <c r="D1" s="181"/>
      <c r="E1" s="181"/>
    </row>
    <row r="2" spans="1:9" ht="16.5" thickBot="1" x14ac:dyDescent="0.35">
      <c r="A2" s="64" t="s">
        <v>205</v>
      </c>
      <c r="C2" s="138" t="s">
        <v>332</v>
      </c>
      <c r="D2" s="137">
        <v>3</v>
      </c>
      <c r="H2" s="137" t="s">
        <v>333</v>
      </c>
    </row>
    <row r="3" spans="1:9" ht="15.75" x14ac:dyDescent="0.3">
      <c r="A3" s="63" t="s">
        <v>209</v>
      </c>
      <c r="C3" s="138" t="s">
        <v>334</v>
      </c>
      <c r="D3" s="137">
        <v>5</v>
      </c>
      <c r="H3" s="137">
        <v>0</v>
      </c>
      <c r="I3" s="137">
        <v>0</v>
      </c>
    </row>
    <row r="4" spans="1:9" ht="15.75" thickBot="1" x14ac:dyDescent="0.3">
      <c r="A4" s="64" t="s">
        <v>208</v>
      </c>
      <c r="C4" s="138" t="s">
        <v>335</v>
      </c>
      <c r="D4" s="137">
        <v>7</v>
      </c>
      <c r="H4" s="137">
        <f>COS(RADIANS(D7))*D2</f>
        <v>2.3571428570978941</v>
      </c>
      <c r="I4" s="137">
        <f>SIN(RADIANS(D7))*D2</f>
        <v>1.8557687224523363</v>
      </c>
    </row>
    <row r="5" spans="1:9" x14ac:dyDescent="0.25">
      <c r="A5" s="63" t="s">
        <v>210</v>
      </c>
      <c r="H5" s="137">
        <f>H4+COS(RADIANS(D8))*D3</f>
        <v>6.9999999999275389</v>
      </c>
      <c r="I5" s="137">
        <f>I4+SIN(RADIANS(D8))*D3</f>
        <v>-1.1685763467994548E-11</v>
      </c>
    </row>
    <row r="6" spans="1:9" ht="15.75" thickBot="1" x14ac:dyDescent="0.3">
      <c r="A6" s="64" t="b">
        <f>AND(F16)</f>
        <v>1</v>
      </c>
      <c r="C6" s="181" t="s">
        <v>228</v>
      </c>
      <c r="D6" s="181"/>
      <c r="E6" s="181"/>
    </row>
    <row r="7" spans="1:9" x14ac:dyDescent="0.25">
      <c r="A7" s="63" t="s">
        <v>211</v>
      </c>
      <c r="C7" s="139" t="s">
        <v>336</v>
      </c>
      <c r="D7" s="140">
        <v>38.2132107031264</v>
      </c>
      <c r="E7" s="137" t="s">
        <v>337</v>
      </c>
    </row>
    <row r="8" spans="1:9" x14ac:dyDescent="0.25">
      <c r="A8" s="65" t="s">
        <v>201</v>
      </c>
      <c r="C8" s="139" t="s">
        <v>338</v>
      </c>
      <c r="D8" s="140">
        <v>-21.786789299110801</v>
      </c>
      <c r="E8" s="137" t="s">
        <v>337</v>
      </c>
      <c r="H8" s="137">
        <f>D4</f>
        <v>7</v>
      </c>
      <c r="I8" s="137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C10" s="181" t="s">
        <v>339</v>
      </c>
      <c r="D10" s="181"/>
      <c r="E10" s="181"/>
    </row>
    <row r="11" spans="1:9" x14ac:dyDescent="0.25">
      <c r="C11" s="141" t="s">
        <v>340</v>
      </c>
      <c r="D11" s="141" t="s">
        <v>341</v>
      </c>
      <c r="E11" s="142" t="s">
        <v>342</v>
      </c>
      <c r="F11" s="142" t="s">
        <v>343</v>
      </c>
    </row>
    <row r="12" spans="1:9" x14ac:dyDescent="0.25">
      <c r="C12" s="142">
        <f>D2*COS(RADIANS(D7))+D3*COS(RADIANS(D8))</f>
        <v>6.9999999999275389</v>
      </c>
      <c r="D12" s="142">
        <f>D4</f>
        <v>7</v>
      </c>
      <c r="E12" s="142">
        <f>D12-C12</f>
        <v>7.2461148192815017E-11</v>
      </c>
      <c r="F12" s="142">
        <f>E12^2</f>
        <v>5.250617997421099E-21</v>
      </c>
    </row>
    <row r="13" spans="1:9" x14ac:dyDescent="0.25">
      <c r="C13" s="142">
        <f>D2*SIN(RADIANS(D7))+D3*SIN(RADIANS(D8))</f>
        <v>-1.1685763467994548E-11</v>
      </c>
      <c r="D13" s="142">
        <v>0</v>
      </c>
      <c r="E13" s="142">
        <f>C13-D13</f>
        <v>-1.1685763467994548E-11</v>
      </c>
      <c r="F13" s="142">
        <f>E13^2</f>
        <v>1.3655706782991596E-22</v>
      </c>
    </row>
    <row r="15" spans="1:9" x14ac:dyDescent="0.25">
      <c r="C15" s="181" t="s">
        <v>344</v>
      </c>
      <c r="D15" s="181"/>
      <c r="E15" s="181"/>
      <c r="F15" s="143">
        <f>SUM(F12:F13)</f>
        <v>5.387175065251015E-21</v>
      </c>
    </row>
    <row r="16" spans="1:9" x14ac:dyDescent="0.25">
      <c r="C16" s="144"/>
      <c r="F16" s="137" t="b">
        <f>ABS(F15)&lt;=0.000001</f>
        <v>1</v>
      </c>
    </row>
    <row r="27" spans="3:4" x14ac:dyDescent="0.25">
      <c r="C27" s="137" t="s">
        <v>345</v>
      </c>
      <c r="D27" s="140">
        <v>-30</v>
      </c>
    </row>
    <row r="28" spans="3:4" x14ac:dyDescent="0.25">
      <c r="C28" s="137" t="s">
        <v>346</v>
      </c>
      <c r="D28" s="140">
        <v>50</v>
      </c>
    </row>
    <row r="30" spans="3:4" x14ac:dyDescent="0.25">
      <c r="C30" s="137" t="s">
        <v>347</v>
      </c>
      <c r="D30" s="140">
        <v>30</v>
      </c>
    </row>
    <row r="31" spans="3:4" x14ac:dyDescent="0.25">
      <c r="D31" s="140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99.999999000066595</v>
      </c>
      <c r="F2">
        <v>-9.9665840025409108E-9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49.999999847020014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99.999999000066595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-500.00000202976656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-9.9665840025409108E-9</v>
      </c>
      <c r="H9" t="s">
        <v>8</v>
      </c>
      <c r="I9">
        <v>72</v>
      </c>
    </row>
    <row r="10" spans="1:9" ht="15.75" thickBot="1" x14ac:dyDescent="0.3">
      <c r="A10" s="168" t="str">
        <f>HYPERLINK("[OpenSolver Tester.xlsm]Results!A1", "&lt;- Results")</f>
        <v>&lt;- Results</v>
      </c>
    </row>
    <row r="11" spans="1:9" x14ac:dyDescent="0.25">
      <c r="D11" s="145" t="s">
        <v>1</v>
      </c>
      <c r="E11" s="145" t="s">
        <v>2</v>
      </c>
      <c r="F11" s="145" t="s">
        <v>3</v>
      </c>
      <c r="G11" s="145" t="s">
        <v>242</v>
      </c>
    </row>
    <row r="12" spans="1:9" x14ac:dyDescent="0.25">
      <c r="D12" s="145">
        <v>250</v>
      </c>
      <c r="E12" s="145">
        <v>100</v>
      </c>
      <c r="F12" s="145">
        <v>0</v>
      </c>
      <c r="G12" s="145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387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439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384</v>
      </c>
      <c r="C7" s="75" t="s">
        <v>388</v>
      </c>
      <c r="D7" s="75">
        <v>249.99999999999901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75">
        <v>1E+100</v>
      </c>
      <c r="H8" s="107">
        <v>0.25</v>
      </c>
    </row>
    <row r="9" spans="1:8" ht="15.75" thickBot="1" x14ac:dyDescent="0.3">
      <c r="B9" s="108" t="s">
        <v>386</v>
      </c>
      <c r="C9" s="109" t="s">
        <v>390</v>
      </c>
      <c r="D9" s="109">
        <v>0</v>
      </c>
      <c r="E9" s="109">
        <v>0</v>
      </c>
      <c r="F9" s="109">
        <v>0.4</v>
      </c>
      <c r="G9" s="109">
        <v>-0.4</v>
      </c>
      <c r="H9" s="110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21.599999999999994</v>
      </c>
      <c r="H13" s="107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7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7">
        <v>100</v>
      </c>
    </row>
    <row r="16" spans="1:8" ht="15.75" thickBot="1" x14ac:dyDescent="0.3">
      <c r="B16" s="108" t="s">
        <v>381</v>
      </c>
      <c r="C16" s="109">
        <v>0</v>
      </c>
      <c r="D16" s="109">
        <v>-500</v>
      </c>
      <c r="E16" s="109">
        <v>0</v>
      </c>
      <c r="F16" s="109">
        <v>72</v>
      </c>
      <c r="G16" s="109">
        <v>1E+100</v>
      </c>
      <c r="H16" s="110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</v>
      </c>
      <c r="E2">
        <v>100.000000019718</v>
      </c>
      <c r="F2" s="81">
        <v>-9.8587520369619597E-9</v>
      </c>
      <c r="L2" t="s">
        <v>379</v>
      </c>
      <c r="M2">
        <v>0</v>
      </c>
      <c r="N2">
        <v>21.599999999999994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349.99999999999926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100.000000019718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-499.99999999013875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-9.8587520369619597E-9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68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58" t="s">
        <v>1</v>
      </c>
      <c r="E11" s="158" t="s">
        <v>2</v>
      </c>
      <c r="F11" s="158" t="s">
        <v>3</v>
      </c>
      <c r="G11" s="158" t="s">
        <v>242</v>
      </c>
    </row>
    <row r="12" spans="1:15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3" customWidth="1"/>
    <col min="5" max="6" width="5.140625" style="163" customWidth="1"/>
    <col min="7" max="7" width="3.140625" style="163" customWidth="1"/>
    <col min="8" max="8" width="8.42578125" style="163" customWidth="1"/>
    <col min="9" max="9" width="3" style="163" bestFit="1" customWidth="1"/>
    <col min="10" max="10" width="6" style="163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3" t="s">
        <v>1</v>
      </c>
      <c r="E3" s="163" t="s">
        <v>2</v>
      </c>
      <c r="F3" s="163" t="s">
        <v>3</v>
      </c>
    </row>
    <row r="4" spans="1:10" ht="15.75" thickBot="1" x14ac:dyDescent="0.3">
      <c r="A4" s="64" t="s">
        <v>207</v>
      </c>
      <c r="D4" s="163">
        <v>0</v>
      </c>
      <c r="E4" s="163">
        <v>5.2941176470588198</v>
      </c>
      <c r="F4" s="163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3">
        <v>2</v>
      </c>
      <c r="E6" s="163">
        <v>3</v>
      </c>
      <c r="F6" s="163">
        <v>4</v>
      </c>
      <c r="H6" s="163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3">
        <v>10</v>
      </c>
      <c r="E8" s="163">
        <v>11</v>
      </c>
      <c r="F8" s="163">
        <v>12</v>
      </c>
      <c r="H8" s="163">
        <f>SUMPRODUCT($D$4:$F$4,D8:F8)+5*P7</f>
        <v>58.235294117647015</v>
      </c>
      <c r="I8" s="163" t="s">
        <v>8</v>
      </c>
      <c r="J8" s="163">
        <v>60</v>
      </c>
    </row>
    <row r="9" spans="1:10" ht="15.75" thickBot="1" x14ac:dyDescent="0.3">
      <c r="A9" s="64">
        <f>VLOOKUP(A8,OpenSolverResultCodes,2,FALSE)</f>
        <v>0</v>
      </c>
      <c r="D9" s="163">
        <v>21</v>
      </c>
      <c r="E9" s="163">
        <v>22</v>
      </c>
      <c r="F9" s="163">
        <v>23</v>
      </c>
      <c r="H9" s="163">
        <f>SUMPRODUCT($D$4:$F$4,D9:F9)</f>
        <v>116.47058823529403</v>
      </c>
      <c r="I9" s="163" t="s">
        <v>8</v>
      </c>
      <c r="J9" s="163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63">
        <v>21</v>
      </c>
      <c r="E10" s="163">
        <v>22</v>
      </c>
      <c r="F10" s="163">
        <v>-23</v>
      </c>
      <c r="H10" s="163">
        <f>SUMPRODUCT($D$4:$F$4,D10:F10)</f>
        <v>116.47058823529403</v>
      </c>
      <c r="I10" s="163" t="s">
        <v>9</v>
      </c>
      <c r="J10" s="163">
        <v>110</v>
      </c>
    </row>
    <row r="11" spans="1:10" x14ac:dyDescent="0.25">
      <c r="D11" s="163">
        <v>19</v>
      </c>
      <c r="E11" s="163">
        <v>34</v>
      </c>
      <c r="F11" s="163">
        <v>-32</v>
      </c>
      <c r="H11" s="163">
        <f>SUMPRODUCT($D$4:$F$4,D11:F11)</f>
        <v>179.99999999999989</v>
      </c>
      <c r="I11" s="163" t="s">
        <v>10</v>
      </c>
      <c r="J11" s="163">
        <v>180</v>
      </c>
    </row>
    <row r="15" spans="1:10" x14ac:dyDescent="0.25">
      <c r="C15" s="17" t="s">
        <v>15</v>
      </c>
    </row>
    <row r="16" spans="1:10" x14ac:dyDescent="0.25">
      <c r="D16" s="163">
        <v>0</v>
      </c>
      <c r="E16" s="163">
        <v>5.294117647058874</v>
      </c>
      <c r="F16" s="163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3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69"/>
      <c r="G3" s="169"/>
      <c r="H3" t="s">
        <v>394</v>
      </c>
    </row>
    <row r="4" spans="1:8" ht="15.75" thickBot="1" x14ac:dyDescent="0.3">
      <c r="A4" s="64" t="s">
        <v>208</v>
      </c>
      <c r="C4" s="36">
        <v>0</v>
      </c>
      <c r="D4" s="170">
        <v>0</v>
      </c>
      <c r="E4" s="169"/>
      <c r="G4" s="169"/>
    </row>
    <row r="5" spans="1:8" x14ac:dyDescent="0.25">
      <c r="A5" s="63" t="s">
        <v>210</v>
      </c>
      <c r="C5" s="35"/>
      <c r="D5" s="35"/>
      <c r="E5" s="169"/>
      <c r="F5" s="35"/>
      <c r="G5" s="169"/>
    </row>
    <row r="6" spans="1:8" ht="15.75" thickBot="1" x14ac:dyDescent="0.3">
      <c r="A6" s="64" t="b">
        <f>AND(C20,D20,E20,C24)</f>
        <v>1</v>
      </c>
      <c r="C6" s="171">
        <f>100*(D4-(0.5+C4)^2)^2+(1-C4)^2</f>
        <v>7.25</v>
      </c>
      <c r="E6" s="169"/>
      <c r="F6" s="35"/>
      <c r="G6" s="169"/>
    </row>
    <row r="7" spans="1:8" x14ac:dyDescent="0.25">
      <c r="A7" s="63" t="s">
        <v>211</v>
      </c>
      <c r="E7" s="169"/>
      <c r="F7" s="35"/>
      <c r="G7" s="169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0">
        <v>1</v>
      </c>
      <c r="E9" s="36">
        <f>SUMPRODUCT(C9:D9,$C$4:$D$4,C8:D8)</f>
        <v>0</v>
      </c>
      <c r="F9" s="37" t="s">
        <v>9</v>
      </c>
      <c r="G9" s="170">
        <v>0</v>
      </c>
    </row>
    <row r="10" spans="1:8" ht="15.75" thickBot="1" x14ac:dyDescent="0.3">
      <c r="A10" s="168" t="str">
        <f>HYPERLINK("[OpenSolver Tester.xlsm]Results!A1", "&lt;- Results")</f>
        <v>&lt;- Results</v>
      </c>
    </row>
    <row r="15" spans="1:8" x14ac:dyDescent="0.25">
      <c r="C15" s="17" t="s">
        <v>15</v>
      </c>
      <c r="D15" s="169"/>
      <c r="E15" s="169"/>
      <c r="F15" s="169"/>
    </row>
    <row r="16" spans="1:8" x14ac:dyDescent="0.25">
      <c r="D16" s="169">
        <v>0</v>
      </c>
      <c r="E16" s="169">
        <v>0</v>
      </c>
      <c r="F16" s="169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69"/>
      <c r="E18" s="169"/>
      <c r="F18" s="169"/>
    </row>
    <row r="19" spans="3:6" x14ac:dyDescent="0.25">
      <c r="C19" s="17" t="s">
        <v>16</v>
      </c>
      <c r="D19" s="169"/>
      <c r="E19" s="169"/>
      <c r="F19" s="169"/>
    </row>
    <row r="20" spans="3:6" x14ac:dyDescent="0.25">
      <c r="D20" s="169">
        <v>7.25</v>
      </c>
      <c r="E20" s="169"/>
      <c r="F20" s="169"/>
    </row>
    <row r="21" spans="3:6" x14ac:dyDescent="0.25">
      <c r="C21" t="s">
        <v>17</v>
      </c>
      <c r="D21" s="8" t="b">
        <f>ABS(D20-C6)/(1+ABS(D20))&lt;=0.000001</f>
        <v>1</v>
      </c>
      <c r="E21" s="169"/>
      <c r="F21" s="169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163</vt:i4>
      </vt:variant>
    </vt:vector>
  </HeadingPairs>
  <TitlesOfParts>
    <vt:vector size="24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Test15e_Relax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lll</vt:lpstr>
      <vt:lpstr>MinValue</vt:lpstr>
      <vt:lpstr>ModelType</vt:lpstr>
      <vt:lpstr>myNamedRange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Test15e_Relax!OpenSolver_ModelParameters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Test15e_Relax!Scale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Test15e_Relax!Sheet1OpenSolverModelParameters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2015-03-13T03:41:34Z</dcterms:modified>
</cp:coreProperties>
</file>