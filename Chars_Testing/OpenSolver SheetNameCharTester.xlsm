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taiji\OpenSolverTester\Chars_Testing\"/>
    </mc:Choice>
  </mc:AlternateContent>
  <xr:revisionPtr revIDLastSave="0" documentId="13_ncr:1_{9CE9E859-622E-4EE1-82BF-63045AD29DC1}" xr6:coauthVersionLast="45" xr6:coauthVersionMax="45" xr10:uidLastSave="{00000000-0000-0000-0000-000000000000}"/>
  <bookViews>
    <workbookView xWindow="-108" yWindow="-108" windowWidth="23256" windowHeight="12576" tabRatio="884" firstSheet="2" activeTab="2" xr2:uid="{00000000-000D-0000-FFFF-FFFF00000000}"/>
  </bookViews>
  <sheets>
    <sheet name="Data" sheetId="61" r:id="rId1"/>
    <sheet name="__OpenSolver__" sheetId="114" state="hidden" r:id="rId2"/>
    <sheet name="Results" sheetId="60" r:id="rId3"/>
    <sheet name="SimpleLP" sheetId="1" r:id="rId4"/>
    <sheet name="SimpleIP" sheetId="113" r:id="rId5"/>
    <sheet name="BadName!" sheetId="10" r:id="rId6"/>
    <sheet name="EscapeSheetName(1)+2-1" sheetId="94" r:id="rId7"/>
    <sheet name="!BadName" sheetId="115" r:id="rId8"/>
    <sheet name="Bad!Name" sheetId="116" r:id="rId9"/>
    <sheet name="@BadName" sheetId="117" r:id="rId10"/>
    <sheet name="Bad@Name" sheetId="118" r:id="rId11"/>
    <sheet name="BadName@" sheetId="120" r:id="rId12"/>
    <sheet name="#BadName" sheetId="121" r:id="rId13"/>
    <sheet name="Bad#Name" sheetId="122" r:id="rId14"/>
    <sheet name="BadName#" sheetId="123" r:id="rId15"/>
    <sheet name="$BadName" sheetId="124" r:id="rId16"/>
    <sheet name="Bad$Name" sheetId="126" r:id="rId17"/>
    <sheet name="BadName$" sheetId="127" r:id="rId18"/>
    <sheet name="%BadName" sheetId="128" r:id="rId19"/>
    <sheet name="Bad%Name" sheetId="129" r:id="rId20"/>
    <sheet name="BadName%" sheetId="130" r:id="rId21"/>
    <sheet name="^BadName" sheetId="131" r:id="rId22"/>
    <sheet name="Bad^Name" sheetId="132" r:id="rId23"/>
    <sheet name="BadName^" sheetId="133" r:id="rId24"/>
    <sheet name="&amp;BadName" sheetId="134" r:id="rId25"/>
    <sheet name="Bad&amp;Name" sheetId="135" r:id="rId26"/>
    <sheet name="BadName&amp;" sheetId="136" r:id="rId27"/>
    <sheet name="|BadName" sheetId="137" r:id="rId28"/>
    <sheet name="Bad|Name" sheetId="138" r:id="rId29"/>
    <sheet name="BadName|" sheetId="139" r:id="rId30"/>
    <sheet name="-BadName" sheetId="140" r:id="rId31"/>
    <sheet name="Bad-Name" sheetId="141" r:id="rId32"/>
    <sheet name="BadName-" sheetId="142" r:id="rId33"/>
    <sheet name="=BadName" sheetId="143" r:id="rId34"/>
    <sheet name="Bad=Name" sheetId="144" r:id="rId35"/>
    <sheet name="BadName=" sheetId="145" r:id="rId36"/>
  </sheets>
  <functionGroups builtInGroupCount="19"/>
  <externalReferences>
    <externalReference r:id="rId37"/>
  </externalReferences>
  <definedNames>
    <definedName name="anscount" hidden="1">1</definedName>
    <definedName name="asdsad" localSheetId="4">#REF!</definedName>
    <definedName name="asdsad">#REF!</definedName>
    <definedName name="b">[1]InventoryStep!$B$4</definedName>
    <definedName name="CBCDualsNewSheet" hidden="1">FALSE</definedName>
    <definedName name="dffd" localSheetId="6">#REF!</definedName>
    <definedName name="dffd" localSheetId="4">#REF!</definedName>
    <definedName name="dffd">#REF!</definedName>
    <definedName name="DualsNewSheet" hidden="1">FALSE</definedName>
    <definedName name="feasibilitySolve" localSheetId="7" hidden="1">CBC (default)</definedName>
    <definedName name="feasibilitySolve" localSheetId="12" hidden="1">CBC (default)</definedName>
    <definedName name="feasibilitySolve" localSheetId="15" hidden="1">CBC (default)</definedName>
    <definedName name="feasibilitySolve" localSheetId="18" hidden="1">CBC (default)</definedName>
    <definedName name="feasibilitySolve" localSheetId="24" hidden="1">CBC (default)</definedName>
    <definedName name="feasibilitySolve" localSheetId="9" hidden="1">CBC (default)</definedName>
    <definedName name="feasibilitySolve" localSheetId="21" hidden="1">CBC (default)</definedName>
    <definedName name="feasibilitySolve" localSheetId="27" hidden="1">CBC (default)</definedName>
    <definedName name="feasibilitySolve" localSheetId="33" hidden="1">CBC (default)</definedName>
    <definedName name="feasibilitySolve" localSheetId="8" hidden="1">CBC (default)</definedName>
    <definedName name="feasibilitySolve" localSheetId="13" hidden="1">CBC (default)</definedName>
    <definedName name="feasibilitySolve" localSheetId="16" hidden="1">CBC (default)</definedName>
    <definedName name="feasibilitySolve" localSheetId="19" hidden="1">CBC (default)</definedName>
    <definedName name="feasibilitySolve" localSheetId="25" hidden="1">CBC (default)</definedName>
    <definedName name="feasibilitySolve" localSheetId="10" hidden="1">CBC (default)</definedName>
    <definedName name="feasibilitySolve" localSheetId="22" hidden="1">CBC (default)</definedName>
    <definedName name="feasibilitySolve" localSheetId="28" hidden="1">CBC (default)</definedName>
    <definedName name="feasibilitySolve" localSheetId="34" hidden="1">CBC (default)</definedName>
    <definedName name="feasibilitySolve" localSheetId="32" hidden="1">CBC (default)</definedName>
    <definedName name="feasibilitySolve" localSheetId="31" hidden="1">CBC (default)</definedName>
    <definedName name="feasibilitySolve" localSheetId="30" hidden="1">CBC (default)</definedName>
    <definedName name="feasibilitySolve" localSheetId="14" hidden="1">CBC (default)</definedName>
    <definedName name="feasibilitySolve" localSheetId="17" hidden="1">CBC (default)</definedName>
    <definedName name="feasibilitySolve" localSheetId="20" hidden="1">CBC (default)</definedName>
    <definedName name="feasibilitySolve" localSheetId="26" hidden="1">CBC (default)</definedName>
    <definedName name="feasibilitySolve" localSheetId="11" hidden="1">CBC (default)</definedName>
    <definedName name="feasibilitySolve" localSheetId="23" hidden="1">CBC (default)</definedName>
    <definedName name="feasibilitySolve" localSheetId="29" hidden="1">CBC (default)</definedName>
    <definedName name="feasibilitySolve" localSheetId="35" hidden="1">CBC (default)</definedName>
    <definedName name="feasibilitySolve" localSheetId="6" hidden="1">CBC (default)</definedName>
    <definedName name="feasibilitySolve" localSheetId="4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 localSheetId="6">#REF!</definedName>
    <definedName name="Hey" localSheetId="4">#REF!</definedName>
    <definedName name="Hey">#REF!</definedName>
    <definedName name="hhh">#REF!</definedName>
    <definedName name="hhtgfh">#REF!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#REF!</definedName>
    <definedName name="junk" localSheetId="4">#REF!</definedName>
    <definedName name="junk">#REF!</definedName>
    <definedName name="K">[1]InventoryStep!$B$5</definedName>
    <definedName name="lll">#REF!</definedName>
    <definedName name="MaximumCost" localSheetId="6">#REF!</definedName>
    <definedName name="MaximumCost" localSheetId="4">#REF!</definedName>
    <definedName name="MaximumCost">#REF!</definedName>
    <definedName name="me">2</definedName>
    <definedName name="MinValue">#REF!</definedName>
    <definedName name="ModelType">Data!$G$1:$G$2</definedName>
    <definedName name="myNamedRange">#REF!</definedName>
    <definedName name="Offset">#REF!</definedName>
    <definedName name="OpenSolver_ChosenSolver" localSheetId="7" hidden="1">Couenne</definedName>
    <definedName name="OpenSolver_ChosenSolver" localSheetId="12" hidden="1">Couenne</definedName>
    <definedName name="OpenSolver_ChosenSolver" localSheetId="15" hidden="1">Couenne</definedName>
    <definedName name="OpenSolver_ChosenSolver" localSheetId="18" hidden="1">Couenne</definedName>
    <definedName name="OpenSolver_ChosenSolver" localSheetId="24" hidden="1">Couenne</definedName>
    <definedName name="OpenSolver_ChosenSolver" localSheetId="9" hidden="1">Couenne</definedName>
    <definedName name="OpenSolver_ChosenSolver" localSheetId="21" hidden="1">Couenne</definedName>
    <definedName name="OpenSolver_ChosenSolver" localSheetId="27" hidden="1">Couenne</definedName>
    <definedName name="OpenSolver_ChosenSolver" localSheetId="33" hidden="1">Couenne</definedName>
    <definedName name="OpenSolver_ChosenSolver" localSheetId="8" hidden="1">Couenne</definedName>
    <definedName name="OpenSolver_ChosenSolver" localSheetId="13" hidden="1">Couenne</definedName>
    <definedName name="OpenSolver_ChosenSolver" localSheetId="16" hidden="1">Couenne</definedName>
    <definedName name="OpenSolver_ChosenSolver" localSheetId="19" hidden="1">Couenne</definedName>
    <definedName name="OpenSolver_ChosenSolver" localSheetId="25" hidden="1">Couenne</definedName>
    <definedName name="OpenSolver_ChosenSolver" localSheetId="10" hidden="1">Couenne</definedName>
    <definedName name="OpenSolver_ChosenSolver" localSheetId="22" hidden="1">Couenne</definedName>
    <definedName name="OpenSolver_ChosenSolver" localSheetId="28" hidden="1">Couenne</definedName>
    <definedName name="OpenSolver_ChosenSolver" localSheetId="34" hidden="1">Couenne</definedName>
    <definedName name="OpenSolver_ChosenSolver" localSheetId="32" hidden="1">Couenne</definedName>
    <definedName name="OpenSolver_ChosenSolver" localSheetId="31" hidden="1">Couenne</definedName>
    <definedName name="OpenSolver_ChosenSolver" localSheetId="30" hidden="1">Couenne</definedName>
    <definedName name="OpenSolver_ChosenSolver" localSheetId="5" hidden="1">Couenne</definedName>
    <definedName name="OpenSolver_ChosenSolver" localSheetId="14" hidden="1">Couenne</definedName>
    <definedName name="OpenSolver_ChosenSolver" localSheetId="17" hidden="1">Couenne</definedName>
    <definedName name="OpenSolver_ChosenSolver" localSheetId="20" hidden="1">Couenne</definedName>
    <definedName name="OpenSolver_ChosenSolver" localSheetId="26" hidden="1">Couenne</definedName>
    <definedName name="OpenSolver_ChosenSolver" localSheetId="11" hidden="1">Couenne</definedName>
    <definedName name="OpenSolver_ChosenSolver" localSheetId="23" hidden="1">Couenne</definedName>
    <definedName name="OpenSolver_ChosenSolver" localSheetId="29" hidden="1">Couenne</definedName>
    <definedName name="OpenSolver_ChosenSolver" localSheetId="35" hidden="1">Couenne</definedName>
    <definedName name="OpenSolver_ChosenSolver" localSheetId="6" hidden="1">NeosCplex</definedName>
    <definedName name="OpenSolver_ChosenSolver" localSheetId="2" hidden="1">CBC</definedName>
    <definedName name="OpenSolver_ChosenSolver" localSheetId="4" hidden="1">NeosCplex</definedName>
    <definedName name="OpenSolver_ChosenSolver" localSheetId="3" hidden="1">NeosCplex</definedName>
    <definedName name="OpenSolver_ConstraintList">#REF!</definedName>
    <definedName name="OpenSolver_DualsNewSheet" localSheetId="6" hidden="1">0</definedName>
    <definedName name="OpenSolver_DualsNewSheet" localSheetId="2" hidden="1">0</definedName>
    <definedName name="OpenSolver_DualsNewSheet" localSheetId="4" hidden="1">0</definedName>
    <definedName name="OpenSolver_DualsNewSheet" localSheetId="3" hidden="1">0</definedName>
    <definedName name="OpenSolver_LinearityCheck" localSheetId="7" hidden="1">1</definedName>
    <definedName name="OpenSolver_LinearityCheck" localSheetId="12" hidden="1">1</definedName>
    <definedName name="OpenSolver_LinearityCheck" localSheetId="15" hidden="1">1</definedName>
    <definedName name="OpenSolver_LinearityCheck" localSheetId="18" hidden="1">1</definedName>
    <definedName name="OpenSolver_LinearityCheck" localSheetId="24" hidden="1">1</definedName>
    <definedName name="OpenSolver_LinearityCheck" localSheetId="9" hidden="1">1</definedName>
    <definedName name="OpenSolver_LinearityCheck" localSheetId="21" hidden="1">1</definedName>
    <definedName name="OpenSolver_LinearityCheck" localSheetId="27" hidden="1">1</definedName>
    <definedName name="OpenSolver_LinearityCheck" localSheetId="33" hidden="1">1</definedName>
    <definedName name="OpenSolver_LinearityCheck" localSheetId="8" hidden="1">1</definedName>
    <definedName name="OpenSolver_LinearityCheck" localSheetId="13" hidden="1">1</definedName>
    <definedName name="OpenSolver_LinearityCheck" localSheetId="16" hidden="1">1</definedName>
    <definedName name="OpenSolver_LinearityCheck" localSheetId="19" hidden="1">1</definedName>
    <definedName name="OpenSolver_LinearityCheck" localSheetId="25" hidden="1">1</definedName>
    <definedName name="OpenSolver_LinearityCheck" localSheetId="10" hidden="1">1</definedName>
    <definedName name="OpenSolver_LinearityCheck" localSheetId="22" hidden="1">1</definedName>
    <definedName name="OpenSolver_LinearityCheck" localSheetId="28" hidden="1">1</definedName>
    <definedName name="OpenSolver_LinearityCheck" localSheetId="34" hidden="1">1</definedName>
    <definedName name="OpenSolver_LinearityCheck" localSheetId="32" hidden="1">1</definedName>
    <definedName name="OpenSolver_LinearityCheck" localSheetId="31" hidden="1">1</definedName>
    <definedName name="OpenSolver_LinearityCheck" localSheetId="30" hidden="1">1</definedName>
    <definedName name="OpenSolver_LinearityCheck" localSheetId="5" hidden="1">1</definedName>
    <definedName name="OpenSolver_LinearityCheck" localSheetId="14" hidden="1">1</definedName>
    <definedName name="OpenSolver_LinearityCheck" localSheetId="17" hidden="1">1</definedName>
    <definedName name="OpenSolver_LinearityCheck" localSheetId="20" hidden="1">1</definedName>
    <definedName name="OpenSolver_LinearityCheck" localSheetId="26" hidden="1">1</definedName>
    <definedName name="OpenSolver_LinearityCheck" localSheetId="11" hidden="1">1</definedName>
    <definedName name="OpenSolver_LinearityCheck" localSheetId="23" hidden="1">1</definedName>
    <definedName name="OpenSolver_LinearityCheck" localSheetId="29" hidden="1">1</definedName>
    <definedName name="OpenSolver_LinearityCheck" localSheetId="35" hidden="1">1</definedName>
    <definedName name="OpenSolver_LinearityCheck" localSheetId="6" hidden="1">1</definedName>
    <definedName name="OpenSolver_LinearityCheck" localSheetId="2" hidden="1">1</definedName>
    <definedName name="OpenSolver_LinearityCheck" localSheetId="4" hidden="1">1</definedName>
    <definedName name="OpenSolver_LinearityCheck" localSheetId="3" hidden="1">1</definedName>
    <definedName name="OpenSolver_ModelParameters">SimpleLP!$O$7:$P$7</definedName>
    <definedName name="OpenSolver_UpdateSensitivity" localSheetId="2" hidden="1">1</definedName>
    <definedName name="OpenSolverResult">Data!$A$1:$A$7</definedName>
    <definedName name="OpenSolverResultCodes">Data!$A$1:$B$7</definedName>
    <definedName name="p" localSheetId="6">#REF!</definedName>
    <definedName name="p" localSheetId="4">#REF!</definedName>
    <definedName name="p">#REF!</definedName>
    <definedName name="q" localSheetId="6">#REF!</definedName>
    <definedName name="q" localSheetId="4">#REF!</definedName>
    <definedName name="q">#REF!</definedName>
    <definedName name="s" localSheetId="6">#REF!</definedName>
    <definedName name="s" localSheetId="4">#REF!</definedName>
    <definedName name="s">#REF!</definedName>
    <definedName name="Scale" localSheetId="7">'!BadName'!$O$8</definedName>
    <definedName name="Scale" localSheetId="12">'#BadName'!$O$8</definedName>
    <definedName name="Scale" localSheetId="15">'$BadName'!$O$8</definedName>
    <definedName name="Scale" localSheetId="18">'%BadName'!$O$8</definedName>
    <definedName name="Scale" localSheetId="24">'&amp;BadName'!$O$8</definedName>
    <definedName name="Scale" localSheetId="9">'@BadName'!$O$8</definedName>
    <definedName name="Scale" localSheetId="21">'^BadName'!$O$8</definedName>
    <definedName name="Scale" localSheetId="27">'|BadName'!$O$8</definedName>
    <definedName name="Scale" localSheetId="33">'=BadName'!$O$8</definedName>
    <definedName name="Scale" localSheetId="8">'Bad!Name'!$O$8</definedName>
    <definedName name="Scale" localSheetId="13">'Bad#Name'!$O$8</definedName>
    <definedName name="Scale" localSheetId="16">'Bad$Name'!$O$8</definedName>
    <definedName name="Scale" localSheetId="19">'Bad%Name'!$O$8</definedName>
    <definedName name="Scale" localSheetId="25">'Bad&amp;Name'!$O$8</definedName>
    <definedName name="Scale" localSheetId="10">'Bad@Name'!$O$8</definedName>
    <definedName name="Scale" localSheetId="22">'Bad^Name'!$O$8</definedName>
    <definedName name="Scale" localSheetId="28">'Bad|Name'!$O$8</definedName>
    <definedName name="Scale" localSheetId="34">'Bad=Name'!$O$8</definedName>
    <definedName name="Scale" localSheetId="32">'BadName-'!$O$8</definedName>
    <definedName name="Scale" localSheetId="31">'Bad-Name'!$O$8</definedName>
    <definedName name="Scale" localSheetId="30">'-BadName'!$O$8</definedName>
    <definedName name="Scale" localSheetId="5">'BadName!'!$O$8</definedName>
    <definedName name="Scale" localSheetId="14">'BadName#'!$O$8</definedName>
    <definedName name="Scale" localSheetId="17">'BadName$'!$O$8</definedName>
    <definedName name="Scale" localSheetId="20">'BadName%'!$O$8</definedName>
    <definedName name="Scale" localSheetId="26">'BadName&amp;'!$O$8</definedName>
    <definedName name="Scale" localSheetId="11">'BadName@'!$O$8</definedName>
    <definedName name="Scale" localSheetId="23">'BadName^'!$O$8</definedName>
    <definedName name="Scale" localSheetId="29">'BadName|'!$O$8</definedName>
    <definedName name="Scale" localSheetId="35">'BadName='!$O$8</definedName>
    <definedName name="Scale" localSheetId="6">'EscapeSheetName(1)+2-1'!$O$7</definedName>
    <definedName name="Scale" localSheetId="4">SimpleIP!$O$7</definedName>
    <definedName name="Scale">SimpleLP!$O$7</definedName>
    <definedName name="scale2" localSheetId="4">#REF!</definedName>
    <definedName name="scale2">#REF!</definedName>
    <definedName name="sencount" hidden="1">1</definedName>
    <definedName name="Sheet1OpenSolverModelParameters" localSheetId="7">'!BadName'!$K$6:$K$6</definedName>
    <definedName name="Sheet1OpenSolverModelParameters" localSheetId="12">'#BadName'!$K$6:$K$6</definedName>
    <definedName name="Sheet1OpenSolverModelParameters" localSheetId="15">'$BadName'!$K$6:$K$6</definedName>
    <definedName name="Sheet1OpenSolverModelParameters" localSheetId="18">'%BadName'!$K$6:$K$6</definedName>
    <definedName name="Sheet1OpenSolverModelParameters" localSheetId="24">'&amp;BadName'!$K$6:$K$6</definedName>
    <definedName name="Sheet1OpenSolverModelParameters" localSheetId="9">'@BadName'!$K$6:$K$6</definedName>
    <definedName name="Sheet1OpenSolverModelParameters" localSheetId="21">'^BadName'!$K$6:$K$6</definedName>
    <definedName name="Sheet1OpenSolverModelParameters" localSheetId="27">'|BadName'!$K$6:$K$6</definedName>
    <definedName name="Sheet1OpenSolverModelParameters" localSheetId="33">'=BadName'!$K$6:$K$6</definedName>
    <definedName name="Sheet1OpenSolverModelParameters" localSheetId="8">'Bad!Name'!$K$6:$K$6</definedName>
    <definedName name="Sheet1OpenSolverModelParameters" localSheetId="13">'Bad#Name'!$K$6:$K$6</definedName>
    <definedName name="Sheet1OpenSolverModelParameters" localSheetId="16">'Bad$Name'!$K$6:$K$6</definedName>
    <definedName name="Sheet1OpenSolverModelParameters" localSheetId="19">'Bad%Name'!$K$6:$K$6</definedName>
    <definedName name="Sheet1OpenSolverModelParameters" localSheetId="25">'Bad&amp;Name'!$K$6:$K$6</definedName>
    <definedName name="Sheet1OpenSolverModelParameters" localSheetId="10">'Bad@Name'!$K$6:$K$6</definedName>
    <definedName name="Sheet1OpenSolverModelParameters" localSheetId="22">'Bad^Name'!$K$6:$K$6</definedName>
    <definedName name="Sheet1OpenSolverModelParameters" localSheetId="28">'Bad|Name'!$K$6:$K$6</definedName>
    <definedName name="Sheet1OpenSolverModelParameters" localSheetId="34">'Bad=Name'!$K$6:$K$6</definedName>
    <definedName name="Sheet1OpenSolverModelParameters" localSheetId="32">'BadName-'!$K$6:$K$6</definedName>
    <definedName name="Sheet1OpenSolverModelParameters" localSheetId="31">'Bad-Name'!$K$6:$K$6</definedName>
    <definedName name="Sheet1OpenSolverModelParameters" localSheetId="30">'-BadName'!$K$6:$K$6</definedName>
    <definedName name="Sheet1OpenSolverModelParameters" localSheetId="5">'BadName!'!$K$6:$K$6</definedName>
    <definedName name="Sheet1OpenSolverModelParameters" localSheetId="14">'BadName#'!$K$6:$K$6</definedName>
    <definedName name="Sheet1OpenSolverModelParameters" localSheetId="17">'BadName$'!$K$6:$K$6</definedName>
    <definedName name="Sheet1OpenSolverModelParameters" localSheetId="20">'BadName%'!$K$6:$K$6</definedName>
    <definedName name="Sheet1OpenSolverModelParameters" localSheetId="26">'BadName&amp;'!$K$6:$K$6</definedName>
    <definedName name="Sheet1OpenSolverModelParameters" localSheetId="11">'BadName@'!$K$6:$K$6</definedName>
    <definedName name="Sheet1OpenSolverModelParameters" localSheetId="23">'BadName^'!$K$6:$K$6</definedName>
    <definedName name="Sheet1OpenSolverModelParameters" localSheetId="29">'BadName|'!$K$6:$K$6</definedName>
    <definedName name="Sheet1OpenSolverModelParameters" localSheetId="35">'BadName='!$K$6:$K$6</definedName>
    <definedName name="Sheet1OpenSolverModelParameters" localSheetId="6">'EscapeSheetName(1)+2-1'!$K$5:$K$5</definedName>
    <definedName name="Sheet1OpenSolverModelParameters" localSheetId="4">SimpleIP!$K$5:$K$5</definedName>
    <definedName name="Sheet1OpenSolverModelParameters">SimpleLP!$K$5:$K$5</definedName>
    <definedName name="Solver" localSheetId="7" hidden="1">CBC (default)</definedName>
    <definedName name="Solver" localSheetId="12" hidden="1">CBC (default)</definedName>
    <definedName name="Solver" localSheetId="15" hidden="1">CBC (default)</definedName>
    <definedName name="Solver" localSheetId="18" hidden="1">CBC (default)</definedName>
    <definedName name="Solver" localSheetId="24" hidden="1">CBC (default)</definedName>
    <definedName name="Solver" localSheetId="9" hidden="1">CBC (default)</definedName>
    <definedName name="Solver" localSheetId="21" hidden="1">CBC (default)</definedName>
    <definedName name="Solver" localSheetId="27" hidden="1">CBC (default)</definedName>
    <definedName name="Solver" localSheetId="33" hidden="1">CBC (default)</definedName>
    <definedName name="Solver" localSheetId="8" hidden="1">CBC (default)</definedName>
    <definedName name="Solver" localSheetId="13" hidden="1">CBC (default)</definedName>
    <definedName name="Solver" localSheetId="16" hidden="1">CBC (default)</definedName>
    <definedName name="Solver" localSheetId="19" hidden="1">CBC (default)</definedName>
    <definedName name="Solver" localSheetId="25" hidden="1">CBC (default)</definedName>
    <definedName name="Solver" localSheetId="10" hidden="1">CBC (default)</definedName>
    <definedName name="Solver" localSheetId="22" hidden="1">CBC (default)</definedName>
    <definedName name="Solver" localSheetId="28" hidden="1">CBC (default)</definedName>
    <definedName name="Solver" localSheetId="34" hidden="1">CBC (default)</definedName>
    <definedName name="Solver" localSheetId="32" hidden="1">CBC (default)</definedName>
    <definedName name="Solver" localSheetId="31" hidden="1">CBC (default)</definedName>
    <definedName name="Solver" localSheetId="30" hidden="1">CBC (default)</definedName>
    <definedName name="Solver" localSheetId="14" hidden="1">CBC (default)</definedName>
    <definedName name="Solver" localSheetId="17" hidden="1">CBC (default)</definedName>
    <definedName name="Solver" localSheetId="20" hidden="1">CBC (default)</definedName>
    <definedName name="Solver" localSheetId="26" hidden="1">CBC (default)</definedName>
    <definedName name="Solver" localSheetId="11" hidden="1">CBC (default)</definedName>
    <definedName name="Solver" localSheetId="23" hidden="1">CBC (default)</definedName>
    <definedName name="Solver" localSheetId="29" hidden="1">CBC (default)</definedName>
    <definedName name="Solver" localSheetId="35" hidden="1">CBC (default)</definedName>
    <definedName name="Solver" localSheetId="6" hidden="1">CBC (default)</definedName>
    <definedName name="Solver" localSheetId="4" hidden="1">CBC (default)</definedName>
    <definedName name="Solver" hidden="1">CBC (default)</definedName>
    <definedName name="solver_adj" localSheetId="7" hidden="1">'!BadName'!$D$5:$F$5</definedName>
    <definedName name="solver_adj" localSheetId="12" hidden="1">'#BadName'!$D$5:$F$5</definedName>
    <definedName name="solver_adj" localSheetId="15" hidden="1">'$BadName'!$D$5:$F$5</definedName>
    <definedName name="solver_adj" localSheetId="18" hidden="1">'%BadName'!$D$5:$F$5</definedName>
    <definedName name="solver_adj" localSheetId="24" hidden="1">'&amp;BadName'!$D$5:$F$5</definedName>
    <definedName name="solver_adj" localSheetId="9" hidden="1">'@BadName'!$D$5:$F$5</definedName>
    <definedName name="solver_adj" localSheetId="21" hidden="1">'^BadName'!$D$5:$F$5</definedName>
    <definedName name="solver_adj" localSheetId="27" hidden="1">'|BadName'!$D$5:$F$5</definedName>
    <definedName name="solver_adj" localSheetId="33" hidden="1">'=BadName'!$D$5:$F$5</definedName>
    <definedName name="solver_adj" localSheetId="8" hidden="1">'Bad!Name'!$D$5:$F$5</definedName>
    <definedName name="solver_adj" localSheetId="13" hidden="1">'Bad#Name'!$D$5:$F$5</definedName>
    <definedName name="solver_adj" localSheetId="16" hidden="1">'Bad$Name'!$D$5:$F$5</definedName>
    <definedName name="solver_adj" localSheetId="19" hidden="1">'Bad%Name'!$D$5:$F$5</definedName>
    <definedName name="solver_adj" localSheetId="25" hidden="1">'Bad&amp;Name'!$D$5:$F$5</definedName>
    <definedName name="solver_adj" localSheetId="10" hidden="1">'Bad@Name'!$D$5:$F$5</definedName>
    <definedName name="solver_adj" localSheetId="22" hidden="1">'Bad^Name'!$D$5:$F$5</definedName>
    <definedName name="solver_adj" localSheetId="28" hidden="1">'Bad|Name'!$D$5:$F$5</definedName>
    <definedName name="solver_adj" localSheetId="34" hidden="1">'Bad=Name'!$D$5:$F$5</definedName>
    <definedName name="solver_adj" localSheetId="32" hidden="1">'BadName-'!$D$5:$F$5</definedName>
    <definedName name="solver_adj" localSheetId="31" hidden="1">'Bad-Name'!$D$5:$F$5</definedName>
    <definedName name="solver_adj" localSheetId="30" hidden="1">'-BadName'!$D$5:$F$5</definedName>
    <definedName name="solver_adj" localSheetId="5" hidden="1">'BadName!'!$D$5:$F$5</definedName>
    <definedName name="solver_adj" localSheetId="14" hidden="1">'BadName#'!$D$5:$F$5</definedName>
    <definedName name="solver_adj" localSheetId="17" hidden="1">'BadName$'!$D$5:$F$5</definedName>
    <definedName name="solver_adj" localSheetId="20" hidden="1">'BadName%'!$D$5:$F$5</definedName>
    <definedName name="solver_adj" localSheetId="26" hidden="1">'BadName&amp;'!$D$5:$F$5</definedName>
    <definedName name="solver_adj" localSheetId="11" hidden="1">'BadName@'!$D$5:$F$5</definedName>
    <definedName name="solver_adj" localSheetId="23" hidden="1">'BadName^'!$D$5:$F$5</definedName>
    <definedName name="solver_adj" localSheetId="29" hidden="1">'BadName|'!$D$5:$F$5</definedName>
    <definedName name="solver_adj" localSheetId="35" hidden="1">'BadName='!$D$5:$F$5</definedName>
    <definedName name="solver_adj" localSheetId="6" hidden="1">'EscapeSheetName(1)+2-1'!$D$4:$F$4</definedName>
    <definedName name="solver_adj" localSheetId="4" hidden="1">SimpleIP!$E$5:$E$7</definedName>
    <definedName name="solver_adj" localSheetId="3" hidden="1">SimpleLP!$D$4:$F$4</definedName>
    <definedName name="solver_cvg" localSheetId="7" hidden="1">0.0001</definedName>
    <definedName name="solver_cvg" localSheetId="12" hidden="1">0.0001</definedName>
    <definedName name="solver_cvg" localSheetId="15" hidden="1">0.0001</definedName>
    <definedName name="solver_cvg" localSheetId="18" hidden="1">0.0001</definedName>
    <definedName name="solver_cvg" localSheetId="24" hidden="1">0.0001</definedName>
    <definedName name="solver_cvg" localSheetId="9" hidden="1">0.0001</definedName>
    <definedName name="solver_cvg" localSheetId="21" hidden="1">0.0001</definedName>
    <definedName name="solver_cvg" localSheetId="27" hidden="1">0.0001</definedName>
    <definedName name="solver_cvg" localSheetId="33" hidden="1">0.0001</definedName>
    <definedName name="solver_cvg" localSheetId="8" hidden="1">0.0001</definedName>
    <definedName name="solver_cvg" localSheetId="13" hidden="1">0.0001</definedName>
    <definedName name="solver_cvg" localSheetId="16" hidden="1">0.0001</definedName>
    <definedName name="solver_cvg" localSheetId="19" hidden="1">0.0001</definedName>
    <definedName name="solver_cvg" localSheetId="25" hidden="1">0.0001</definedName>
    <definedName name="solver_cvg" localSheetId="10" hidden="1">0.0001</definedName>
    <definedName name="solver_cvg" localSheetId="22" hidden="1">0.0001</definedName>
    <definedName name="solver_cvg" localSheetId="28" hidden="1">0.0001</definedName>
    <definedName name="solver_cvg" localSheetId="34" hidden="1">0.0001</definedName>
    <definedName name="solver_cvg" localSheetId="32" hidden="1">0.0001</definedName>
    <definedName name="solver_cvg" localSheetId="31" hidden="1">0.0001</definedName>
    <definedName name="solver_cvg" localSheetId="30" hidden="1">0.0001</definedName>
    <definedName name="solver_cvg" localSheetId="5" hidden="1">0.0001</definedName>
    <definedName name="solver_cvg" localSheetId="14" hidden="1">0.0001</definedName>
    <definedName name="solver_cvg" localSheetId="17" hidden="1">0.0001</definedName>
    <definedName name="solver_cvg" localSheetId="20" hidden="1">0.0001</definedName>
    <definedName name="solver_cvg" localSheetId="26" hidden="1">0.0001</definedName>
    <definedName name="solver_cvg" localSheetId="11" hidden="1">0.0001</definedName>
    <definedName name="solver_cvg" localSheetId="23" hidden="1">0.0001</definedName>
    <definedName name="solver_cvg" localSheetId="29" hidden="1">0.0001</definedName>
    <definedName name="solver_cvg" localSheetId="35" hidden="1">0.0001</definedName>
    <definedName name="solver_cvg" localSheetId="2" hidden="1">0.0001</definedName>
    <definedName name="solver_cvg" localSheetId="3" hidden="1">0.0001</definedName>
    <definedName name="solver_drv" localSheetId="7" hidden="1">1</definedName>
    <definedName name="solver_drv" localSheetId="12" hidden="1">1</definedName>
    <definedName name="solver_drv" localSheetId="15" hidden="1">1</definedName>
    <definedName name="solver_drv" localSheetId="18" hidden="1">1</definedName>
    <definedName name="solver_drv" localSheetId="24" hidden="1">1</definedName>
    <definedName name="solver_drv" localSheetId="9" hidden="1">1</definedName>
    <definedName name="solver_drv" localSheetId="21" hidden="1">1</definedName>
    <definedName name="solver_drv" localSheetId="27" hidden="1">1</definedName>
    <definedName name="solver_drv" localSheetId="33" hidden="1">1</definedName>
    <definedName name="solver_drv" localSheetId="8" hidden="1">1</definedName>
    <definedName name="solver_drv" localSheetId="13" hidden="1">1</definedName>
    <definedName name="solver_drv" localSheetId="16" hidden="1">1</definedName>
    <definedName name="solver_drv" localSheetId="19" hidden="1">1</definedName>
    <definedName name="solver_drv" localSheetId="25" hidden="1">1</definedName>
    <definedName name="solver_drv" localSheetId="10" hidden="1">1</definedName>
    <definedName name="solver_drv" localSheetId="22" hidden="1">1</definedName>
    <definedName name="solver_drv" localSheetId="28" hidden="1">1</definedName>
    <definedName name="solver_drv" localSheetId="34" hidden="1">1</definedName>
    <definedName name="solver_drv" localSheetId="32" hidden="1">1</definedName>
    <definedName name="solver_drv" localSheetId="31" hidden="1">1</definedName>
    <definedName name="solver_drv" localSheetId="30" hidden="1">1</definedName>
    <definedName name="solver_drv" localSheetId="5" hidden="1">1</definedName>
    <definedName name="solver_drv" localSheetId="14" hidden="1">1</definedName>
    <definedName name="solver_drv" localSheetId="17" hidden="1">1</definedName>
    <definedName name="solver_drv" localSheetId="20" hidden="1">1</definedName>
    <definedName name="solver_drv" localSheetId="26" hidden="1">1</definedName>
    <definedName name="solver_drv" localSheetId="11" hidden="1">1</definedName>
    <definedName name="solver_drv" localSheetId="23" hidden="1">1</definedName>
    <definedName name="solver_drv" localSheetId="29" hidden="1">1</definedName>
    <definedName name="solver_drv" localSheetId="35" hidden="1">1</definedName>
    <definedName name="solver_drv" localSheetId="2" hidden="1">1</definedName>
    <definedName name="solver_drv" localSheetId="3" hidden="1">1</definedName>
    <definedName name="solver_est" localSheetId="7" hidden="1">1</definedName>
    <definedName name="solver_est" localSheetId="12" hidden="1">1</definedName>
    <definedName name="solver_est" localSheetId="15" hidden="1">1</definedName>
    <definedName name="solver_est" localSheetId="18" hidden="1">1</definedName>
    <definedName name="solver_est" localSheetId="24" hidden="1">1</definedName>
    <definedName name="solver_est" localSheetId="9" hidden="1">1</definedName>
    <definedName name="solver_est" localSheetId="21" hidden="1">1</definedName>
    <definedName name="solver_est" localSheetId="27" hidden="1">1</definedName>
    <definedName name="solver_est" localSheetId="33" hidden="1">1</definedName>
    <definedName name="solver_est" localSheetId="8" hidden="1">1</definedName>
    <definedName name="solver_est" localSheetId="13" hidden="1">1</definedName>
    <definedName name="solver_est" localSheetId="16" hidden="1">1</definedName>
    <definedName name="solver_est" localSheetId="19" hidden="1">1</definedName>
    <definedName name="solver_est" localSheetId="25" hidden="1">1</definedName>
    <definedName name="solver_est" localSheetId="10" hidden="1">1</definedName>
    <definedName name="solver_est" localSheetId="22" hidden="1">1</definedName>
    <definedName name="solver_est" localSheetId="28" hidden="1">1</definedName>
    <definedName name="solver_est" localSheetId="34" hidden="1">1</definedName>
    <definedName name="solver_est" localSheetId="32" hidden="1">1</definedName>
    <definedName name="solver_est" localSheetId="31" hidden="1">1</definedName>
    <definedName name="solver_est" localSheetId="30" hidden="1">1</definedName>
    <definedName name="solver_est" localSheetId="5" hidden="1">1</definedName>
    <definedName name="solver_est" localSheetId="14" hidden="1">1</definedName>
    <definedName name="solver_est" localSheetId="17" hidden="1">1</definedName>
    <definedName name="solver_est" localSheetId="20" hidden="1">1</definedName>
    <definedName name="solver_est" localSheetId="26" hidden="1">1</definedName>
    <definedName name="solver_est" localSheetId="11" hidden="1">1</definedName>
    <definedName name="solver_est" localSheetId="23" hidden="1">1</definedName>
    <definedName name="solver_est" localSheetId="29" hidden="1">1</definedName>
    <definedName name="solver_est" localSheetId="35" hidden="1">1</definedName>
    <definedName name="solver_est" localSheetId="2" hidden="1">1</definedName>
    <definedName name="solver_est" localSheetId="3" hidden="1">1</definedName>
    <definedName name="solver_itr" localSheetId="7" hidden="1">2147483647</definedName>
    <definedName name="solver_itr" localSheetId="12" hidden="1">2147483647</definedName>
    <definedName name="solver_itr" localSheetId="15" hidden="1">2147483647</definedName>
    <definedName name="solver_itr" localSheetId="18" hidden="1">2147483647</definedName>
    <definedName name="solver_itr" localSheetId="24" hidden="1">2147483647</definedName>
    <definedName name="solver_itr" localSheetId="9" hidden="1">2147483647</definedName>
    <definedName name="solver_itr" localSheetId="21" hidden="1">2147483647</definedName>
    <definedName name="solver_itr" localSheetId="27" hidden="1">2147483647</definedName>
    <definedName name="solver_itr" localSheetId="33" hidden="1">2147483647</definedName>
    <definedName name="solver_itr" localSheetId="8" hidden="1">2147483647</definedName>
    <definedName name="solver_itr" localSheetId="13" hidden="1">2147483647</definedName>
    <definedName name="solver_itr" localSheetId="16" hidden="1">2147483647</definedName>
    <definedName name="solver_itr" localSheetId="19" hidden="1">2147483647</definedName>
    <definedName name="solver_itr" localSheetId="25" hidden="1">2147483647</definedName>
    <definedName name="solver_itr" localSheetId="10" hidden="1">2147483647</definedName>
    <definedName name="solver_itr" localSheetId="22" hidden="1">2147483647</definedName>
    <definedName name="solver_itr" localSheetId="28" hidden="1">2147483647</definedName>
    <definedName name="solver_itr" localSheetId="34" hidden="1">2147483647</definedName>
    <definedName name="solver_itr" localSheetId="32" hidden="1">2147483647</definedName>
    <definedName name="solver_itr" localSheetId="31" hidden="1">2147483647</definedName>
    <definedName name="solver_itr" localSheetId="30" hidden="1">2147483647</definedName>
    <definedName name="solver_itr" localSheetId="5" hidden="1">2147483647</definedName>
    <definedName name="solver_itr" localSheetId="14" hidden="1">2147483647</definedName>
    <definedName name="solver_itr" localSheetId="17" hidden="1">2147483647</definedName>
    <definedName name="solver_itr" localSheetId="20" hidden="1">2147483647</definedName>
    <definedName name="solver_itr" localSheetId="26" hidden="1">2147483647</definedName>
    <definedName name="solver_itr" localSheetId="11" hidden="1">2147483647</definedName>
    <definedName name="solver_itr" localSheetId="23" hidden="1">2147483647</definedName>
    <definedName name="solver_itr" localSheetId="29" hidden="1">2147483647</definedName>
    <definedName name="solver_itr" localSheetId="35" hidden="1">2147483647</definedName>
    <definedName name="solver_itr" localSheetId="2" hidden="1">999999999</definedName>
    <definedName name="solver_itr" localSheetId="3" hidden="1">1E+25</definedName>
    <definedName name="solver_lhs1" localSheetId="7" hidden="1">'!BadName'!$H$9:$H$10</definedName>
    <definedName name="solver_lhs1" localSheetId="12" hidden="1">'#BadName'!$H$9:$H$10</definedName>
    <definedName name="solver_lhs1" localSheetId="15" hidden="1">'$BadName'!$H$9:$H$10</definedName>
    <definedName name="solver_lhs1" localSheetId="18" hidden="1">'%BadName'!$H$9:$H$10</definedName>
    <definedName name="solver_lhs1" localSheetId="24" hidden="1">'&amp;BadName'!$H$9:$H$10</definedName>
    <definedName name="solver_lhs1" localSheetId="9" hidden="1">'@BadName'!$H$9:$H$10</definedName>
    <definedName name="solver_lhs1" localSheetId="21" hidden="1">'^BadName'!$H$9:$H$10</definedName>
    <definedName name="solver_lhs1" localSheetId="27" hidden="1">'|BadName'!$H$9:$H$10</definedName>
    <definedName name="solver_lhs1" localSheetId="33" hidden="1">'=BadName'!$H$9:$H$10</definedName>
    <definedName name="solver_lhs1" localSheetId="8" hidden="1">'Bad!Name'!$H$9:$H$10</definedName>
    <definedName name="solver_lhs1" localSheetId="13" hidden="1">'Bad#Name'!$H$9:$H$10</definedName>
    <definedName name="solver_lhs1" localSheetId="16" hidden="1">'Bad$Name'!$H$9:$H$10</definedName>
    <definedName name="solver_lhs1" localSheetId="19" hidden="1">'Bad%Name'!$H$9:$H$10</definedName>
    <definedName name="solver_lhs1" localSheetId="25" hidden="1">'Bad&amp;Name'!$H$9:$H$10</definedName>
    <definedName name="solver_lhs1" localSheetId="10" hidden="1">'Bad@Name'!$H$9:$H$10</definedName>
    <definedName name="solver_lhs1" localSheetId="22" hidden="1">'Bad^Name'!$H$9:$H$10</definedName>
    <definedName name="solver_lhs1" localSheetId="28" hidden="1">'Bad|Name'!$H$9:$H$10</definedName>
    <definedName name="solver_lhs1" localSheetId="34" hidden="1">'Bad=Name'!$H$9:$H$10</definedName>
    <definedName name="solver_lhs1" localSheetId="32" hidden="1">'BadName-'!$H$9:$H$10</definedName>
    <definedName name="solver_lhs1" localSheetId="31" hidden="1">'Bad-Name'!$H$9:$H$10</definedName>
    <definedName name="solver_lhs1" localSheetId="30" hidden="1">'-BadName'!$H$9:$H$10</definedName>
    <definedName name="solver_lhs1" localSheetId="5" hidden="1">'BadName!'!$H$9:$H$10</definedName>
    <definedName name="solver_lhs1" localSheetId="14" hidden="1">'BadName#'!$H$9:$H$10</definedName>
    <definedName name="solver_lhs1" localSheetId="17" hidden="1">'BadName$'!$H$9:$H$10</definedName>
    <definedName name="solver_lhs1" localSheetId="20" hidden="1">'BadName%'!$H$9:$H$10</definedName>
    <definedName name="solver_lhs1" localSheetId="26" hidden="1">'BadName&amp;'!$H$9:$H$10</definedName>
    <definedName name="solver_lhs1" localSheetId="11" hidden="1">'BadName@'!$H$9:$H$10</definedName>
    <definedName name="solver_lhs1" localSheetId="23" hidden="1">'BadName^'!$H$9:$H$10</definedName>
    <definedName name="solver_lhs1" localSheetId="29" hidden="1">'BadName|'!$H$9:$H$10</definedName>
    <definedName name="solver_lhs1" localSheetId="35" hidden="1">'BadName='!$H$9:$H$10</definedName>
    <definedName name="solver_lhs1" localSheetId="6" hidden="1">'EscapeSheetName(1)+2-1'!$H$8:$H$9</definedName>
    <definedName name="solver_lhs1" localSheetId="4" hidden="1">SimpleIP!$D$10</definedName>
    <definedName name="solver_lhs1" localSheetId="3" hidden="1">SimpleLP!$H$8:$H$9</definedName>
    <definedName name="solver_lhs2" localSheetId="7" hidden="1">'!BadName'!$H$11</definedName>
    <definedName name="solver_lhs2" localSheetId="12" hidden="1">'#BadName'!$H$11</definedName>
    <definedName name="solver_lhs2" localSheetId="15" hidden="1">'$BadName'!$H$11</definedName>
    <definedName name="solver_lhs2" localSheetId="18" hidden="1">'%BadName'!$H$11</definedName>
    <definedName name="solver_lhs2" localSheetId="24" hidden="1">'&amp;BadName'!$H$11</definedName>
    <definedName name="solver_lhs2" localSheetId="9" hidden="1">'@BadName'!$H$11</definedName>
    <definedName name="solver_lhs2" localSheetId="21" hidden="1">'^BadName'!$H$11</definedName>
    <definedName name="solver_lhs2" localSheetId="27" hidden="1">'|BadName'!$H$11</definedName>
    <definedName name="solver_lhs2" localSheetId="33" hidden="1">'=BadName'!$H$11</definedName>
    <definedName name="solver_lhs2" localSheetId="8" hidden="1">'Bad!Name'!$H$11</definedName>
    <definedName name="solver_lhs2" localSheetId="13" hidden="1">'Bad#Name'!$H$11</definedName>
    <definedName name="solver_lhs2" localSheetId="16" hidden="1">'Bad$Name'!$H$11</definedName>
    <definedName name="solver_lhs2" localSheetId="19" hidden="1">'Bad%Name'!$H$11</definedName>
    <definedName name="solver_lhs2" localSheetId="25" hidden="1">'Bad&amp;Name'!$H$11</definedName>
    <definedName name="solver_lhs2" localSheetId="10" hidden="1">'Bad@Name'!$H$11</definedName>
    <definedName name="solver_lhs2" localSheetId="22" hidden="1">'Bad^Name'!$H$11</definedName>
    <definedName name="solver_lhs2" localSheetId="28" hidden="1">'Bad|Name'!$H$11</definedName>
    <definedName name="solver_lhs2" localSheetId="34" hidden="1">'Bad=Name'!$H$11</definedName>
    <definedName name="solver_lhs2" localSheetId="32" hidden="1">'BadName-'!$H$11</definedName>
    <definedName name="solver_lhs2" localSheetId="31" hidden="1">'Bad-Name'!$H$11</definedName>
    <definedName name="solver_lhs2" localSheetId="30" hidden="1">'-BadName'!$H$11</definedName>
    <definedName name="solver_lhs2" localSheetId="5" hidden="1">'BadName!'!$H$11</definedName>
    <definedName name="solver_lhs2" localSheetId="14" hidden="1">'BadName#'!$H$11</definedName>
    <definedName name="solver_lhs2" localSheetId="17" hidden="1">'BadName$'!$H$11</definedName>
    <definedName name="solver_lhs2" localSheetId="20" hidden="1">'BadName%'!$H$11</definedName>
    <definedName name="solver_lhs2" localSheetId="26" hidden="1">'BadName&amp;'!$H$11</definedName>
    <definedName name="solver_lhs2" localSheetId="11" hidden="1">'BadName@'!$H$11</definedName>
    <definedName name="solver_lhs2" localSheetId="23" hidden="1">'BadName^'!$H$11</definedName>
    <definedName name="solver_lhs2" localSheetId="29" hidden="1">'BadName|'!$H$11</definedName>
    <definedName name="solver_lhs2" localSheetId="35" hidden="1">'BadName='!$H$11</definedName>
    <definedName name="solver_lhs2" localSheetId="6" hidden="1">'EscapeSheetName(1)+2-1'!$H$10</definedName>
    <definedName name="solver_lhs2" localSheetId="4" hidden="1">SimpleIP!$E$5:$E$7</definedName>
    <definedName name="solver_lhs2" localSheetId="3" hidden="1">SimpleLP!$H$10</definedName>
    <definedName name="solver_lhs3" localSheetId="7" hidden="1">'!BadName'!$H$12</definedName>
    <definedName name="solver_lhs3" localSheetId="12" hidden="1">'#BadName'!$H$12</definedName>
    <definedName name="solver_lhs3" localSheetId="15" hidden="1">'$BadName'!$H$12</definedName>
    <definedName name="solver_lhs3" localSheetId="18" hidden="1">'%BadName'!$H$12</definedName>
    <definedName name="solver_lhs3" localSheetId="24" hidden="1">'&amp;BadName'!$H$12</definedName>
    <definedName name="solver_lhs3" localSheetId="9" hidden="1">'@BadName'!$H$12</definedName>
    <definedName name="solver_lhs3" localSheetId="21" hidden="1">'^BadName'!$H$12</definedName>
    <definedName name="solver_lhs3" localSheetId="27" hidden="1">'|BadName'!$H$12</definedName>
    <definedName name="solver_lhs3" localSheetId="33" hidden="1">'=BadName'!$H$12</definedName>
    <definedName name="solver_lhs3" localSheetId="8" hidden="1">'Bad!Name'!$H$12</definedName>
    <definedName name="solver_lhs3" localSheetId="13" hidden="1">'Bad#Name'!$H$12</definedName>
    <definedName name="solver_lhs3" localSheetId="16" hidden="1">'Bad$Name'!$H$12</definedName>
    <definedName name="solver_lhs3" localSheetId="19" hidden="1">'Bad%Name'!$H$12</definedName>
    <definedName name="solver_lhs3" localSheetId="25" hidden="1">'Bad&amp;Name'!$H$12</definedName>
    <definedName name="solver_lhs3" localSheetId="10" hidden="1">'Bad@Name'!$H$12</definedName>
    <definedName name="solver_lhs3" localSheetId="22" hidden="1">'Bad^Name'!$H$12</definedName>
    <definedName name="solver_lhs3" localSheetId="28" hidden="1">'Bad|Name'!$H$12</definedName>
    <definedName name="solver_lhs3" localSheetId="34" hidden="1">'Bad=Name'!$H$12</definedName>
    <definedName name="solver_lhs3" localSheetId="32" hidden="1">'BadName-'!$H$12</definedName>
    <definedName name="solver_lhs3" localSheetId="31" hidden="1">'Bad-Name'!$H$12</definedName>
    <definedName name="solver_lhs3" localSheetId="30" hidden="1">'-BadName'!$H$12</definedName>
    <definedName name="solver_lhs3" localSheetId="5" hidden="1">'BadName!'!$H$12</definedName>
    <definedName name="solver_lhs3" localSheetId="14" hidden="1">'BadName#'!$H$12</definedName>
    <definedName name="solver_lhs3" localSheetId="17" hidden="1">'BadName$'!$H$12</definedName>
    <definedName name="solver_lhs3" localSheetId="20" hidden="1">'BadName%'!$H$12</definedName>
    <definedName name="solver_lhs3" localSheetId="26" hidden="1">'BadName&amp;'!$H$12</definedName>
    <definedName name="solver_lhs3" localSheetId="11" hidden="1">'BadName@'!$H$12</definedName>
    <definedName name="solver_lhs3" localSheetId="23" hidden="1">'BadName^'!$H$12</definedName>
    <definedName name="solver_lhs3" localSheetId="29" hidden="1">'BadName|'!$H$12</definedName>
    <definedName name="solver_lhs3" localSheetId="35" hidden="1">'BadName='!$H$12</definedName>
    <definedName name="solver_lhs3" localSheetId="6" hidden="1">'EscapeSheetName(1)+2-1'!$H$11</definedName>
    <definedName name="solver_lhs3" localSheetId="3" hidden="1">SimpleLP!$H$11</definedName>
    <definedName name="solver_neg" localSheetId="7" hidden="1">1</definedName>
    <definedName name="solver_neg" localSheetId="12" hidden="1">1</definedName>
    <definedName name="solver_neg" localSheetId="15" hidden="1">1</definedName>
    <definedName name="solver_neg" localSheetId="18" hidden="1">1</definedName>
    <definedName name="solver_neg" localSheetId="24" hidden="1">1</definedName>
    <definedName name="solver_neg" localSheetId="9" hidden="1">1</definedName>
    <definedName name="solver_neg" localSheetId="21" hidden="1">1</definedName>
    <definedName name="solver_neg" localSheetId="27" hidden="1">1</definedName>
    <definedName name="solver_neg" localSheetId="33" hidden="1">1</definedName>
    <definedName name="solver_neg" localSheetId="8" hidden="1">1</definedName>
    <definedName name="solver_neg" localSheetId="13" hidden="1">1</definedName>
    <definedName name="solver_neg" localSheetId="16" hidden="1">1</definedName>
    <definedName name="solver_neg" localSheetId="19" hidden="1">1</definedName>
    <definedName name="solver_neg" localSheetId="25" hidden="1">1</definedName>
    <definedName name="solver_neg" localSheetId="10" hidden="1">1</definedName>
    <definedName name="solver_neg" localSheetId="22" hidden="1">1</definedName>
    <definedName name="solver_neg" localSheetId="28" hidden="1">1</definedName>
    <definedName name="solver_neg" localSheetId="34" hidden="1">1</definedName>
    <definedName name="solver_neg" localSheetId="32" hidden="1">1</definedName>
    <definedName name="solver_neg" localSheetId="31" hidden="1">1</definedName>
    <definedName name="solver_neg" localSheetId="30" hidden="1">1</definedName>
    <definedName name="solver_neg" localSheetId="5" hidden="1">1</definedName>
    <definedName name="solver_neg" localSheetId="14" hidden="1">1</definedName>
    <definedName name="solver_neg" localSheetId="17" hidden="1">1</definedName>
    <definedName name="solver_neg" localSheetId="20" hidden="1">1</definedName>
    <definedName name="solver_neg" localSheetId="26" hidden="1">1</definedName>
    <definedName name="solver_neg" localSheetId="11" hidden="1">1</definedName>
    <definedName name="solver_neg" localSheetId="23" hidden="1">1</definedName>
    <definedName name="solver_neg" localSheetId="29" hidden="1">1</definedName>
    <definedName name="solver_neg" localSheetId="35" hidden="1">1</definedName>
    <definedName name="solver_neg" localSheetId="6" hidden="1">1</definedName>
    <definedName name="solver_neg" localSheetId="2" hidden="1">1</definedName>
    <definedName name="solver_neg" localSheetId="4" hidden="1">1</definedName>
    <definedName name="solver_neg" localSheetId="3" hidden="1">1</definedName>
    <definedName name="solver_num" localSheetId="7" hidden="1">3</definedName>
    <definedName name="solver_num" localSheetId="12" hidden="1">3</definedName>
    <definedName name="solver_num" localSheetId="15" hidden="1">3</definedName>
    <definedName name="solver_num" localSheetId="18" hidden="1">3</definedName>
    <definedName name="solver_num" localSheetId="24" hidden="1">3</definedName>
    <definedName name="solver_num" localSheetId="9" hidden="1">3</definedName>
    <definedName name="solver_num" localSheetId="21" hidden="1">3</definedName>
    <definedName name="solver_num" localSheetId="27" hidden="1">3</definedName>
    <definedName name="solver_num" localSheetId="33" hidden="1">3</definedName>
    <definedName name="solver_num" localSheetId="8" hidden="1">3</definedName>
    <definedName name="solver_num" localSheetId="13" hidden="1">3</definedName>
    <definedName name="solver_num" localSheetId="16" hidden="1">3</definedName>
    <definedName name="solver_num" localSheetId="19" hidden="1">3</definedName>
    <definedName name="solver_num" localSheetId="25" hidden="1">3</definedName>
    <definedName name="solver_num" localSheetId="10" hidden="1">3</definedName>
    <definedName name="solver_num" localSheetId="22" hidden="1">3</definedName>
    <definedName name="solver_num" localSheetId="28" hidden="1">3</definedName>
    <definedName name="solver_num" localSheetId="34" hidden="1">3</definedName>
    <definedName name="solver_num" localSheetId="32" hidden="1">3</definedName>
    <definedName name="solver_num" localSheetId="31" hidden="1">3</definedName>
    <definedName name="solver_num" localSheetId="30" hidden="1">3</definedName>
    <definedName name="solver_num" localSheetId="5" hidden="1">3</definedName>
    <definedName name="solver_num" localSheetId="14" hidden="1">3</definedName>
    <definedName name="solver_num" localSheetId="17" hidden="1">3</definedName>
    <definedName name="solver_num" localSheetId="20" hidden="1">3</definedName>
    <definedName name="solver_num" localSheetId="26" hidden="1">3</definedName>
    <definedName name="solver_num" localSheetId="11" hidden="1">3</definedName>
    <definedName name="solver_num" localSheetId="23" hidden="1">3</definedName>
    <definedName name="solver_num" localSheetId="29" hidden="1">3</definedName>
    <definedName name="solver_num" localSheetId="35" hidden="1">3</definedName>
    <definedName name="solver_num" localSheetId="6" hidden="1">3</definedName>
    <definedName name="solver_num" localSheetId="2" hidden="1">0</definedName>
    <definedName name="solver_num" localSheetId="4" hidden="1">2</definedName>
    <definedName name="solver_num" localSheetId="3" hidden="1">3</definedName>
    <definedName name="solver_nwt" localSheetId="7" hidden="1">1</definedName>
    <definedName name="solver_nwt" localSheetId="12" hidden="1">1</definedName>
    <definedName name="solver_nwt" localSheetId="15" hidden="1">1</definedName>
    <definedName name="solver_nwt" localSheetId="18" hidden="1">1</definedName>
    <definedName name="solver_nwt" localSheetId="24" hidden="1">1</definedName>
    <definedName name="solver_nwt" localSheetId="9" hidden="1">1</definedName>
    <definedName name="solver_nwt" localSheetId="21" hidden="1">1</definedName>
    <definedName name="solver_nwt" localSheetId="27" hidden="1">1</definedName>
    <definedName name="solver_nwt" localSheetId="33" hidden="1">1</definedName>
    <definedName name="solver_nwt" localSheetId="8" hidden="1">1</definedName>
    <definedName name="solver_nwt" localSheetId="13" hidden="1">1</definedName>
    <definedName name="solver_nwt" localSheetId="16" hidden="1">1</definedName>
    <definedName name="solver_nwt" localSheetId="19" hidden="1">1</definedName>
    <definedName name="solver_nwt" localSheetId="25" hidden="1">1</definedName>
    <definedName name="solver_nwt" localSheetId="10" hidden="1">1</definedName>
    <definedName name="solver_nwt" localSheetId="22" hidden="1">1</definedName>
    <definedName name="solver_nwt" localSheetId="28" hidden="1">1</definedName>
    <definedName name="solver_nwt" localSheetId="34" hidden="1">1</definedName>
    <definedName name="solver_nwt" localSheetId="32" hidden="1">1</definedName>
    <definedName name="solver_nwt" localSheetId="31" hidden="1">1</definedName>
    <definedName name="solver_nwt" localSheetId="30" hidden="1">1</definedName>
    <definedName name="solver_nwt" localSheetId="5" hidden="1">1</definedName>
    <definedName name="solver_nwt" localSheetId="14" hidden="1">1</definedName>
    <definedName name="solver_nwt" localSheetId="17" hidden="1">1</definedName>
    <definedName name="solver_nwt" localSheetId="20" hidden="1">1</definedName>
    <definedName name="solver_nwt" localSheetId="26" hidden="1">1</definedName>
    <definedName name="solver_nwt" localSheetId="11" hidden="1">1</definedName>
    <definedName name="solver_nwt" localSheetId="23" hidden="1">1</definedName>
    <definedName name="solver_nwt" localSheetId="29" hidden="1">1</definedName>
    <definedName name="solver_nwt" localSheetId="35" hidden="1">1</definedName>
    <definedName name="solver_nwt" localSheetId="2" hidden="1">1</definedName>
    <definedName name="solver_nwt" localSheetId="3" hidden="1">1</definedName>
    <definedName name="solver_opt" localSheetId="7" hidden="1">'!BadName'!$H$7</definedName>
    <definedName name="solver_opt" localSheetId="12" hidden="1">'#BadName'!$H$7</definedName>
    <definedName name="solver_opt" localSheetId="15" hidden="1">'$BadName'!$H$7</definedName>
    <definedName name="solver_opt" localSheetId="18" hidden="1">'%BadName'!$H$7</definedName>
    <definedName name="solver_opt" localSheetId="24" hidden="1">'&amp;BadName'!$H$7</definedName>
    <definedName name="solver_opt" localSheetId="9" hidden="1">'@BadName'!$H$7</definedName>
    <definedName name="solver_opt" localSheetId="21" hidden="1">'^BadName'!$H$7</definedName>
    <definedName name="solver_opt" localSheetId="27" hidden="1">'|BadName'!$H$7</definedName>
    <definedName name="solver_opt" localSheetId="33" hidden="1">'=BadName'!$H$7</definedName>
    <definedName name="solver_opt" localSheetId="8" hidden="1">'Bad!Name'!$H$7</definedName>
    <definedName name="solver_opt" localSheetId="13" hidden="1">'Bad#Name'!$H$7</definedName>
    <definedName name="solver_opt" localSheetId="16" hidden="1">'Bad$Name'!$H$7</definedName>
    <definedName name="solver_opt" localSheetId="19" hidden="1">'Bad%Name'!$H$7</definedName>
    <definedName name="solver_opt" localSheetId="25" hidden="1">'Bad&amp;Name'!$H$7</definedName>
    <definedName name="solver_opt" localSheetId="10" hidden="1">'Bad@Name'!$H$7</definedName>
    <definedName name="solver_opt" localSheetId="22" hidden="1">'Bad^Name'!$H$7</definedName>
    <definedName name="solver_opt" localSheetId="28" hidden="1">'Bad|Name'!$H$7</definedName>
    <definedName name="solver_opt" localSheetId="34" hidden="1">'Bad=Name'!$H$7</definedName>
    <definedName name="solver_opt" localSheetId="32" hidden="1">'BadName-'!$H$7</definedName>
    <definedName name="solver_opt" localSheetId="31" hidden="1">'Bad-Name'!$H$7</definedName>
    <definedName name="solver_opt" localSheetId="30" hidden="1">'-BadName'!$H$7</definedName>
    <definedName name="solver_opt" localSheetId="5" hidden="1">'BadName!'!$H$7</definedName>
    <definedName name="solver_opt" localSheetId="14" hidden="1">'BadName#'!$H$7</definedName>
    <definedName name="solver_opt" localSheetId="17" hidden="1">'BadName$'!$H$7</definedName>
    <definedName name="solver_opt" localSheetId="20" hidden="1">'BadName%'!$H$7</definedName>
    <definedName name="solver_opt" localSheetId="26" hidden="1">'BadName&amp;'!$H$7</definedName>
    <definedName name="solver_opt" localSheetId="11" hidden="1">'BadName@'!$H$7</definedName>
    <definedName name="solver_opt" localSheetId="23" hidden="1">'BadName^'!$H$7</definedName>
    <definedName name="solver_opt" localSheetId="29" hidden="1">'BadName|'!$H$7</definedName>
    <definedName name="solver_opt" localSheetId="35" hidden="1">'BadName='!$H$7</definedName>
    <definedName name="solver_opt" localSheetId="6" hidden="1">'EscapeSheetName(1)+2-1'!$H$6</definedName>
    <definedName name="solver_opt" localSheetId="4" hidden="1">SimpleIP!$E$10</definedName>
    <definedName name="solver_opt" localSheetId="3" hidden="1">SimpleLP!$H$6</definedName>
    <definedName name="solver_pre" localSheetId="2" hidden="1">0.000001</definedName>
    <definedName name="solver_rel1" localSheetId="7" hidden="1">1</definedName>
    <definedName name="solver_rel1" localSheetId="12" hidden="1">1</definedName>
    <definedName name="solver_rel1" localSheetId="15" hidden="1">1</definedName>
    <definedName name="solver_rel1" localSheetId="18" hidden="1">1</definedName>
    <definedName name="solver_rel1" localSheetId="24" hidden="1">1</definedName>
    <definedName name="solver_rel1" localSheetId="9" hidden="1">1</definedName>
    <definedName name="solver_rel1" localSheetId="21" hidden="1">1</definedName>
    <definedName name="solver_rel1" localSheetId="27" hidden="1">1</definedName>
    <definedName name="solver_rel1" localSheetId="33" hidden="1">1</definedName>
    <definedName name="solver_rel1" localSheetId="8" hidden="1">1</definedName>
    <definedName name="solver_rel1" localSheetId="13" hidden="1">1</definedName>
    <definedName name="solver_rel1" localSheetId="16" hidden="1">1</definedName>
    <definedName name="solver_rel1" localSheetId="19" hidden="1">1</definedName>
    <definedName name="solver_rel1" localSheetId="25" hidden="1">1</definedName>
    <definedName name="solver_rel1" localSheetId="10" hidden="1">1</definedName>
    <definedName name="solver_rel1" localSheetId="22" hidden="1">1</definedName>
    <definedName name="solver_rel1" localSheetId="28" hidden="1">1</definedName>
    <definedName name="solver_rel1" localSheetId="34" hidden="1">1</definedName>
    <definedName name="solver_rel1" localSheetId="32" hidden="1">1</definedName>
    <definedName name="solver_rel1" localSheetId="31" hidden="1">1</definedName>
    <definedName name="solver_rel1" localSheetId="30" hidden="1">1</definedName>
    <definedName name="solver_rel1" localSheetId="5" hidden="1">1</definedName>
    <definedName name="solver_rel1" localSheetId="14" hidden="1">1</definedName>
    <definedName name="solver_rel1" localSheetId="17" hidden="1">1</definedName>
    <definedName name="solver_rel1" localSheetId="20" hidden="1">1</definedName>
    <definedName name="solver_rel1" localSheetId="26" hidden="1">1</definedName>
    <definedName name="solver_rel1" localSheetId="11" hidden="1">1</definedName>
    <definedName name="solver_rel1" localSheetId="23" hidden="1">1</definedName>
    <definedName name="solver_rel1" localSheetId="29" hidden="1">1</definedName>
    <definedName name="solver_rel1" localSheetId="35" hidden="1">1</definedName>
    <definedName name="solver_rel1" localSheetId="6" hidden="1">1</definedName>
    <definedName name="solver_rel1" localSheetId="4" hidden="1">1</definedName>
    <definedName name="solver_rel1" localSheetId="3" hidden="1">1</definedName>
    <definedName name="solver_rel2" localSheetId="7" hidden="1">3</definedName>
    <definedName name="solver_rel2" localSheetId="12" hidden="1">3</definedName>
    <definedName name="solver_rel2" localSheetId="15" hidden="1">3</definedName>
    <definedName name="solver_rel2" localSheetId="18" hidden="1">3</definedName>
    <definedName name="solver_rel2" localSheetId="24" hidden="1">3</definedName>
    <definedName name="solver_rel2" localSheetId="9" hidden="1">3</definedName>
    <definedName name="solver_rel2" localSheetId="21" hidden="1">3</definedName>
    <definedName name="solver_rel2" localSheetId="27" hidden="1">3</definedName>
    <definedName name="solver_rel2" localSheetId="33" hidden="1">3</definedName>
    <definedName name="solver_rel2" localSheetId="8" hidden="1">3</definedName>
    <definedName name="solver_rel2" localSheetId="13" hidden="1">3</definedName>
    <definedName name="solver_rel2" localSheetId="16" hidden="1">3</definedName>
    <definedName name="solver_rel2" localSheetId="19" hidden="1">3</definedName>
    <definedName name="solver_rel2" localSheetId="25" hidden="1">3</definedName>
    <definedName name="solver_rel2" localSheetId="10" hidden="1">3</definedName>
    <definedName name="solver_rel2" localSheetId="22" hidden="1">3</definedName>
    <definedName name="solver_rel2" localSheetId="28" hidden="1">3</definedName>
    <definedName name="solver_rel2" localSheetId="34" hidden="1">3</definedName>
    <definedName name="solver_rel2" localSheetId="32" hidden="1">3</definedName>
    <definedName name="solver_rel2" localSheetId="31" hidden="1">3</definedName>
    <definedName name="solver_rel2" localSheetId="30" hidden="1">3</definedName>
    <definedName name="solver_rel2" localSheetId="5" hidden="1">3</definedName>
    <definedName name="solver_rel2" localSheetId="14" hidden="1">3</definedName>
    <definedName name="solver_rel2" localSheetId="17" hidden="1">3</definedName>
    <definedName name="solver_rel2" localSheetId="20" hidden="1">3</definedName>
    <definedName name="solver_rel2" localSheetId="26" hidden="1">3</definedName>
    <definedName name="solver_rel2" localSheetId="11" hidden="1">3</definedName>
    <definedName name="solver_rel2" localSheetId="23" hidden="1">3</definedName>
    <definedName name="solver_rel2" localSheetId="29" hidden="1">3</definedName>
    <definedName name="solver_rel2" localSheetId="35" hidden="1">3</definedName>
    <definedName name="solver_rel2" localSheetId="6" hidden="1">3</definedName>
    <definedName name="solver_rel2" localSheetId="4" hidden="1">5</definedName>
    <definedName name="solver_rel2" localSheetId="3" hidden="1">3</definedName>
    <definedName name="solver_rel3" localSheetId="7" hidden="1">1</definedName>
    <definedName name="solver_rel3" localSheetId="12" hidden="1">1</definedName>
    <definedName name="solver_rel3" localSheetId="15" hidden="1">1</definedName>
    <definedName name="solver_rel3" localSheetId="18" hidden="1">1</definedName>
    <definedName name="solver_rel3" localSheetId="24" hidden="1">1</definedName>
    <definedName name="solver_rel3" localSheetId="9" hidden="1">1</definedName>
    <definedName name="solver_rel3" localSheetId="21" hidden="1">1</definedName>
    <definedName name="solver_rel3" localSheetId="27" hidden="1">1</definedName>
    <definedName name="solver_rel3" localSheetId="33" hidden="1">1</definedName>
    <definedName name="solver_rel3" localSheetId="8" hidden="1">1</definedName>
    <definedName name="solver_rel3" localSheetId="13" hidden="1">1</definedName>
    <definedName name="solver_rel3" localSheetId="16" hidden="1">1</definedName>
    <definedName name="solver_rel3" localSheetId="19" hidden="1">1</definedName>
    <definedName name="solver_rel3" localSheetId="25" hidden="1">1</definedName>
    <definedName name="solver_rel3" localSheetId="10" hidden="1">1</definedName>
    <definedName name="solver_rel3" localSheetId="22" hidden="1">1</definedName>
    <definedName name="solver_rel3" localSheetId="28" hidden="1">1</definedName>
    <definedName name="solver_rel3" localSheetId="34" hidden="1">1</definedName>
    <definedName name="solver_rel3" localSheetId="32" hidden="1">1</definedName>
    <definedName name="solver_rel3" localSheetId="31" hidden="1">1</definedName>
    <definedName name="solver_rel3" localSheetId="30" hidden="1">1</definedName>
    <definedName name="solver_rel3" localSheetId="5" hidden="1">1</definedName>
    <definedName name="solver_rel3" localSheetId="14" hidden="1">1</definedName>
    <definedName name="solver_rel3" localSheetId="17" hidden="1">1</definedName>
    <definedName name="solver_rel3" localSheetId="20" hidden="1">1</definedName>
    <definedName name="solver_rel3" localSheetId="26" hidden="1">1</definedName>
    <definedName name="solver_rel3" localSheetId="11" hidden="1">1</definedName>
    <definedName name="solver_rel3" localSheetId="23" hidden="1">1</definedName>
    <definedName name="solver_rel3" localSheetId="29" hidden="1">1</definedName>
    <definedName name="solver_rel3" localSheetId="35" hidden="1">1</definedName>
    <definedName name="solver_rel3" localSheetId="6" hidden="1">2</definedName>
    <definedName name="solver_rel3" localSheetId="3" hidden="1">2</definedName>
    <definedName name="solver_rhs1" localSheetId="7" hidden="1">'!BadName'!$J$9:$J$10</definedName>
    <definedName name="solver_rhs1" localSheetId="12" hidden="1">'#BadName'!$J$9:$J$10</definedName>
    <definedName name="solver_rhs1" localSheetId="15" hidden="1">'$BadName'!$J$9:$J$10</definedName>
    <definedName name="solver_rhs1" localSheetId="18" hidden="1">'%BadName'!$J$9:$J$10</definedName>
    <definedName name="solver_rhs1" localSheetId="24" hidden="1">'&amp;BadName'!$J$9:$J$10</definedName>
    <definedName name="solver_rhs1" localSheetId="9" hidden="1">'@BadName'!$J$9:$J$10</definedName>
    <definedName name="solver_rhs1" localSheetId="21" hidden="1">'^BadName'!$J$9:$J$10</definedName>
    <definedName name="solver_rhs1" localSheetId="27" hidden="1">'|BadName'!$J$9:$J$10</definedName>
    <definedName name="solver_rhs1" localSheetId="33" hidden="1">'=BadName'!$J$9:$J$10</definedName>
    <definedName name="solver_rhs1" localSheetId="8" hidden="1">'Bad!Name'!$J$9:$J$10</definedName>
    <definedName name="solver_rhs1" localSheetId="13" hidden="1">'Bad#Name'!$J$9:$J$10</definedName>
    <definedName name="solver_rhs1" localSheetId="16" hidden="1">'Bad$Name'!$J$9:$J$10</definedName>
    <definedName name="solver_rhs1" localSheetId="19" hidden="1">'Bad%Name'!$J$9:$J$10</definedName>
    <definedName name="solver_rhs1" localSheetId="25" hidden="1">'Bad&amp;Name'!$J$9:$J$10</definedName>
    <definedName name="solver_rhs1" localSheetId="10" hidden="1">'Bad@Name'!$J$9:$J$10</definedName>
    <definedName name="solver_rhs1" localSheetId="22" hidden="1">'Bad^Name'!$J$9:$J$10</definedName>
    <definedName name="solver_rhs1" localSheetId="28" hidden="1">'Bad|Name'!$J$9:$J$10</definedName>
    <definedName name="solver_rhs1" localSheetId="34" hidden="1">'Bad=Name'!$J$9:$J$10</definedName>
    <definedName name="solver_rhs1" localSheetId="32" hidden="1">'BadName-'!$J$9:$J$10</definedName>
    <definedName name="solver_rhs1" localSheetId="31" hidden="1">'Bad-Name'!$J$9:$J$10</definedName>
    <definedName name="solver_rhs1" localSheetId="30" hidden="1">'-BadName'!$J$9:$J$10</definedName>
    <definedName name="solver_rhs1" localSheetId="5" hidden="1">'BadName!'!$J$9:$J$10</definedName>
    <definedName name="solver_rhs1" localSheetId="14" hidden="1">'BadName#'!$J$9:$J$10</definedName>
    <definedName name="solver_rhs1" localSheetId="17" hidden="1">'BadName$'!$J$9:$J$10</definedName>
    <definedName name="solver_rhs1" localSheetId="20" hidden="1">'BadName%'!$J$9:$J$10</definedName>
    <definedName name="solver_rhs1" localSheetId="26" hidden="1">'BadName&amp;'!$J$9:$J$10</definedName>
    <definedName name="solver_rhs1" localSheetId="11" hidden="1">'BadName@'!$J$9:$J$10</definedName>
    <definedName name="solver_rhs1" localSheetId="23" hidden="1">'BadName^'!$J$9:$J$10</definedName>
    <definedName name="solver_rhs1" localSheetId="29" hidden="1">'BadName|'!$J$9:$J$10</definedName>
    <definedName name="solver_rhs1" localSheetId="35" hidden="1">'BadName='!$J$9:$J$10</definedName>
    <definedName name="solver_rhs1" localSheetId="6" hidden="1">'EscapeSheetName(1)+2-1'!$J$8:$J$9</definedName>
    <definedName name="solver_rhs1" localSheetId="4" hidden="1">SimpleIP!$C$10</definedName>
    <definedName name="solver_rhs1" localSheetId="3" hidden="1">SimpleLP!$J$8:$J$9</definedName>
    <definedName name="solver_rhs2" localSheetId="7" hidden="1">'!BadName'!$J$11</definedName>
    <definedName name="solver_rhs2" localSheetId="12" hidden="1">'#BadName'!$J$11</definedName>
    <definedName name="solver_rhs2" localSheetId="15" hidden="1">'$BadName'!$J$11</definedName>
    <definedName name="solver_rhs2" localSheetId="18" hidden="1">'%BadName'!$J$11</definedName>
    <definedName name="solver_rhs2" localSheetId="24" hidden="1">'&amp;BadName'!$J$11</definedName>
    <definedName name="solver_rhs2" localSheetId="9" hidden="1">'@BadName'!$J$11</definedName>
    <definedName name="solver_rhs2" localSheetId="21" hidden="1">'^BadName'!$J$11</definedName>
    <definedName name="solver_rhs2" localSheetId="27" hidden="1">'|BadName'!$J$11</definedName>
    <definedName name="solver_rhs2" localSheetId="33" hidden="1">'=BadName'!$J$11</definedName>
    <definedName name="solver_rhs2" localSheetId="8" hidden="1">'Bad!Name'!$J$11</definedName>
    <definedName name="solver_rhs2" localSheetId="13" hidden="1">'Bad#Name'!$J$11</definedName>
    <definedName name="solver_rhs2" localSheetId="16" hidden="1">'Bad$Name'!$J$11</definedName>
    <definedName name="solver_rhs2" localSheetId="19" hidden="1">'Bad%Name'!$J$11</definedName>
    <definedName name="solver_rhs2" localSheetId="25" hidden="1">'Bad&amp;Name'!$J$11</definedName>
    <definedName name="solver_rhs2" localSheetId="10" hidden="1">'Bad@Name'!$J$11</definedName>
    <definedName name="solver_rhs2" localSheetId="22" hidden="1">'Bad^Name'!$J$11</definedName>
    <definedName name="solver_rhs2" localSheetId="28" hidden="1">'Bad|Name'!$J$11</definedName>
    <definedName name="solver_rhs2" localSheetId="34" hidden="1">'Bad=Name'!$J$11</definedName>
    <definedName name="solver_rhs2" localSheetId="32" hidden="1">'BadName-'!$J$11</definedName>
    <definedName name="solver_rhs2" localSheetId="31" hidden="1">'Bad-Name'!$J$11</definedName>
    <definedName name="solver_rhs2" localSheetId="30" hidden="1">'-BadName'!$J$11</definedName>
    <definedName name="solver_rhs2" localSheetId="5" hidden="1">'BadName!'!$J$11</definedName>
    <definedName name="solver_rhs2" localSheetId="14" hidden="1">'BadName#'!$J$11</definedName>
    <definedName name="solver_rhs2" localSheetId="17" hidden="1">'BadName$'!$J$11</definedName>
    <definedName name="solver_rhs2" localSheetId="20" hidden="1">'BadName%'!$J$11</definedName>
    <definedName name="solver_rhs2" localSheetId="26" hidden="1">'BadName&amp;'!$J$11</definedName>
    <definedName name="solver_rhs2" localSheetId="11" hidden="1">'BadName@'!$J$11</definedName>
    <definedName name="solver_rhs2" localSheetId="23" hidden="1">'BadName^'!$J$11</definedName>
    <definedName name="solver_rhs2" localSheetId="29" hidden="1">'BadName|'!$J$11</definedName>
    <definedName name="solver_rhs2" localSheetId="35" hidden="1">'BadName='!$J$11</definedName>
    <definedName name="solver_rhs2" localSheetId="6" hidden="1">'EscapeSheetName(1)+2-1'!$J$10</definedName>
    <definedName name="solver_rhs2" localSheetId="4" hidden="1">binary</definedName>
    <definedName name="solver_rhs2" localSheetId="3" hidden="1">SimpleLP!$J$10</definedName>
    <definedName name="solver_rhs3" localSheetId="7" hidden="1">'!BadName'!$J$12</definedName>
    <definedName name="solver_rhs3" localSheetId="12" hidden="1">'#BadName'!$J$12</definedName>
    <definedName name="solver_rhs3" localSheetId="15" hidden="1">'$BadName'!$J$12</definedName>
    <definedName name="solver_rhs3" localSheetId="18" hidden="1">'%BadName'!$J$12</definedName>
    <definedName name="solver_rhs3" localSheetId="24" hidden="1">'&amp;BadName'!$J$12</definedName>
    <definedName name="solver_rhs3" localSheetId="9" hidden="1">'@BadName'!$J$12</definedName>
    <definedName name="solver_rhs3" localSheetId="21" hidden="1">'^BadName'!$J$12</definedName>
    <definedName name="solver_rhs3" localSheetId="27" hidden="1">'|BadName'!$J$12</definedName>
    <definedName name="solver_rhs3" localSheetId="33" hidden="1">'=BadName'!$J$12</definedName>
    <definedName name="solver_rhs3" localSheetId="8" hidden="1">'Bad!Name'!$J$12</definedName>
    <definedName name="solver_rhs3" localSheetId="13" hidden="1">'Bad#Name'!$J$12</definedName>
    <definedName name="solver_rhs3" localSheetId="16" hidden="1">'Bad$Name'!$J$12</definedName>
    <definedName name="solver_rhs3" localSheetId="19" hidden="1">'Bad%Name'!$J$12</definedName>
    <definedName name="solver_rhs3" localSheetId="25" hidden="1">'Bad&amp;Name'!$J$12</definedName>
    <definedName name="solver_rhs3" localSheetId="10" hidden="1">'Bad@Name'!$J$12</definedName>
    <definedName name="solver_rhs3" localSheetId="22" hidden="1">'Bad^Name'!$J$12</definedName>
    <definedName name="solver_rhs3" localSheetId="28" hidden="1">'Bad|Name'!$J$12</definedName>
    <definedName name="solver_rhs3" localSheetId="34" hidden="1">'Bad=Name'!$J$12</definedName>
    <definedName name="solver_rhs3" localSheetId="32" hidden="1">'BadName-'!$J$12</definedName>
    <definedName name="solver_rhs3" localSheetId="31" hidden="1">'Bad-Name'!$J$12</definedName>
    <definedName name="solver_rhs3" localSheetId="30" hidden="1">'-BadName'!$J$12</definedName>
    <definedName name="solver_rhs3" localSheetId="5" hidden="1">'BadName!'!$J$12</definedName>
    <definedName name="solver_rhs3" localSheetId="14" hidden="1">'BadName#'!$J$12</definedName>
    <definedName name="solver_rhs3" localSheetId="17" hidden="1">'BadName$'!$J$12</definedName>
    <definedName name="solver_rhs3" localSheetId="20" hidden="1">'BadName%'!$J$12</definedName>
    <definedName name="solver_rhs3" localSheetId="26" hidden="1">'BadName&amp;'!$J$12</definedName>
    <definedName name="solver_rhs3" localSheetId="11" hidden="1">'BadName@'!$J$12</definedName>
    <definedName name="solver_rhs3" localSheetId="23" hidden="1">'BadName^'!$J$12</definedName>
    <definedName name="solver_rhs3" localSheetId="29" hidden="1">'BadName|'!$J$12</definedName>
    <definedName name="solver_rhs3" localSheetId="35" hidden="1">'BadName='!$J$12</definedName>
    <definedName name="solver_rhs3" localSheetId="6" hidden="1">'EscapeSheetName(1)+2-1'!$J$11</definedName>
    <definedName name="solver_rhs3" localSheetId="3" hidden="1">SimpleLP!$J$11</definedName>
    <definedName name="solver_rlx" localSheetId="7" hidden="1">0</definedName>
    <definedName name="solver_rlx" localSheetId="12" hidden="1">0</definedName>
    <definedName name="solver_rlx" localSheetId="15" hidden="1">0</definedName>
    <definedName name="solver_rlx" localSheetId="18" hidden="1">0</definedName>
    <definedName name="solver_rlx" localSheetId="24" hidden="1">0</definedName>
    <definedName name="solver_rlx" localSheetId="9" hidden="1">0</definedName>
    <definedName name="solver_rlx" localSheetId="21" hidden="1">0</definedName>
    <definedName name="solver_rlx" localSheetId="27" hidden="1">0</definedName>
    <definedName name="solver_rlx" localSheetId="33" hidden="1">0</definedName>
    <definedName name="solver_rlx" localSheetId="8" hidden="1">0</definedName>
    <definedName name="solver_rlx" localSheetId="13" hidden="1">0</definedName>
    <definedName name="solver_rlx" localSheetId="16" hidden="1">0</definedName>
    <definedName name="solver_rlx" localSheetId="19" hidden="1">0</definedName>
    <definedName name="solver_rlx" localSheetId="25" hidden="1">0</definedName>
    <definedName name="solver_rlx" localSheetId="10" hidden="1">0</definedName>
    <definedName name="solver_rlx" localSheetId="22" hidden="1">0</definedName>
    <definedName name="solver_rlx" localSheetId="28" hidden="1">0</definedName>
    <definedName name="solver_rlx" localSheetId="34" hidden="1">0</definedName>
    <definedName name="solver_rlx" localSheetId="32" hidden="1">0</definedName>
    <definedName name="solver_rlx" localSheetId="31" hidden="1">0</definedName>
    <definedName name="solver_rlx" localSheetId="30" hidden="1">0</definedName>
    <definedName name="solver_rlx" localSheetId="5" hidden="1">0</definedName>
    <definedName name="solver_rlx" localSheetId="14" hidden="1">0</definedName>
    <definedName name="solver_rlx" localSheetId="17" hidden="1">0</definedName>
    <definedName name="solver_rlx" localSheetId="20" hidden="1">0</definedName>
    <definedName name="solver_rlx" localSheetId="26" hidden="1">0</definedName>
    <definedName name="solver_rlx" localSheetId="11" hidden="1">0</definedName>
    <definedName name="solver_rlx" localSheetId="23" hidden="1">0</definedName>
    <definedName name="solver_rlx" localSheetId="29" hidden="1">0</definedName>
    <definedName name="solver_rlx" localSheetId="35" hidden="1">0</definedName>
    <definedName name="solver_rlx" localSheetId="6" hidden="1">0</definedName>
    <definedName name="solver_rlx" localSheetId="2" hidden="1">2</definedName>
    <definedName name="solver_rlx" localSheetId="4" hidden="1">0</definedName>
    <definedName name="solver_rlx" localSheetId="3" hidden="1">0</definedName>
    <definedName name="solver_scl" localSheetId="7" hidden="1">2</definedName>
    <definedName name="solver_scl" localSheetId="12" hidden="1">2</definedName>
    <definedName name="solver_scl" localSheetId="15" hidden="1">2</definedName>
    <definedName name="solver_scl" localSheetId="18" hidden="1">2</definedName>
    <definedName name="solver_scl" localSheetId="24" hidden="1">2</definedName>
    <definedName name="solver_scl" localSheetId="9" hidden="1">2</definedName>
    <definedName name="solver_scl" localSheetId="21" hidden="1">2</definedName>
    <definedName name="solver_scl" localSheetId="27" hidden="1">2</definedName>
    <definedName name="solver_scl" localSheetId="33" hidden="1">2</definedName>
    <definedName name="solver_scl" localSheetId="8" hidden="1">2</definedName>
    <definedName name="solver_scl" localSheetId="13" hidden="1">2</definedName>
    <definedName name="solver_scl" localSheetId="16" hidden="1">2</definedName>
    <definedName name="solver_scl" localSheetId="19" hidden="1">2</definedName>
    <definedName name="solver_scl" localSheetId="25" hidden="1">2</definedName>
    <definedName name="solver_scl" localSheetId="10" hidden="1">2</definedName>
    <definedName name="solver_scl" localSheetId="22" hidden="1">2</definedName>
    <definedName name="solver_scl" localSheetId="28" hidden="1">2</definedName>
    <definedName name="solver_scl" localSheetId="34" hidden="1">2</definedName>
    <definedName name="solver_scl" localSheetId="32" hidden="1">2</definedName>
    <definedName name="solver_scl" localSheetId="31" hidden="1">2</definedName>
    <definedName name="solver_scl" localSheetId="30" hidden="1">2</definedName>
    <definedName name="solver_scl" localSheetId="5" hidden="1">2</definedName>
    <definedName name="solver_scl" localSheetId="14" hidden="1">2</definedName>
    <definedName name="solver_scl" localSheetId="17" hidden="1">2</definedName>
    <definedName name="solver_scl" localSheetId="20" hidden="1">2</definedName>
    <definedName name="solver_scl" localSheetId="26" hidden="1">2</definedName>
    <definedName name="solver_scl" localSheetId="11" hidden="1">2</definedName>
    <definedName name="solver_scl" localSheetId="23" hidden="1">2</definedName>
    <definedName name="solver_scl" localSheetId="29" hidden="1">2</definedName>
    <definedName name="solver_scl" localSheetId="35" hidden="1">2</definedName>
    <definedName name="solver_scl" localSheetId="2" hidden="1">2</definedName>
    <definedName name="solver_scl" localSheetId="3" hidden="1">2</definedName>
    <definedName name="solver_sho" localSheetId="7" hidden="1">0</definedName>
    <definedName name="solver_sho" localSheetId="12" hidden="1">0</definedName>
    <definedName name="solver_sho" localSheetId="15" hidden="1">0</definedName>
    <definedName name="solver_sho" localSheetId="18" hidden="1">0</definedName>
    <definedName name="solver_sho" localSheetId="24" hidden="1">0</definedName>
    <definedName name="solver_sho" localSheetId="9" hidden="1">0</definedName>
    <definedName name="solver_sho" localSheetId="21" hidden="1">0</definedName>
    <definedName name="solver_sho" localSheetId="27" hidden="1">0</definedName>
    <definedName name="solver_sho" localSheetId="33" hidden="1">0</definedName>
    <definedName name="solver_sho" localSheetId="8" hidden="1">0</definedName>
    <definedName name="solver_sho" localSheetId="13" hidden="1">0</definedName>
    <definedName name="solver_sho" localSheetId="16" hidden="1">0</definedName>
    <definedName name="solver_sho" localSheetId="19" hidden="1">0</definedName>
    <definedName name="solver_sho" localSheetId="25" hidden="1">0</definedName>
    <definedName name="solver_sho" localSheetId="10" hidden="1">0</definedName>
    <definedName name="solver_sho" localSheetId="22" hidden="1">0</definedName>
    <definedName name="solver_sho" localSheetId="28" hidden="1">0</definedName>
    <definedName name="solver_sho" localSheetId="34" hidden="1">0</definedName>
    <definedName name="solver_sho" localSheetId="32" hidden="1">0</definedName>
    <definedName name="solver_sho" localSheetId="31" hidden="1">0</definedName>
    <definedName name="solver_sho" localSheetId="30" hidden="1">0</definedName>
    <definedName name="solver_sho" localSheetId="5" hidden="1">0</definedName>
    <definedName name="solver_sho" localSheetId="14" hidden="1">0</definedName>
    <definedName name="solver_sho" localSheetId="17" hidden="1">0</definedName>
    <definedName name="solver_sho" localSheetId="20" hidden="1">0</definedName>
    <definedName name="solver_sho" localSheetId="26" hidden="1">0</definedName>
    <definedName name="solver_sho" localSheetId="11" hidden="1">0</definedName>
    <definedName name="solver_sho" localSheetId="23" hidden="1">0</definedName>
    <definedName name="solver_sho" localSheetId="29" hidden="1">0</definedName>
    <definedName name="solver_sho" localSheetId="35" hidden="1">0</definedName>
    <definedName name="solver_sho" localSheetId="6" hidden="1">0</definedName>
    <definedName name="solver_sho" localSheetId="2" hidden="1">0</definedName>
    <definedName name="solver_sho" localSheetId="4" hidden="1">0</definedName>
    <definedName name="solver_sho" localSheetId="3" hidden="1">0</definedName>
    <definedName name="solver_tim" localSheetId="7" hidden="1">2147483647</definedName>
    <definedName name="solver_tim" localSheetId="12" hidden="1">2147483647</definedName>
    <definedName name="solver_tim" localSheetId="15" hidden="1">2147483647</definedName>
    <definedName name="solver_tim" localSheetId="18" hidden="1">2147483647</definedName>
    <definedName name="solver_tim" localSheetId="24" hidden="1">2147483647</definedName>
    <definedName name="solver_tim" localSheetId="9" hidden="1">2147483647</definedName>
    <definedName name="solver_tim" localSheetId="21" hidden="1">2147483647</definedName>
    <definedName name="solver_tim" localSheetId="27" hidden="1">2147483647</definedName>
    <definedName name="solver_tim" localSheetId="33" hidden="1">2147483647</definedName>
    <definedName name="solver_tim" localSheetId="8" hidden="1">2147483647</definedName>
    <definedName name="solver_tim" localSheetId="13" hidden="1">2147483647</definedName>
    <definedName name="solver_tim" localSheetId="16" hidden="1">2147483647</definedName>
    <definedName name="solver_tim" localSheetId="19" hidden="1">2147483647</definedName>
    <definedName name="solver_tim" localSheetId="25" hidden="1">2147483647</definedName>
    <definedName name="solver_tim" localSheetId="10" hidden="1">2147483647</definedName>
    <definedName name="solver_tim" localSheetId="22" hidden="1">2147483647</definedName>
    <definedName name="solver_tim" localSheetId="28" hidden="1">2147483647</definedName>
    <definedName name="solver_tim" localSheetId="34" hidden="1">2147483647</definedName>
    <definedName name="solver_tim" localSheetId="32" hidden="1">2147483647</definedName>
    <definedName name="solver_tim" localSheetId="31" hidden="1">2147483647</definedName>
    <definedName name="solver_tim" localSheetId="30" hidden="1">2147483647</definedName>
    <definedName name="solver_tim" localSheetId="5" hidden="1">2147483647</definedName>
    <definedName name="solver_tim" localSheetId="14" hidden="1">2147483647</definedName>
    <definedName name="solver_tim" localSheetId="17" hidden="1">2147483647</definedName>
    <definedName name="solver_tim" localSheetId="20" hidden="1">2147483647</definedName>
    <definedName name="solver_tim" localSheetId="26" hidden="1">2147483647</definedName>
    <definedName name="solver_tim" localSheetId="11" hidden="1">2147483647</definedName>
    <definedName name="solver_tim" localSheetId="23" hidden="1">2147483647</definedName>
    <definedName name="solver_tim" localSheetId="29" hidden="1">2147483647</definedName>
    <definedName name="solver_tim" localSheetId="35" hidden="1">2147483647</definedName>
    <definedName name="solver_tim" localSheetId="2" hidden="1">1E+25</definedName>
    <definedName name="solver_tim" localSheetId="3" hidden="1">1E+25</definedName>
    <definedName name="solver_tol" localSheetId="7" hidden="1">0.05</definedName>
    <definedName name="solver_tol" localSheetId="12" hidden="1">0.05</definedName>
    <definedName name="solver_tol" localSheetId="15" hidden="1">0.05</definedName>
    <definedName name="solver_tol" localSheetId="18" hidden="1">0.05</definedName>
    <definedName name="solver_tol" localSheetId="24" hidden="1">0.05</definedName>
    <definedName name="solver_tol" localSheetId="9" hidden="1">0.05</definedName>
    <definedName name="solver_tol" localSheetId="21" hidden="1">0.05</definedName>
    <definedName name="solver_tol" localSheetId="27" hidden="1">0.05</definedName>
    <definedName name="solver_tol" localSheetId="33" hidden="1">0.05</definedName>
    <definedName name="solver_tol" localSheetId="8" hidden="1">0.05</definedName>
    <definedName name="solver_tol" localSheetId="13" hidden="1">0.05</definedName>
    <definedName name="solver_tol" localSheetId="16" hidden="1">0.05</definedName>
    <definedName name="solver_tol" localSheetId="19" hidden="1">0.05</definedName>
    <definedName name="solver_tol" localSheetId="25" hidden="1">0.05</definedName>
    <definedName name="solver_tol" localSheetId="10" hidden="1">0.05</definedName>
    <definedName name="solver_tol" localSheetId="22" hidden="1">0.05</definedName>
    <definedName name="solver_tol" localSheetId="28" hidden="1">0.05</definedName>
    <definedName name="solver_tol" localSheetId="34" hidden="1">0.05</definedName>
    <definedName name="solver_tol" localSheetId="32" hidden="1">0.05</definedName>
    <definedName name="solver_tol" localSheetId="31" hidden="1">0.05</definedName>
    <definedName name="solver_tol" localSheetId="30" hidden="1">0.05</definedName>
    <definedName name="solver_tol" localSheetId="5" hidden="1">0.05</definedName>
    <definedName name="solver_tol" localSheetId="14" hidden="1">0.05</definedName>
    <definedName name="solver_tol" localSheetId="17" hidden="1">0.05</definedName>
    <definedName name="solver_tol" localSheetId="20" hidden="1">0.05</definedName>
    <definedName name="solver_tol" localSheetId="26" hidden="1">0.05</definedName>
    <definedName name="solver_tol" localSheetId="11" hidden="1">0.05</definedName>
    <definedName name="solver_tol" localSheetId="23" hidden="1">0.05</definedName>
    <definedName name="solver_tol" localSheetId="29" hidden="1">0.05</definedName>
    <definedName name="solver_tol" localSheetId="35" hidden="1">0.05</definedName>
    <definedName name="solver_tol" localSheetId="2" hidden="1">0.05</definedName>
    <definedName name="solver_typ" localSheetId="7" hidden="1">2</definedName>
    <definedName name="solver_typ" localSheetId="12" hidden="1">2</definedName>
    <definedName name="solver_typ" localSheetId="15" hidden="1">2</definedName>
    <definedName name="solver_typ" localSheetId="18" hidden="1">2</definedName>
    <definedName name="solver_typ" localSheetId="24" hidden="1">2</definedName>
    <definedName name="solver_typ" localSheetId="9" hidden="1">2</definedName>
    <definedName name="solver_typ" localSheetId="21" hidden="1">2</definedName>
    <definedName name="solver_typ" localSheetId="27" hidden="1">2</definedName>
    <definedName name="solver_typ" localSheetId="33" hidden="1">2</definedName>
    <definedName name="solver_typ" localSheetId="8" hidden="1">2</definedName>
    <definedName name="solver_typ" localSheetId="13" hidden="1">2</definedName>
    <definedName name="solver_typ" localSheetId="16" hidden="1">2</definedName>
    <definedName name="solver_typ" localSheetId="19" hidden="1">2</definedName>
    <definedName name="solver_typ" localSheetId="25" hidden="1">2</definedName>
    <definedName name="solver_typ" localSheetId="10" hidden="1">2</definedName>
    <definedName name="solver_typ" localSheetId="22" hidden="1">2</definedName>
    <definedName name="solver_typ" localSheetId="28" hidden="1">2</definedName>
    <definedName name="solver_typ" localSheetId="34" hidden="1">2</definedName>
    <definedName name="solver_typ" localSheetId="32" hidden="1">2</definedName>
    <definedName name="solver_typ" localSheetId="31" hidden="1">2</definedName>
    <definedName name="solver_typ" localSheetId="30" hidden="1">2</definedName>
    <definedName name="solver_typ" localSheetId="5" hidden="1">2</definedName>
    <definedName name="solver_typ" localSheetId="14" hidden="1">2</definedName>
    <definedName name="solver_typ" localSheetId="17" hidden="1">2</definedName>
    <definedName name="solver_typ" localSheetId="20" hidden="1">2</definedName>
    <definedName name="solver_typ" localSheetId="26" hidden="1">2</definedName>
    <definedName name="solver_typ" localSheetId="11" hidden="1">2</definedName>
    <definedName name="solver_typ" localSheetId="23" hidden="1">2</definedName>
    <definedName name="solver_typ" localSheetId="29" hidden="1">2</definedName>
    <definedName name="solver_typ" localSheetId="35" hidden="1">2</definedName>
    <definedName name="solver_typ" localSheetId="6" hidden="1">2</definedName>
    <definedName name="solver_typ" localSheetId="2" hidden="1">2</definedName>
    <definedName name="solver_typ" localSheetId="4" hidden="1">1</definedName>
    <definedName name="solver_typ" localSheetId="3" hidden="1">2</definedName>
    <definedName name="solver_val" localSheetId="7" hidden="1">0</definedName>
    <definedName name="solver_val" localSheetId="12" hidden="1">0</definedName>
    <definedName name="solver_val" localSheetId="15" hidden="1">0</definedName>
    <definedName name="solver_val" localSheetId="18" hidden="1">0</definedName>
    <definedName name="solver_val" localSheetId="24" hidden="1">0</definedName>
    <definedName name="solver_val" localSheetId="9" hidden="1">0</definedName>
    <definedName name="solver_val" localSheetId="21" hidden="1">0</definedName>
    <definedName name="solver_val" localSheetId="27" hidden="1">0</definedName>
    <definedName name="solver_val" localSheetId="33" hidden="1">0</definedName>
    <definedName name="solver_val" localSheetId="8" hidden="1">0</definedName>
    <definedName name="solver_val" localSheetId="13" hidden="1">0</definedName>
    <definedName name="solver_val" localSheetId="16" hidden="1">0</definedName>
    <definedName name="solver_val" localSheetId="19" hidden="1">0</definedName>
    <definedName name="solver_val" localSheetId="25" hidden="1">0</definedName>
    <definedName name="solver_val" localSheetId="10" hidden="1">0</definedName>
    <definedName name="solver_val" localSheetId="22" hidden="1">0</definedName>
    <definedName name="solver_val" localSheetId="28" hidden="1">0</definedName>
    <definedName name="solver_val" localSheetId="34" hidden="1">0</definedName>
    <definedName name="solver_val" localSheetId="32" hidden="1">0</definedName>
    <definedName name="solver_val" localSheetId="31" hidden="1">0</definedName>
    <definedName name="solver_val" localSheetId="30" hidden="1">0</definedName>
    <definedName name="solver_val" localSheetId="5" hidden="1">0</definedName>
    <definedName name="solver_val" localSheetId="14" hidden="1">0</definedName>
    <definedName name="solver_val" localSheetId="17" hidden="1">0</definedName>
    <definedName name="solver_val" localSheetId="20" hidden="1">0</definedName>
    <definedName name="solver_val" localSheetId="26" hidden="1">0</definedName>
    <definedName name="solver_val" localSheetId="11" hidden="1">0</definedName>
    <definedName name="solver_val" localSheetId="23" hidden="1">0</definedName>
    <definedName name="solver_val" localSheetId="29" hidden="1">0</definedName>
    <definedName name="solver_val" localSheetId="35" hidden="1">0</definedName>
    <definedName name="solver_val" localSheetId="6" hidden="1">0</definedName>
    <definedName name="solver_val" localSheetId="2" hidden="1">0</definedName>
    <definedName name="solver_val" localSheetId="4" hidden="1">0</definedName>
    <definedName name="solver_val" localSheetId="3" hidden="1">0</definedName>
    <definedName name="TestType">Data!$D$1:$D$2</definedName>
    <definedName name="uhj">#REF!</definedName>
    <definedName name="wa">#REF!</definedName>
    <definedName name="wb">#REF!</definedName>
    <definedName name="wc">#REF!</definedName>
    <definedName name="wd">#REF!</definedName>
    <definedName name="x" localSheetId="6">#REF!</definedName>
    <definedName name="x" localSheetId="4">#REF!</definedName>
    <definedName name="x">#REF!</definedName>
    <definedName name="xa">#REF!</definedName>
    <definedName name="xb">#REF!</definedName>
    <definedName name="xc">#REF!</definedName>
    <definedName name="xd">#REF!</definedName>
    <definedName name="xstep" localSheetId="6">#REF!</definedName>
    <definedName name="xstep" localSheetId="4">#REF!</definedName>
    <definedName name="xstep">#REF!</definedName>
    <definedName name="y" localSheetId="6">#REF!</definedName>
    <definedName name="y" localSheetId="4">#REF!</definedName>
    <definedName name="y">#REF!</definedName>
    <definedName name="ya">#REF!</definedName>
    <definedName name="yb">#REF!</definedName>
    <definedName name="yc">#REF!</definedName>
    <definedName name="yd">#REF!</definedName>
    <definedName name="ystep" localSheetId="6">#REF!</definedName>
    <definedName name="ystep" localSheetId="4">#REF!</definedName>
    <definedName name="ystep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5" i="60" l="1"/>
  <c r="A34" i="60"/>
  <c r="A33" i="60"/>
  <c r="A32" i="60"/>
  <c r="I18" i="145"/>
  <c r="F18" i="145"/>
  <c r="E18" i="145"/>
  <c r="D18" i="145"/>
  <c r="H12" i="145"/>
  <c r="H11" i="145"/>
  <c r="N10" i="145"/>
  <c r="H10" i="145"/>
  <c r="A10" i="145"/>
  <c r="H9" i="145"/>
  <c r="A8" i="145"/>
  <c r="A9" i="145" s="1"/>
  <c r="H7" i="145"/>
  <c r="D22" i="145" s="1"/>
  <c r="A6" i="145" s="1"/>
  <c r="I18" i="144"/>
  <c r="F18" i="144"/>
  <c r="E18" i="144"/>
  <c r="D18" i="144"/>
  <c r="A6" i="144" s="1"/>
  <c r="H12" i="144"/>
  <c r="H11" i="144"/>
  <c r="N10" i="144"/>
  <c r="H10" i="144"/>
  <c r="A10" i="144"/>
  <c r="H9" i="144"/>
  <c r="A8" i="144"/>
  <c r="A9" i="144" s="1"/>
  <c r="H7" i="144"/>
  <c r="D22" i="144" s="1"/>
  <c r="I18" i="143"/>
  <c r="F18" i="143"/>
  <c r="E18" i="143"/>
  <c r="D18" i="143"/>
  <c r="H12" i="143"/>
  <c r="H11" i="143"/>
  <c r="N10" i="143"/>
  <c r="H10" i="143"/>
  <c r="A10" i="143"/>
  <c r="H9" i="143"/>
  <c r="A8" i="143"/>
  <c r="A9" i="143" s="1"/>
  <c r="H7" i="143"/>
  <c r="D22" i="143" s="1"/>
  <c r="A6" i="143" s="1"/>
  <c r="A31" i="60"/>
  <c r="A30" i="60"/>
  <c r="A29" i="60"/>
  <c r="A28" i="60"/>
  <c r="A27" i="60"/>
  <c r="A26" i="60"/>
  <c r="A25" i="60"/>
  <c r="A24" i="60"/>
  <c r="A23" i="60"/>
  <c r="A22" i="60"/>
  <c r="A21" i="60"/>
  <c r="A20" i="60"/>
  <c r="A19" i="60"/>
  <c r="A18" i="60"/>
  <c r="A17" i="60"/>
  <c r="A16" i="60"/>
  <c r="A15" i="60"/>
  <c r="A14" i="60"/>
  <c r="A13" i="60"/>
  <c r="A12" i="60"/>
  <c r="A11" i="60"/>
  <c r="A10" i="60"/>
  <c r="A9" i="60"/>
  <c r="A8" i="60"/>
  <c r="A7" i="60"/>
  <c r="A6" i="60"/>
  <c r="A5" i="60"/>
  <c r="A4" i="60"/>
  <c r="A3" i="60"/>
  <c r="I18" i="142"/>
  <c r="F18" i="142"/>
  <c r="E18" i="142"/>
  <c r="D18" i="142"/>
  <c r="H12" i="142"/>
  <c r="H11" i="142"/>
  <c r="N10" i="142"/>
  <c r="H10" i="142"/>
  <c r="A10" i="142"/>
  <c r="H9" i="142"/>
  <c r="A8" i="142"/>
  <c r="A9" i="142" s="1"/>
  <c r="H7" i="142"/>
  <c r="D22" i="142" s="1"/>
  <c r="A6" i="142" s="1"/>
  <c r="I18" i="141"/>
  <c r="F18" i="141"/>
  <c r="E18" i="141"/>
  <c r="D18" i="141"/>
  <c r="H12" i="141"/>
  <c r="H11" i="141"/>
  <c r="N10" i="141"/>
  <c r="H10" i="141"/>
  <c r="A10" i="141"/>
  <c r="H9" i="141"/>
  <c r="A8" i="141"/>
  <c r="A9" i="141" s="1"/>
  <c r="H7" i="141"/>
  <c r="D22" i="141" s="1"/>
  <c r="A6" i="141" s="1"/>
  <c r="I18" i="140"/>
  <c r="F18" i="140"/>
  <c r="E18" i="140"/>
  <c r="D18" i="140"/>
  <c r="H12" i="140"/>
  <c r="H11" i="140"/>
  <c r="N10" i="140"/>
  <c r="H10" i="140"/>
  <c r="A10" i="140"/>
  <c r="H9" i="140"/>
  <c r="A8" i="140"/>
  <c r="A9" i="140" s="1"/>
  <c r="H7" i="140"/>
  <c r="D22" i="140" s="1"/>
  <c r="A6" i="140" s="1"/>
  <c r="I18" i="139"/>
  <c r="F18" i="139"/>
  <c r="E18" i="139"/>
  <c r="D18" i="139"/>
  <c r="H12" i="139"/>
  <c r="H11" i="139"/>
  <c r="N10" i="139"/>
  <c r="H10" i="139"/>
  <c r="A10" i="139"/>
  <c r="H9" i="139"/>
  <c r="A8" i="139"/>
  <c r="A9" i="139" s="1"/>
  <c r="H7" i="139"/>
  <c r="D22" i="139" s="1"/>
  <c r="I18" i="138"/>
  <c r="F18" i="138"/>
  <c r="E18" i="138"/>
  <c r="D18" i="138"/>
  <c r="H12" i="138"/>
  <c r="H11" i="138"/>
  <c r="N10" i="138"/>
  <c r="H10" i="138"/>
  <c r="A10" i="138"/>
  <c r="H9" i="138"/>
  <c r="A8" i="138"/>
  <c r="A9" i="138" s="1"/>
  <c r="H7" i="138"/>
  <c r="D22" i="138" s="1"/>
  <c r="I18" i="137"/>
  <c r="F18" i="137"/>
  <c r="E18" i="137"/>
  <c r="D18" i="137"/>
  <c r="H12" i="137"/>
  <c r="H11" i="137"/>
  <c r="N10" i="137"/>
  <c r="H10" i="137"/>
  <c r="A10" i="137"/>
  <c r="H9" i="137"/>
  <c r="A8" i="137"/>
  <c r="A9" i="137" s="1"/>
  <c r="H7" i="137"/>
  <c r="D22" i="137" s="1"/>
  <c r="A6" i="139" l="1"/>
  <c r="A6" i="138"/>
  <c r="A6" i="137"/>
  <c r="I18" i="136" l="1"/>
  <c r="F18" i="136"/>
  <c r="E18" i="136"/>
  <c r="D18" i="136"/>
  <c r="H12" i="136"/>
  <c r="H11" i="136"/>
  <c r="N10" i="136"/>
  <c r="H10" i="136"/>
  <c r="A10" i="136"/>
  <c r="H9" i="136"/>
  <c r="A8" i="136"/>
  <c r="A9" i="136" s="1"/>
  <c r="H7" i="136"/>
  <c r="D22" i="136" s="1"/>
  <c r="I18" i="135"/>
  <c r="F18" i="135"/>
  <c r="E18" i="135"/>
  <c r="D18" i="135"/>
  <c r="H12" i="135"/>
  <c r="H11" i="135"/>
  <c r="N10" i="135"/>
  <c r="H10" i="135"/>
  <c r="A10" i="135"/>
  <c r="H9" i="135"/>
  <c r="A8" i="135"/>
  <c r="A9" i="135" s="1"/>
  <c r="H7" i="135"/>
  <c r="D22" i="135" s="1"/>
  <c r="I18" i="134"/>
  <c r="F18" i="134"/>
  <c r="E18" i="134"/>
  <c r="D18" i="134"/>
  <c r="H12" i="134"/>
  <c r="H11" i="134"/>
  <c r="N10" i="134"/>
  <c r="H10" i="134"/>
  <c r="A10" i="134"/>
  <c r="H9" i="134"/>
  <c r="A8" i="134"/>
  <c r="A9" i="134" s="1"/>
  <c r="H7" i="134"/>
  <c r="D22" i="134" s="1"/>
  <c r="I18" i="133"/>
  <c r="F18" i="133"/>
  <c r="E18" i="133"/>
  <c r="D18" i="133"/>
  <c r="H12" i="133"/>
  <c r="H11" i="133"/>
  <c r="N10" i="133"/>
  <c r="H10" i="133"/>
  <c r="A10" i="133"/>
  <c r="H9" i="133"/>
  <c r="A8" i="133"/>
  <c r="A9" i="133" s="1"/>
  <c r="H7" i="133"/>
  <c r="D22" i="133" s="1"/>
  <c r="I18" i="132"/>
  <c r="F18" i="132"/>
  <c r="E18" i="132"/>
  <c r="D18" i="132"/>
  <c r="H12" i="132"/>
  <c r="H11" i="132"/>
  <c r="N10" i="132"/>
  <c r="H10" i="132"/>
  <c r="A10" i="132"/>
  <c r="H9" i="132"/>
  <c r="A8" i="132"/>
  <c r="A9" i="132" s="1"/>
  <c r="H7" i="132"/>
  <c r="D22" i="132" s="1"/>
  <c r="I18" i="131"/>
  <c r="F18" i="131"/>
  <c r="E18" i="131"/>
  <c r="D18" i="131"/>
  <c r="H12" i="131"/>
  <c r="H11" i="131"/>
  <c r="N10" i="131"/>
  <c r="H10" i="131"/>
  <c r="A10" i="131"/>
  <c r="H9" i="131"/>
  <c r="A8" i="131"/>
  <c r="A9" i="131" s="1"/>
  <c r="H7" i="131"/>
  <c r="D22" i="131" s="1"/>
  <c r="I18" i="130"/>
  <c r="F18" i="130"/>
  <c r="E18" i="130"/>
  <c r="D18" i="130"/>
  <c r="H12" i="130"/>
  <c r="H11" i="130"/>
  <c r="N10" i="130"/>
  <c r="H10" i="130"/>
  <c r="A10" i="130"/>
  <c r="H9" i="130"/>
  <c r="A8" i="130"/>
  <c r="A9" i="130" s="1"/>
  <c r="H7" i="130"/>
  <c r="D22" i="130" s="1"/>
  <c r="I18" i="129"/>
  <c r="F18" i="129"/>
  <c r="E18" i="129"/>
  <c r="D18" i="129"/>
  <c r="H12" i="129"/>
  <c r="H11" i="129"/>
  <c r="N10" i="129"/>
  <c r="H10" i="129"/>
  <c r="A10" i="129"/>
  <c r="H9" i="129"/>
  <c r="A8" i="129"/>
  <c r="A9" i="129" s="1"/>
  <c r="H7" i="129"/>
  <c r="D22" i="129" s="1"/>
  <c r="I18" i="128"/>
  <c r="F18" i="128"/>
  <c r="E18" i="128"/>
  <c r="D18" i="128"/>
  <c r="H12" i="128"/>
  <c r="H11" i="128"/>
  <c r="N10" i="128"/>
  <c r="H10" i="128"/>
  <c r="A10" i="128"/>
  <c r="H9" i="128"/>
  <c r="A8" i="128"/>
  <c r="A9" i="128" s="1"/>
  <c r="H7" i="128"/>
  <c r="D22" i="128" s="1"/>
  <c r="I18" i="127"/>
  <c r="F18" i="127"/>
  <c r="E18" i="127"/>
  <c r="D18" i="127"/>
  <c r="H12" i="127"/>
  <c r="H11" i="127"/>
  <c r="N10" i="127"/>
  <c r="H10" i="127"/>
  <c r="A10" i="127"/>
  <c r="H9" i="127"/>
  <c r="A8" i="127"/>
  <c r="A9" i="127" s="1"/>
  <c r="H7" i="127"/>
  <c r="D22" i="127" s="1"/>
  <c r="I18" i="126"/>
  <c r="F18" i="126"/>
  <c r="E18" i="126"/>
  <c r="D18" i="126"/>
  <c r="H12" i="126"/>
  <c r="H11" i="126"/>
  <c r="N10" i="126"/>
  <c r="H10" i="126"/>
  <c r="A10" i="126"/>
  <c r="H9" i="126"/>
  <c r="A8" i="126"/>
  <c r="A9" i="126" s="1"/>
  <c r="H7" i="126"/>
  <c r="D22" i="126" s="1"/>
  <c r="I18" i="124"/>
  <c r="F18" i="124"/>
  <c r="E18" i="124"/>
  <c r="D18" i="124"/>
  <c r="H12" i="124"/>
  <c r="H11" i="124"/>
  <c r="N10" i="124"/>
  <c r="H10" i="124"/>
  <c r="A10" i="124"/>
  <c r="H9" i="124"/>
  <c r="A8" i="124"/>
  <c r="A9" i="124" s="1"/>
  <c r="H7" i="124"/>
  <c r="D22" i="124" s="1"/>
  <c r="A6" i="136" l="1"/>
  <c r="A6" i="135"/>
  <c r="A6" i="134"/>
  <c r="A6" i="133"/>
  <c r="A6" i="132"/>
  <c r="A6" i="131"/>
  <c r="A6" i="130"/>
  <c r="A6" i="128"/>
  <c r="A6" i="129"/>
  <c r="A6" i="126"/>
  <c r="A6" i="124"/>
  <c r="A6" i="127"/>
  <c r="I18" i="123" l="1"/>
  <c r="F18" i="123"/>
  <c r="E18" i="123"/>
  <c r="D18" i="123"/>
  <c r="H12" i="123"/>
  <c r="H11" i="123"/>
  <c r="N10" i="123"/>
  <c r="H10" i="123"/>
  <c r="A10" i="123"/>
  <c r="H9" i="123"/>
  <c r="A8" i="123"/>
  <c r="A9" i="123" s="1"/>
  <c r="H7" i="123"/>
  <c r="D22" i="123" s="1"/>
  <c r="I18" i="122"/>
  <c r="F18" i="122"/>
  <c r="E18" i="122"/>
  <c r="D18" i="122"/>
  <c r="H12" i="122"/>
  <c r="H11" i="122"/>
  <c r="N10" i="122"/>
  <c r="H10" i="122"/>
  <c r="A10" i="122"/>
  <c r="H9" i="122"/>
  <c r="A8" i="122"/>
  <c r="A9" i="122" s="1"/>
  <c r="H7" i="122"/>
  <c r="D22" i="122" s="1"/>
  <c r="I18" i="121"/>
  <c r="F18" i="121"/>
  <c r="E18" i="121"/>
  <c r="D18" i="121"/>
  <c r="H12" i="121"/>
  <c r="H11" i="121"/>
  <c r="N10" i="121"/>
  <c r="H10" i="121"/>
  <c r="A10" i="121"/>
  <c r="H9" i="121"/>
  <c r="A8" i="121"/>
  <c r="A9" i="121" s="1"/>
  <c r="H7" i="121"/>
  <c r="D22" i="121" s="1"/>
  <c r="A10" i="94"/>
  <c r="A10" i="120"/>
  <c r="A6" i="123" l="1"/>
  <c r="A6" i="122"/>
  <c r="A6" i="121"/>
  <c r="I18" i="120"/>
  <c r="F18" i="120"/>
  <c r="E18" i="120"/>
  <c r="D18" i="120"/>
  <c r="H12" i="120"/>
  <c r="H11" i="120"/>
  <c r="N10" i="120"/>
  <c r="H10" i="120"/>
  <c r="H9" i="120"/>
  <c r="A8" i="120"/>
  <c r="A9" i="120" s="1"/>
  <c r="H7" i="120"/>
  <c r="D22" i="120" s="1"/>
  <c r="I18" i="118"/>
  <c r="F18" i="118"/>
  <c r="E18" i="118"/>
  <c r="D18" i="118"/>
  <c r="H12" i="118"/>
  <c r="H11" i="118"/>
  <c r="N10" i="118"/>
  <c r="H10" i="118"/>
  <c r="A10" i="118"/>
  <c r="H9" i="118"/>
  <c r="A8" i="118"/>
  <c r="A9" i="118" s="1"/>
  <c r="H7" i="118"/>
  <c r="D22" i="118" s="1"/>
  <c r="I18" i="117"/>
  <c r="F18" i="117"/>
  <c r="E18" i="117"/>
  <c r="D18" i="117"/>
  <c r="H12" i="117"/>
  <c r="H11" i="117"/>
  <c r="N10" i="117"/>
  <c r="H10" i="117"/>
  <c r="A10" i="117"/>
  <c r="H9" i="117"/>
  <c r="A8" i="117"/>
  <c r="A9" i="117" s="1"/>
  <c r="H7" i="117"/>
  <c r="D22" i="117" s="1"/>
  <c r="A6" i="120" l="1"/>
  <c r="A6" i="118"/>
  <c r="A6" i="117"/>
  <c r="I18" i="116"/>
  <c r="F18" i="116"/>
  <c r="E18" i="116"/>
  <c r="D18" i="116"/>
  <c r="H12" i="116"/>
  <c r="H11" i="116"/>
  <c r="N10" i="116"/>
  <c r="H10" i="116"/>
  <c r="A10" i="116"/>
  <c r="H9" i="116"/>
  <c r="A8" i="116"/>
  <c r="A9" i="116" s="1"/>
  <c r="H7" i="116"/>
  <c r="D22" i="116" s="1"/>
  <c r="A6" i="116" l="1"/>
  <c r="A10" i="10" l="1"/>
  <c r="A10" i="113"/>
  <c r="A10" i="1"/>
  <c r="A10" i="115"/>
  <c r="I18" i="115"/>
  <c r="F18" i="115"/>
  <c r="E18" i="115"/>
  <c r="D18" i="115"/>
  <c r="H12" i="115"/>
  <c r="H11" i="115"/>
  <c r="N10" i="115"/>
  <c r="H10" i="115"/>
  <c r="H9" i="115"/>
  <c r="A8" i="115"/>
  <c r="A9" i="115" s="1"/>
  <c r="H7" i="115"/>
  <c r="D22" i="115" s="1"/>
  <c r="A6" i="115" l="1"/>
  <c r="H8" i="1"/>
  <c r="H9" i="1"/>
  <c r="N10" i="10"/>
  <c r="A8" i="10"/>
  <c r="A9" i="10" s="1"/>
  <c r="I18" i="10"/>
  <c r="D18" i="10"/>
  <c r="E18" i="10"/>
  <c r="F18" i="10"/>
  <c r="H7" i="10"/>
  <c r="D22" i="10" s="1"/>
  <c r="BS1" i="114"/>
  <c r="BR1" i="114"/>
  <c r="BQ1" i="114"/>
  <c r="BQ2" i="114"/>
  <c r="BQ3" i="114"/>
  <c r="BQ4" i="114"/>
  <c r="BQ5" i="114"/>
  <c r="BQ6" i="114"/>
  <c r="BQ7" i="114"/>
  <c r="BQ8" i="114"/>
  <c r="BQ9" i="114"/>
  <c r="BQ10" i="114"/>
  <c r="BQ11" i="114"/>
  <c r="BQ13" i="114"/>
  <c r="BQ14" i="114"/>
  <c r="BQ15" i="114"/>
  <c r="BQ16" i="114"/>
  <c r="BQ17" i="114"/>
  <c r="BQ18" i="114"/>
  <c r="BQ19" i="114"/>
  <c r="BQ20" i="114"/>
  <c r="BQ21" i="114"/>
  <c r="BQ22" i="114"/>
  <c r="BQ23" i="114"/>
  <c r="BQ24" i="114"/>
  <c r="BQ25" i="114"/>
  <c r="BQ26" i="114"/>
  <c r="BP1" i="114"/>
  <c r="BP2" i="114"/>
  <c r="BP3" i="114"/>
  <c r="BP4" i="114"/>
  <c r="BP5" i="114"/>
  <c r="BP6" i="114"/>
  <c r="BP7" i="114"/>
  <c r="BP9" i="114"/>
  <c r="BP10" i="114"/>
  <c r="BP11" i="114"/>
  <c r="BP12" i="114"/>
  <c r="BP13" i="114"/>
  <c r="BP14" i="114"/>
  <c r="BO1" i="114"/>
  <c r="BO2" i="114"/>
  <c r="BO3" i="114"/>
  <c r="BN1" i="114"/>
  <c r="BN2" i="114"/>
  <c r="BN3" i="114"/>
  <c r="BN4" i="114"/>
  <c r="BN5" i="114"/>
  <c r="BN6" i="114"/>
  <c r="BN7" i="114"/>
  <c r="BN8" i="114"/>
  <c r="BN9" i="114"/>
  <c r="BN11" i="114"/>
  <c r="BN12" i="114"/>
  <c r="BN13" i="114"/>
  <c r="BN14" i="114"/>
  <c r="BN15" i="114"/>
  <c r="BN16" i="114"/>
  <c r="BN17" i="114"/>
  <c r="BN18" i="114"/>
  <c r="BN19" i="114"/>
  <c r="BN20" i="114"/>
  <c r="BM1" i="114"/>
  <c r="BM2" i="114"/>
  <c r="BM3" i="114"/>
  <c r="BM4" i="114"/>
  <c r="BM5" i="114"/>
  <c r="BM7" i="114"/>
  <c r="BM8" i="114"/>
  <c r="BM10" i="114"/>
  <c r="BM11" i="114"/>
  <c r="BM12" i="114"/>
  <c r="BM13" i="114"/>
  <c r="BM14" i="114"/>
  <c r="BM15" i="114"/>
  <c r="BM16" i="114"/>
  <c r="BM17" i="114"/>
  <c r="BL1" i="114"/>
  <c r="BL2" i="114"/>
  <c r="BL3" i="114"/>
  <c r="BL4" i="114"/>
  <c r="BL5" i="114"/>
  <c r="BL7" i="114"/>
  <c r="BL10" i="114"/>
  <c r="BL11" i="114"/>
  <c r="BL12" i="114"/>
  <c r="BL14" i="114"/>
  <c r="BL15" i="114"/>
  <c r="BL16" i="114"/>
  <c r="BL17" i="114"/>
  <c r="BL18" i="114"/>
  <c r="BL19" i="114"/>
  <c r="BL20" i="114"/>
  <c r="BL21" i="114"/>
  <c r="BL22" i="114"/>
  <c r="BL23" i="114"/>
  <c r="BL24" i="114"/>
  <c r="BL25" i="114"/>
  <c r="BL26" i="114"/>
  <c r="BL27" i="114"/>
  <c r="BL28" i="114"/>
  <c r="BL29" i="114"/>
  <c r="BK1" i="114"/>
  <c r="BK2" i="114"/>
  <c r="BK3" i="114"/>
  <c r="BK4" i="114"/>
  <c r="BK5" i="114"/>
  <c r="BK6" i="114"/>
  <c r="BK7" i="114"/>
  <c r="BK8" i="114"/>
  <c r="BK9" i="114"/>
  <c r="BK11" i="114"/>
  <c r="BK12" i="114"/>
  <c r="BK13" i="114"/>
  <c r="BK14" i="114"/>
  <c r="BK15" i="114"/>
  <c r="BK16" i="114"/>
  <c r="BK17" i="114"/>
  <c r="BK18" i="114"/>
  <c r="BK19" i="114"/>
  <c r="BK20" i="114"/>
  <c r="BJ1" i="114"/>
  <c r="BJ2" i="114"/>
  <c r="BJ3" i="114"/>
  <c r="BJ4" i="114"/>
  <c r="BJ5" i="114"/>
  <c r="BJ6" i="114"/>
  <c r="BJ7" i="114"/>
  <c r="BJ8" i="114"/>
  <c r="BJ10" i="114"/>
  <c r="BJ11" i="114"/>
  <c r="BJ12" i="114"/>
  <c r="BJ13" i="114"/>
  <c r="BJ14" i="114"/>
  <c r="BJ15" i="114"/>
  <c r="BJ16" i="114"/>
  <c r="BJ17" i="114"/>
  <c r="BI1" i="114"/>
  <c r="BI2" i="114"/>
  <c r="BI3" i="114"/>
  <c r="BI4" i="114"/>
  <c r="BI5" i="114"/>
  <c r="BI7" i="114"/>
  <c r="BI8" i="114"/>
  <c r="BI9" i="114"/>
  <c r="BI11" i="114"/>
  <c r="BI12" i="114"/>
  <c r="BI13" i="114"/>
  <c r="BI14" i="114"/>
  <c r="BI15" i="114"/>
  <c r="BI16" i="114"/>
  <c r="BI17" i="114"/>
  <c r="BI18" i="114"/>
  <c r="BI19" i="114"/>
  <c r="BI20" i="114"/>
  <c r="BH1" i="114"/>
  <c r="BH2" i="114"/>
  <c r="BH3" i="114"/>
  <c r="BH4" i="114"/>
  <c r="BH5" i="114"/>
  <c r="BH6" i="114"/>
  <c r="BH7" i="114"/>
  <c r="BH8" i="114"/>
  <c r="BH9" i="114"/>
  <c r="BH10" i="114"/>
  <c r="BH12" i="114"/>
  <c r="BH13" i="114"/>
  <c r="BH14" i="114"/>
  <c r="BH15" i="114"/>
  <c r="BH16" i="114"/>
  <c r="BH17" i="114"/>
  <c r="BH18" i="114"/>
  <c r="BH19" i="114"/>
  <c r="BH20" i="114"/>
  <c r="BH21" i="114"/>
  <c r="BH22" i="114"/>
  <c r="BH23" i="114"/>
  <c r="BH24" i="114"/>
  <c r="BG1" i="114"/>
  <c r="BG2" i="114"/>
  <c r="BG3" i="114"/>
  <c r="BG4" i="114"/>
  <c r="BG5" i="114"/>
  <c r="BG6" i="114"/>
  <c r="BG9" i="114"/>
  <c r="BG10" i="114"/>
  <c r="BG12" i="114"/>
  <c r="BG13" i="114"/>
  <c r="BG14" i="114"/>
  <c r="BG15" i="114"/>
  <c r="BG16" i="114"/>
  <c r="BG17" i="114"/>
  <c r="BG18" i="114"/>
  <c r="BG19" i="114"/>
  <c r="BG20" i="114"/>
  <c r="BG21" i="114"/>
  <c r="BG22" i="114"/>
  <c r="BG23" i="114"/>
  <c r="BF1" i="114"/>
  <c r="BF2" i="114"/>
  <c r="BF3" i="114"/>
  <c r="BF4" i="114"/>
  <c r="BF5" i="114"/>
  <c r="BF6" i="114"/>
  <c r="BF9" i="114"/>
  <c r="BF11" i="114"/>
  <c r="BF15" i="114"/>
  <c r="BF17" i="114"/>
  <c r="BF18" i="114"/>
  <c r="BF22" i="114"/>
  <c r="BF24" i="114"/>
  <c r="BF28" i="114"/>
  <c r="BF31" i="114"/>
  <c r="BF35" i="114"/>
  <c r="BF37" i="114"/>
  <c r="BF40" i="114"/>
  <c r="BF42" i="114"/>
  <c r="BF44" i="114"/>
  <c r="BF48" i="114"/>
  <c r="BF50" i="114"/>
  <c r="BF55" i="114"/>
  <c r="BF57" i="114"/>
  <c r="BF61" i="114"/>
  <c r="BF64" i="114"/>
  <c r="BF68" i="114"/>
  <c r="BF70" i="114"/>
  <c r="BF77" i="114"/>
  <c r="BF78" i="114"/>
  <c r="BF83" i="114"/>
  <c r="BF85" i="114"/>
  <c r="BF90" i="114"/>
  <c r="BF91" i="114"/>
  <c r="BF97" i="114"/>
  <c r="BF98" i="114"/>
  <c r="BF103" i="114"/>
  <c r="BF104" i="114"/>
  <c r="BF106" i="114"/>
  <c r="BF110" i="114"/>
  <c r="BF111" i="114"/>
  <c r="BF116" i="114"/>
  <c r="BF117" i="114"/>
  <c r="BF118" i="114"/>
  <c r="BF119" i="114"/>
  <c r="BF124" i="114"/>
  <c r="BF125" i="114"/>
  <c r="BF131" i="114"/>
  <c r="BF132" i="114"/>
  <c r="BF137" i="114"/>
  <c r="BF138" i="114"/>
  <c r="BF142" i="114"/>
  <c r="BF144" i="114"/>
  <c r="BF145" i="114"/>
  <c r="BF148" i="114"/>
  <c r="BF150" i="114"/>
  <c r="BF151" i="114"/>
  <c r="BF152" i="114"/>
  <c r="BF155" i="114"/>
  <c r="BF157" i="114"/>
  <c r="BF158" i="114"/>
  <c r="BF161" i="114"/>
  <c r="BF164" i="114"/>
  <c r="BF165" i="114"/>
  <c r="BF168" i="114"/>
  <c r="BF170" i="114"/>
  <c r="BF171" i="114"/>
  <c r="BF173" i="114"/>
  <c r="BF175" i="114"/>
  <c r="BF177" i="114"/>
  <c r="BF178" i="114"/>
  <c r="BF181" i="114"/>
  <c r="BF183" i="114"/>
  <c r="BF184" i="114"/>
  <c r="BF185" i="114"/>
  <c r="BF188" i="114"/>
  <c r="BF190" i="114"/>
  <c r="BF191" i="114"/>
  <c r="BF194" i="114"/>
  <c r="BF197" i="114"/>
  <c r="BF198" i="114"/>
  <c r="BF201" i="114"/>
  <c r="BF203" i="114"/>
  <c r="BF204" i="114"/>
  <c r="BF208" i="114"/>
  <c r="BF210" i="114"/>
  <c r="BF211" i="114"/>
  <c r="BF214" i="114"/>
  <c r="BF216" i="114"/>
  <c r="BF217" i="114"/>
  <c r="BF218" i="114"/>
  <c r="BF221" i="114"/>
  <c r="BF223" i="114"/>
  <c r="BF224" i="114"/>
  <c r="BF227" i="114"/>
  <c r="BF231" i="114"/>
  <c r="BF232" i="114"/>
  <c r="BF235" i="114"/>
  <c r="BF237" i="114"/>
  <c r="BF238" i="114"/>
  <c r="BF240" i="114"/>
  <c r="BF242" i="114"/>
  <c r="BF244" i="114"/>
  <c r="BF245" i="114"/>
  <c r="BF248" i="114"/>
  <c r="BF250" i="114"/>
  <c r="BF251" i="114"/>
  <c r="BF252" i="114"/>
  <c r="BF255" i="114"/>
  <c r="BF257" i="114"/>
  <c r="BF258" i="114"/>
  <c r="BF261" i="114"/>
  <c r="BF264" i="114"/>
  <c r="BF265" i="114"/>
  <c r="BF268" i="114"/>
  <c r="BF270" i="114"/>
  <c r="BF271" i="114"/>
  <c r="BF275" i="114"/>
  <c r="BF277" i="114"/>
  <c r="BF278" i="114"/>
  <c r="BF281" i="114"/>
  <c r="BF283" i="114"/>
  <c r="BF284" i="114"/>
  <c r="BF285" i="114"/>
  <c r="BF288" i="114"/>
  <c r="BF290" i="114"/>
  <c r="BF291" i="114"/>
  <c r="BF294" i="114"/>
  <c r="BF297" i="114"/>
  <c r="BF298" i="114"/>
  <c r="BF301" i="114"/>
  <c r="BF303" i="114"/>
  <c r="BF304" i="114"/>
  <c r="BF306" i="114"/>
  <c r="BF308" i="114"/>
  <c r="BF310" i="114"/>
  <c r="BF311" i="114"/>
  <c r="BF314" i="114"/>
  <c r="BF316" i="114"/>
  <c r="BF317" i="114"/>
  <c r="BF318" i="114"/>
  <c r="BF321" i="114"/>
  <c r="BF323" i="114"/>
  <c r="BF324" i="114"/>
  <c r="BF327" i="114"/>
  <c r="BF330" i="114"/>
  <c r="BF331" i="114"/>
  <c r="BF334" i="114"/>
  <c r="BF336" i="114"/>
  <c r="BF337" i="114"/>
  <c r="BF342" i="114"/>
  <c r="BF344" i="114"/>
  <c r="BF345" i="114"/>
  <c r="BF348" i="114"/>
  <c r="BF350" i="114"/>
  <c r="BF351" i="114"/>
  <c r="BF352" i="114"/>
  <c r="BF355" i="114"/>
  <c r="BF357" i="114"/>
  <c r="BF358" i="114"/>
  <c r="BF361" i="114"/>
  <c r="BF364" i="114"/>
  <c r="BF365" i="114"/>
  <c r="BF368" i="114"/>
  <c r="BF370" i="114"/>
  <c r="BF371" i="114"/>
  <c r="BF373" i="114"/>
  <c r="BF375" i="114"/>
  <c r="BF377" i="114"/>
  <c r="BF378" i="114"/>
  <c r="BF381" i="114"/>
  <c r="BF383" i="114"/>
  <c r="BF384" i="114"/>
  <c r="BF385" i="114"/>
  <c r="BF388" i="114"/>
  <c r="BF390" i="114"/>
  <c r="BF391" i="114"/>
  <c r="BF394" i="114"/>
  <c r="BF397" i="114"/>
  <c r="BF398" i="114"/>
  <c r="BF401" i="114"/>
  <c r="BF403" i="114"/>
  <c r="BF404" i="114"/>
  <c r="BF408" i="114"/>
  <c r="BF410" i="114"/>
  <c r="BF411" i="114"/>
  <c r="BF414" i="114"/>
  <c r="BF416" i="114"/>
  <c r="BF417" i="114"/>
  <c r="BF418" i="114"/>
  <c r="BF421" i="114"/>
  <c r="BF423" i="114"/>
  <c r="BF424" i="114"/>
  <c r="BF427" i="114"/>
  <c r="BF430" i="114"/>
  <c r="BF431" i="114"/>
  <c r="BF434" i="114"/>
  <c r="BF436" i="114"/>
  <c r="BF437" i="114"/>
  <c r="BF439" i="114"/>
  <c r="BF441" i="114"/>
  <c r="BF443" i="114"/>
  <c r="BF444" i="114"/>
  <c r="BF447" i="114"/>
  <c r="BF449" i="114"/>
  <c r="BF450" i="114"/>
  <c r="BF451" i="114"/>
  <c r="BF452" i="114"/>
  <c r="BF455" i="114"/>
  <c r="BF457" i="114"/>
  <c r="BF458" i="114"/>
  <c r="BF461" i="114"/>
  <c r="BF464" i="114"/>
  <c r="BF465" i="114"/>
  <c r="BF468" i="114"/>
  <c r="BF470" i="114"/>
  <c r="BF471" i="114"/>
  <c r="BF475" i="114"/>
  <c r="BF477" i="114"/>
  <c r="BF478" i="114"/>
  <c r="BF481" i="114"/>
  <c r="BF483" i="114"/>
  <c r="BF484" i="114"/>
  <c r="BF485" i="114"/>
  <c r="BF488" i="114"/>
  <c r="BF490" i="114"/>
  <c r="BF491" i="114"/>
  <c r="BF494" i="114"/>
  <c r="BF497" i="114"/>
  <c r="BF498" i="114"/>
  <c r="BF501" i="114"/>
  <c r="BF503" i="114"/>
  <c r="BF504" i="114"/>
  <c r="BF506" i="114"/>
  <c r="BF508" i="114"/>
  <c r="BF510" i="114"/>
  <c r="BF511" i="114"/>
  <c r="BF514" i="114"/>
  <c r="BF516" i="114"/>
  <c r="BF517" i="114"/>
  <c r="BF518" i="114"/>
  <c r="BF521" i="114"/>
  <c r="BF523" i="114"/>
  <c r="BF524" i="114"/>
  <c r="BF527" i="114"/>
  <c r="BF530" i="114"/>
  <c r="BF531" i="114"/>
  <c r="BF534" i="114"/>
  <c r="BF536" i="114"/>
  <c r="BF537" i="114"/>
  <c r="BF541" i="114"/>
  <c r="BF543" i="114"/>
  <c r="BF544" i="114"/>
  <c r="BF547" i="114"/>
  <c r="BF549" i="114"/>
  <c r="BF550" i="114"/>
  <c r="BF551" i="114"/>
  <c r="BF554" i="114"/>
  <c r="BF556" i="114"/>
  <c r="BF557" i="114"/>
  <c r="BF560" i="114"/>
  <c r="BF564" i="114"/>
  <c r="BF565" i="114"/>
  <c r="BF568" i="114"/>
  <c r="BF570" i="114"/>
  <c r="BF571" i="114"/>
  <c r="BF573" i="114"/>
  <c r="BF575" i="114"/>
  <c r="BF577" i="114"/>
  <c r="BF578" i="114"/>
  <c r="BF581" i="114"/>
  <c r="BF583" i="114"/>
  <c r="BF584" i="114"/>
  <c r="BF585" i="114"/>
  <c r="BF588" i="114"/>
  <c r="BF590" i="114"/>
  <c r="BF591" i="114"/>
  <c r="BF594" i="114"/>
  <c r="BF597" i="114"/>
  <c r="BF598" i="114"/>
  <c r="BF601" i="114"/>
  <c r="BF603" i="114"/>
  <c r="BF604" i="114"/>
  <c r="BF606" i="114"/>
  <c r="BF607" i="114"/>
  <c r="BF609" i="114"/>
  <c r="BF610" i="114"/>
  <c r="BF611" i="114"/>
  <c r="BF612" i="114"/>
  <c r="BF613" i="114"/>
  <c r="BF614" i="114"/>
  <c r="BF615" i="114"/>
  <c r="BF616" i="114"/>
  <c r="BF617" i="114"/>
  <c r="BF618" i="114"/>
  <c r="BF619" i="114"/>
  <c r="BF620" i="114"/>
  <c r="BF621" i="114"/>
  <c r="BF622" i="114"/>
  <c r="BF623" i="114"/>
  <c r="BF624" i="114"/>
  <c r="BF625" i="114"/>
  <c r="BF626" i="114"/>
  <c r="BF627" i="114"/>
  <c r="BF628" i="114"/>
  <c r="BF629" i="114"/>
  <c r="BF630" i="114"/>
  <c r="BF631" i="114"/>
  <c r="BF632" i="114"/>
  <c r="BF633" i="114"/>
  <c r="BF634" i="114"/>
  <c r="BF635" i="114"/>
  <c r="BF636" i="114"/>
  <c r="BF637" i="114"/>
  <c r="BF638" i="114"/>
  <c r="BF639" i="114"/>
  <c r="BF640" i="114"/>
  <c r="BF641" i="114"/>
  <c r="BF642" i="114"/>
  <c r="BF643" i="114"/>
  <c r="BF644" i="114"/>
  <c r="BF645" i="114"/>
  <c r="BF646" i="114"/>
  <c r="BF647" i="114"/>
  <c r="BF648" i="114"/>
  <c r="BF649" i="114"/>
  <c r="BF650" i="114"/>
  <c r="BF651" i="114"/>
  <c r="BF652" i="114"/>
  <c r="BF653" i="114"/>
  <c r="BF654" i="114"/>
  <c r="BF655" i="114"/>
  <c r="BF656" i="114"/>
  <c r="BF657" i="114"/>
  <c r="BF658" i="114"/>
  <c r="BF659" i="114"/>
  <c r="BF660" i="114"/>
  <c r="BF661" i="114"/>
  <c r="BF662" i="114"/>
  <c r="BF663" i="114"/>
  <c r="BF664" i="114"/>
  <c r="BF665" i="114"/>
  <c r="BF666" i="114"/>
  <c r="BF667" i="114"/>
  <c r="BF668" i="114"/>
  <c r="BF669" i="114"/>
  <c r="BF670" i="114"/>
  <c r="BF671" i="114"/>
  <c r="BF672" i="114"/>
  <c r="BF673" i="114"/>
  <c r="BF674" i="114"/>
  <c r="BF675" i="114"/>
  <c r="BF676" i="114"/>
  <c r="BF677" i="114"/>
  <c r="BF678" i="114"/>
  <c r="BF679" i="114"/>
  <c r="BF680" i="114"/>
  <c r="BF681" i="114"/>
  <c r="BF682" i="114"/>
  <c r="BF683" i="114"/>
  <c r="BF684" i="114"/>
  <c r="BF685" i="114"/>
  <c r="BF686" i="114"/>
  <c r="BF687" i="114"/>
  <c r="BF688" i="114"/>
  <c r="BF689" i="114"/>
  <c r="BF690" i="114"/>
  <c r="BF691" i="114"/>
  <c r="BF692" i="114"/>
  <c r="BF693" i="114"/>
  <c r="BF694" i="114"/>
  <c r="BF695" i="114"/>
  <c r="BF696" i="114"/>
  <c r="BF697" i="114"/>
  <c r="BF698" i="114"/>
  <c r="BF699" i="114"/>
  <c r="BF700" i="114"/>
  <c r="BF701" i="114"/>
  <c r="BF702" i="114"/>
  <c r="BF703" i="114"/>
  <c r="BF704" i="114"/>
  <c r="BF705" i="114"/>
  <c r="BF706" i="114"/>
  <c r="BF707" i="114"/>
  <c r="BF708" i="114"/>
  <c r="BF709" i="114"/>
  <c r="BF710" i="114"/>
  <c r="BF711" i="114"/>
  <c r="BF712" i="114"/>
  <c r="BF713" i="114"/>
  <c r="BF714" i="114"/>
  <c r="BF715" i="114"/>
  <c r="BF716" i="114"/>
  <c r="BF717" i="114"/>
  <c r="BF718" i="114"/>
  <c r="BF719" i="114"/>
  <c r="BF720" i="114"/>
  <c r="BF721" i="114"/>
  <c r="BF722" i="114"/>
  <c r="BF723" i="114"/>
  <c r="BF724" i="114"/>
  <c r="BF725" i="114"/>
  <c r="BF726" i="114"/>
  <c r="BF727" i="114"/>
  <c r="BF728" i="114"/>
  <c r="BF729" i="114"/>
  <c r="BF730" i="114"/>
  <c r="BF731" i="114"/>
  <c r="BF732" i="114"/>
  <c r="BF733" i="114"/>
  <c r="BF734" i="114"/>
  <c r="BF735" i="114"/>
  <c r="BF736" i="114"/>
  <c r="BF737" i="114"/>
  <c r="BF738" i="114"/>
  <c r="BF739" i="114"/>
  <c r="BF740" i="114"/>
  <c r="BF741" i="114"/>
  <c r="BF742" i="114"/>
  <c r="BF743" i="114"/>
  <c r="BF744" i="114"/>
  <c r="BF745" i="114"/>
  <c r="BF746" i="114"/>
  <c r="BF747" i="114"/>
  <c r="BF748" i="114"/>
  <c r="BF749" i="114"/>
  <c r="BF750" i="114"/>
  <c r="BF751" i="114"/>
  <c r="BF752" i="114"/>
  <c r="BF753" i="114"/>
  <c r="BF754" i="114"/>
  <c r="BF755" i="114"/>
  <c r="BF756" i="114"/>
  <c r="BF757" i="114"/>
  <c r="BF758" i="114"/>
  <c r="BF759" i="114"/>
  <c r="BF760" i="114"/>
  <c r="BF761" i="114"/>
  <c r="BF762" i="114"/>
  <c r="BF763" i="114"/>
  <c r="BF764" i="114"/>
  <c r="BF765" i="114"/>
  <c r="BF766" i="114"/>
  <c r="BF767" i="114"/>
  <c r="BF768" i="114"/>
  <c r="BF769" i="114"/>
  <c r="BF770" i="114"/>
  <c r="BF771" i="114"/>
  <c r="BF772" i="114"/>
  <c r="BF773" i="114"/>
  <c r="BF774" i="114"/>
  <c r="BF775" i="114"/>
  <c r="BF776" i="114"/>
  <c r="BF777" i="114"/>
  <c r="BF778" i="114"/>
  <c r="BF779" i="114"/>
  <c r="BF780" i="114"/>
  <c r="BF781" i="114"/>
  <c r="BF782" i="114"/>
  <c r="BF783" i="114"/>
  <c r="BF784" i="114"/>
  <c r="BF785" i="114"/>
  <c r="BF786" i="114"/>
  <c r="BF787" i="114"/>
  <c r="BF788" i="114"/>
  <c r="BF789" i="114"/>
  <c r="BF790" i="114"/>
  <c r="BF791" i="114"/>
  <c r="BF792" i="114"/>
  <c r="BF793" i="114"/>
  <c r="BF794" i="114"/>
  <c r="BF795" i="114"/>
  <c r="BF796" i="114"/>
  <c r="BF797" i="114"/>
  <c r="BF798" i="114"/>
  <c r="BF799" i="114"/>
  <c r="BF800" i="114"/>
  <c r="BF801" i="114"/>
  <c r="BF802" i="114"/>
  <c r="BF803" i="114"/>
  <c r="BF804" i="114"/>
  <c r="BF805" i="114"/>
  <c r="BF806" i="114"/>
  <c r="BF807" i="114"/>
  <c r="BF808" i="114"/>
  <c r="BF809" i="114"/>
  <c r="BF810" i="114"/>
  <c r="BF811" i="114"/>
  <c r="BF812" i="114"/>
  <c r="BF813" i="114"/>
  <c r="BF814" i="114"/>
  <c r="BF815" i="114"/>
  <c r="BF816" i="114"/>
  <c r="BF817" i="114"/>
  <c r="BF818" i="114"/>
  <c r="BF819" i="114"/>
  <c r="BF820" i="114"/>
  <c r="BF821" i="114"/>
  <c r="BF822" i="114"/>
  <c r="BF823" i="114"/>
  <c r="BF824" i="114"/>
  <c r="BF825" i="114"/>
  <c r="BF826" i="114"/>
  <c r="BF827" i="114"/>
  <c r="BF828" i="114"/>
  <c r="BF829" i="114"/>
  <c r="BF830" i="114"/>
  <c r="BF831" i="114"/>
  <c r="BF832" i="114"/>
  <c r="BF833" i="114"/>
  <c r="BF834" i="114"/>
  <c r="BF835" i="114"/>
  <c r="BF836" i="114"/>
  <c r="BF837" i="114"/>
  <c r="BF838" i="114"/>
  <c r="BF839" i="114"/>
  <c r="BF840" i="114"/>
  <c r="BF841" i="114"/>
  <c r="BF842" i="114"/>
  <c r="BF843" i="114"/>
  <c r="BF844" i="114"/>
  <c r="BF845" i="114"/>
  <c r="BF846" i="114"/>
  <c r="BF847" i="114"/>
  <c r="BF848" i="114"/>
  <c r="BF849" i="114"/>
  <c r="BF850" i="114"/>
  <c r="BF851" i="114"/>
  <c r="BF852" i="114"/>
  <c r="BF853" i="114"/>
  <c r="BF854" i="114"/>
  <c r="BF855" i="114"/>
  <c r="BF856" i="114"/>
  <c r="BF857" i="114"/>
  <c r="BF858" i="114"/>
  <c r="BF859" i="114"/>
  <c r="BF860" i="114"/>
  <c r="BF861" i="114"/>
  <c r="BF862" i="114"/>
  <c r="BF863" i="114"/>
  <c r="BF864" i="114"/>
  <c r="BF865" i="114"/>
  <c r="BF866" i="114"/>
  <c r="BF867" i="114"/>
  <c r="BF868" i="114"/>
  <c r="BF869" i="114"/>
  <c r="BF870" i="114"/>
  <c r="BF871" i="114"/>
  <c r="BF872" i="114"/>
  <c r="BF873" i="114"/>
  <c r="BF874" i="114"/>
  <c r="BF875" i="114"/>
  <c r="BF876" i="114"/>
  <c r="BF877" i="114"/>
  <c r="BF878" i="114"/>
  <c r="BF879" i="114"/>
  <c r="BF880" i="114"/>
  <c r="BF881" i="114"/>
  <c r="BF882" i="114"/>
  <c r="BF883" i="114"/>
  <c r="BF884" i="114"/>
  <c r="BF885" i="114"/>
  <c r="BF886" i="114"/>
  <c r="BF887" i="114"/>
  <c r="BF888" i="114"/>
  <c r="BF889" i="114"/>
  <c r="BF890" i="114"/>
  <c r="BF891" i="114"/>
  <c r="BF892" i="114"/>
  <c r="BF893" i="114"/>
  <c r="BF894" i="114"/>
  <c r="BF895" i="114"/>
  <c r="BF896" i="114"/>
  <c r="BF897" i="114"/>
  <c r="BF898" i="114"/>
  <c r="BF899" i="114"/>
  <c r="BF900" i="114"/>
  <c r="BF901" i="114"/>
  <c r="BF902" i="114"/>
  <c r="BF903" i="114"/>
  <c r="BF904" i="114"/>
  <c r="BF905" i="114"/>
  <c r="BF906" i="114"/>
  <c r="BF907" i="114"/>
  <c r="BF908" i="114"/>
  <c r="BF909" i="114"/>
  <c r="BF910" i="114"/>
  <c r="BF911" i="114"/>
  <c r="BF912" i="114"/>
  <c r="BF913" i="114"/>
  <c r="BF914" i="114"/>
  <c r="BF915" i="114"/>
  <c r="BF916" i="114"/>
  <c r="BF917" i="114"/>
  <c r="BF918" i="114"/>
  <c r="BF919" i="114"/>
  <c r="BF920" i="114"/>
  <c r="BF921" i="114"/>
  <c r="BF922" i="114"/>
  <c r="BF923" i="114"/>
  <c r="BF924" i="114"/>
  <c r="BF925" i="114"/>
  <c r="BF926" i="114"/>
  <c r="BF927" i="114"/>
  <c r="BF928" i="114"/>
  <c r="BF929" i="114"/>
  <c r="BF930" i="114"/>
  <c r="BF931" i="114"/>
  <c r="BF932" i="114"/>
  <c r="BF933" i="114"/>
  <c r="BF934" i="114"/>
  <c r="BF935" i="114"/>
  <c r="BF936" i="114"/>
  <c r="BF937" i="114"/>
  <c r="BF938" i="114"/>
  <c r="BF939" i="114"/>
  <c r="BF940" i="114"/>
  <c r="BF941" i="114"/>
  <c r="BF942" i="114"/>
  <c r="BF943" i="114"/>
  <c r="BF944" i="114"/>
  <c r="BF945" i="114"/>
  <c r="BF946" i="114"/>
  <c r="BF947" i="114"/>
  <c r="BF948" i="114"/>
  <c r="BF949" i="114"/>
  <c r="BF950" i="114"/>
  <c r="BF951" i="114"/>
  <c r="BF952" i="114"/>
  <c r="BF953" i="114"/>
  <c r="BF954" i="114"/>
  <c r="BF955" i="114"/>
  <c r="BF956" i="114"/>
  <c r="BF957" i="114"/>
  <c r="BF958" i="114"/>
  <c r="BF959" i="114"/>
  <c r="BF960" i="114"/>
  <c r="BF961" i="114"/>
  <c r="BF962" i="114"/>
  <c r="BF963" i="114"/>
  <c r="BF964" i="114"/>
  <c r="BF965" i="114"/>
  <c r="BF966" i="114"/>
  <c r="BF967" i="114"/>
  <c r="BF968" i="114"/>
  <c r="BF969" i="114"/>
  <c r="BF970" i="114"/>
  <c r="BF971" i="114"/>
  <c r="BF972" i="114"/>
  <c r="BF973" i="114"/>
  <c r="BF974" i="114"/>
  <c r="BF975" i="114"/>
  <c r="BF976" i="114"/>
  <c r="BF977" i="114"/>
  <c r="BF978" i="114"/>
  <c r="BF979" i="114"/>
  <c r="BF980" i="114"/>
  <c r="BF981" i="114"/>
  <c r="BF982" i="114"/>
  <c r="BF983" i="114"/>
  <c r="BF984" i="114"/>
  <c r="BF985" i="114"/>
  <c r="BF986" i="114"/>
  <c r="BF987" i="114"/>
  <c r="BF988" i="114"/>
  <c r="BF989" i="114"/>
  <c r="BF990" i="114"/>
  <c r="BF991" i="114"/>
  <c r="BF992" i="114"/>
  <c r="BF993" i="114"/>
  <c r="BF994" i="114"/>
  <c r="BF995" i="114"/>
  <c r="BF996" i="114"/>
  <c r="BF997" i="114"/>
  <c r="BF998" i="114"/>
  <c r="BF999" i="114"/>
  <c r="BF1000" i="114"/>
  <c r="BF1001" i="114"/>
  <c r="BF1002" i="114"/>
  <c r="BF1003" i="114"/>
  <c r="BF1004" i="114"/>
  <c r="BF1005" i="114"/>
  <c r="BF1006" i="114"/>
  <c r="BF1007" i="114"/>
  <c r="BF1008" i="114"/>
  <c r="BF1009" i="114"/>
  <c r="BF1010" i="114"/>
  <c r="BF1011" i="114"/>
  <c r="BF1012" i="114"/>
  <c r="BF1013" i="114"/>
  <c r="BF1014" i="114"/>
  <c r="BF1015" i="114"/>
  <c r="BF1016" i="114"/>
  <c r="BF1017" i="114"/>
  <c r="BF1018" i="114"/>
  <c r="BF1019" i="114"/>
  <c r="BF1020" i="114"/>
  <c r="BF1021" i="114"/>
  <c r="BF1022" i="114"/>
  <c r="BF1023" i="114"/>
  <c r="BF1024" i="114"/>
  <c r="BF1025" i="114"/>
  <c r="BF1026" i="114"/>
  <c r="BF1027" i="114"/>
  <c r="BF1028" i="114"/>
  <c r="BF1029" i="114"/>
  <c r="BF1030" i="114"/>
  <c r="BF1031" i="114"/>
  <c r="BF1032" i="114"/>
  <c r="BF1033" i="114"/>
  <c r="BF1034" i="114"/>
  <c r="BF1035" i="114"/>
  <c r="BF1036" i="114"/>
  <c r="BF1037" i="114"/>
  <c r="BF1038" i="114"/>
  <c r="BF1039" i="114"/>
  <c r="BF1040" i="114"/>
  <c r="BF1041" i="114"/>
  <c r="BF1042" i="114"/>
  <c r="BF1043" i="114"/>
  <c r="BF1044" i="114"/>
  <c r="BF1045" i="114"/>
  <c r="BF1046" i="114"/>
  <c r="BF1047" i="114"/>
  <c r="BF1048" i="114"/>
  <c r="BF1049" i="114"/>
  <c r="BF1050" i="114"/>
  <c r="BF1051" i="114"/>
  <c r="BF1052" i="114"/>
  <c r="BF1053" i="114"/>
  <c r="BF1054" i="114"/>
  <c r="BF1055" i="114"/>
  <c r="BF1056" i="114"/>
  <c r="BF1057" i="114"/>
  <c r="BF1058" i="114"/>
  <c r="BF1059" i="114"/>
  <c r="BF1060" i="114"/>
  <c r="BF1061" i="114"/>
  <c r="BF1062" i="114"/>
  <c r="BF1063" i="114"/>
  <c r="BF1064" i="114"/>
  <c r="BF1065" i="114"/>
  <c r="BF1066" i="114"/>
  <c r="BF1067" i="114"/>
  <c r="BF1068" i="114"/>
  <c r="BF1069" i="114"/>
  <c r="BF1070" i="114"/>
  <c r="BF1071" i="114"/>
  <c r="BF1072" i="114"/>
  <c r="BF1073" i="114"/>
  <c r="BF1074" i="114"/>
  <c r="BF1075" i="114"/>
  <c r="BF1076" i="114"/>
  <c r="BF1077" i="114"/>
  <c r="BF1078" i="114"/>
  <c r="BF1079" i="114"/>
  <c r="BF1080" i="114"/>
  <c r="BF1081" i="114"/>
  <c r="BF1082" i="114"/>
  <c r="BF1083" i="114"/>
  <c r="BF1084" i="114"/>
  <c r="BF1085" i="114"/>
  <c r="BF1086" i="114"/>
  <c r="BF1087" i="114"/>
  <c r="BF1088" i="114"/>
  <c r="BF1089" i="114"/>
  <c r="BF1090" i="114"/>
  <c r="BF1091" i="114"/>
  <c r="BF1092" i="114"/>
  <c r="BF1093" i="114"/>
  <c r="BF1094" i="114"/>
  <c r="BF1095" i="114"/>
  <c r="BF1096" i="114"/>
  <c r="BF1097" i="114"/>
  <c r="BF1098" i="114"/>
  <c r="BF1099" i="114"/>
  <c r="BF1100" i="114"/>
  <c r="BF1101" i="114"/>
  <c r="BF1102" i="114"/>
  <c r="BF1103" i="114"/>
  <c r="BF1104" i="114"/>
  <c r="BF1105" i="114"/>
  <c r="BF1106" i="114"/>
  <c r="BF1107" i="114"/>
  <c r="BF1108" i="114"/>
  <c r="BF1109" i="114"/>
  <c r="BF1110" i="114"/>
  <c r="BF1111" i="114"/>
  <c r="BF1112" i="114"/>
  <c r="BF1113" i="114"/>
  <c r="BF1114" i="114"/>
  <c r="BF1115" i="114"/>
  <c r="BF1116" i="114"/>
  <c r="BF1117" i="114"/>
  <c r="BF1118" i="114"/>
  <c r="BF1119" i="114"/>
  <c r="BF1120" i="114"/>
  <c r="BF1121" i="114"/>
  <c r="BF1122" i="114"/>
  <c r="BF1123" i="114"/>
  <c r="BF1124" i="114"/>
  <c r="BF1125" i="114"/>
  <c r="BF1126" i="114"/>
  <c r="BF1127" i="114"/>
  <c r="BF1128" i="114"/>
  <c r="BF1129" i="114"/>
  <c r="BF1130" i="114"/>
  <c r="BF1131" i="114"/>
  <c r="BF1132" i="114"/>
  <c r="BF1133" i="114"/>
  <c r="BF1134" i="114"/>
  <c r="BF1135" i="114"/>
  <c r="BF1136" i="114"/>
  <c r="BF1137" i="114"/>
  <c r="BF1138" i="114"/>
  <c r="BF1139" i="114"/>
  <c r="BF1140" i="114"/>
  <c r="BF1141" i="114"/>
  <c r="BF1142" i="114"/>
  <c r="BF1143" i="114"/>
  <c r="BF1144" i="114"/>
  <c r="BF1145" i="114"/>
  <c r="BF1146" i="114"/>
  <c r="BF1147" i="114"/>
  <c r="BF1148" i="114"/>
  <c r="BF1149" i="114"/>
  <c r="BF1150" i="114"/>
  <c r="BF1151" i="114"/>
  <c r="BF1152" i="114"/>
  <c r="BF1153" i="114"/>
  <c r="BF1154" i="114"/>
  <c r="BF1155" i="114"/>
  <c r="BF1156" i="114"/>
  <c r="BF1157" i="114"/>
  <c r="BF1158" i="114"/>
  <c r="BF1159" i="114"/>
  <c r="BF1160" i="114"/>
  <c r="BF1161" i="114"/>
  <c r="BF1162" i="114"/>
  <c r="BF1163" i="114"/>
  <c r="BF1164" i="114"/>
  <c r="BF1165" i="114"/>
  <c r="BF1166" i="114"/>
  <c r="BF1167" i="114"/>
  <c r="BF1168" i="114"/>
  <c r="BF1169" i="114"/>
  <c r="BF1170" i="114"/>
  <c r="BF1171" i="114"/>
  <c r="BF1172" i="114"/>
  <c r="BF1173" i="114"/>
  <c r="BF1174" i="114"/>
  <c r="BF1175" i="114"/>
  <c r="BF1176" i="114"/>
  <c r="BF1177" i="114"/>
  <c r="BF1178" i="114"/>
  <c r="BF1179" i="114"/>
  <c r="BF1180" i="114"/>
  <c r="BF1181" i="114"/>
  <c r="BF1182" i="114"/>
  <c r="BF1183" i="114"/>
  <c r="BF1184" i="114"/>
  <c r="BF1185" i="114"/>
  <c r="BF1186" i="114"/>
  <c r="BF1187" i="114"/>
  <c r="BF1188" i="114"/>
  <c r="BF1189" i="114"/>
  <c r="BF1190" i="114"/>
  <c r="BF1191" i="114"/>
  <c r="BF1192" i="114"/>
  <c r="BF1193" i="114"/>
  <c r="BF1194" i="114"/>
  <c r="BF1195" i="114"/>
  <c r="BF1196" i="114"/>
  <c r="BF1197" i="114"/>
  <c r="BF1198" i="114"/>
  <c r="BF1199" i="114"/>
  <c r="BF1200" i="114"/>
  <c r="BF1201" i="114"/>
  <c r="BF1202" i="114"/>
  <c r="BF1203" i="114"/>
  <c r="BF1204" i="114"/>
  <c r="BF1205" i="114"/>
  <c r="BF1206" i="114"/>
  <c r="BF1207" i="114"/>
  <c r="BF1208" i="114"/>
  <c r="BF1209" i="114"/>
  <c r="BF1210" i="114"/>
  <c r="BF1211" i="114"/>
  <c r="BF1212" i="114"/>
  <c r="BF1213" i="114"/>
  <c r="BF1214" i="114"/>
  <c r="BF1215" i="114"/>
  <c r="BF1216" i="114"/>
  <c r="BF1217" i="114"/>
  <c r="BF1218" i="114"/>
  <c r="BF1219" i="114"/>
  <c r="BF1220" i="114"/>
  <c r="BF1221" i="114"/>
  <c r="BF1222" i="114"/>
  <c r="BF1223" i="114"/>
  <c r="BF1224" i="114"/>
  <c r="BF1225" i="114"/>
  <c r="BF1226" i="114"/>
  <c r="BF1227" i="114"/>
  <c r="BF1228" i="114"/>
  <c r="BF1229" i="114"/>
  <c r="BF1230" i="114"/>
  <c r="BF1231" i="114"/>
  <c r="BF1232" i="114"/>
  <c r="BF1233" i="114"/>
  <c r="BF1234" i="114"/>
  <c r="BF1235" i="114"/>
  <c r="BF1236" i="114"/>
  <c r="BF1237" i="114"/>
  <c r="BF1238" i="114"/>
  <c r="BF1239" i="114"/>
  <c r="BF1240" i="114"/>
  <c r="BF1241" i="114"/>
  <c r="BF1242" i="114"/>
  <c r="BF1243" i="114"/>
  <c r="BF1244" i="114"/>
  <c r="BF1245" i="114"/>
  <c r="BF1246" i="114"/>
  <c r="BF1247" i="114"/>
  <c r="BF1248" i="114"/>
  <c r="BF1249" i="114"/>
  <c r="BF1250" i="114"/>
  <c r="BF1251" i="114"/>
  <c r="BF1252" i="114"/>
  <c r="BF1253" i="114"/>
  <c r="BF1254" i="114"/>
  <c r="BF1255" i="114"/>
  <c r="BF1256" i="114"/>
  <c r="BF1257" i="114"/>
  <c r="BF1258" i="114"/>
  <c r="BF1259" i="114"/>
  <c r="BF1260" i="114"/>
  <c r="BF1261" i="114"/>
  <c r="BF1262" i="114"/>
  <c r="BF1263" i="114"/>
  <c r="BF1264" i="114"/>
  <c r="BF1265" i="114"/>
  <c r="BF1266" i="114"/>
  <c r="BF1267" i="114"/>
  <c r="BF1268" i="114"/>
  <c r="BF1269" i="114"/>
  <c r="BF1270" i="114"/>
  <c r="BF1271" i="114"/>
  <c r="BF1272" i="114"/>
  <c r="BF1273" i="114"/>
  <c r="BF1274" i="114"/>
  <c r="BF1275" i="114"/>
  <c r="BF1276" i="114"/>
  <c r="BF1277" i="114"/>
  <c r="BF1278" i="114"/>
  <c r="BF1279" i="114"/>
  <c r="BF1280" i="114"/>
  <c r="BF1281" i="114"/>
  <c r="BF1282" i="114"/>
  <c r="BF1283" i="114"/>
  <c r="BF1284" i="114"/>
  <c r="BF1285" i="114"/>
  <c r="BF1286" i="114"/>
  <c r="BF1287" i="114"/>
  <c r="BF1288" i="114"/>
  <c r="BF1289" i="114"/>
  <c r="BF1290" i="114"/>
  <c r="BF1291" i="114"/>
  <c r="BF1292" i="114"/>
  <c r="BF1293" i="114"/>
  <c r="BF1294" i="114"/>
  <c r="BF1295" i="114"/>
  <c r="BF1296" i="114"/>
  <c r="BF1297" i="114"/>
  <c r="BF1298" i="114"/>
  <c r="BF1299" i="114"/>
  <c r="BF1300" i="114"/>
  <c r="BF1301" i="114"/>
  <c r="BF1302" i="114"/>
  <c r="BF1303" i="114"/>
  <c r="BF1304" i="114"/>
  <c r="BF1305" i="114"/>
  <c r="BF1306" i="114"/>
  <c r="BF1307" i="114"/>
  <c r="BF1308" i="114"/>
  <c r="BF1309" i="114"/>
  <c r="BF1310" i="114"/>
  <c r="BF1311" i="114"/>
  <c r="BF1312" i="114"/>
  <c r="BF1313" i="114"/>
  <c r="BF1314" i="114"/>
  <c r="BF1315" i="114"/>
  <c r="BF1316" i="114"/>
  <c r="BF1317" i="114"/>
  <c r="BF1318" i="114"/>
  <c r="BF1319" i="114"/>
  <c r="BF1320" i="114"/>
  <c r="BF1321" i="114"/>
  <c r="BF1322" i="114"/>
  <c r="BF1323" i="114"/>
  <c r="BF1324" i="114"/>
  <c r="BF1325" i="114"/>
  <c r="BF1326" i="114"/>
  <c r="BF1327" i="114"/>
  <c r="BF1328" i="114"/>
  <c r="BF1329" i="114"/>
  <c r="BF1330" i="114"/>
  <c r="BF1331" i="114"/>
  <c r="BF1332" i="114"/>
  <c r="BF1333" i="114"/>
  <c r="BF1334" i="114"/>
  <c r="BF1335" i="114"/>
  <c r="BF1336" i="114"/>
  <c r="BF1337" i="114"/>
  <c r="BF1338" i="114"/>
  <c r="BF1339" i="114"/>
  <c r="BF1340" i="114"/>
  <c r="BF1341" i="114"/>
  <c r="BF1342" i="114"/>
  <c r="BF1343" i="114"/>
  <c r="BF1344" i="114"/>
  <c r="BF1345" i="114"/>
  <c r="BF1346" i="114"/>
  <c r="BF1347" i="114"/>
  <c r="BF1348" i="114"/>
  <c r="BF1349" i="114"/>
  <c r="BF1350" i="114"/>
  <c r="BF1351" i="114"/>
  <c r="BF1352" i="114"/>
  <c r="BF1353" i="114"/>
  <c r="BF1354" i="114"/>
  <c r="BF1355" i="114"/>
  <c r="BF1356" i="114"/>
  <c r="BF1357" i="114"/>
  <c r="BF1358" i="114"/>
  <c r="BF1359" i="114"/>
  <c r="BF1360" i="114"/>
  <c r="BF1361" i="114"/>
  <c r="BF1362" i="114"/>
  <c r="BF1363" i="114"/>
  <c r="BF1364" i="114"/>
  <c r="BF1365" i="114"/>
  <c r="BF1366" i="114"/>
  <c r="BF1367" i="114"/>
  <c r="BF1368" i="114"/>
  <c r="BF1369" i="114"/>
  <c r="BF1370" i="114"/>
  <c r="BF1371" i="114"/>
  <c r="BF1372" i="114"/>
  <c r="BF1373" i="114"/>
  <c r="BF1374" i="114"/>
  <c r="BF1375" i="114"/>
  <c r="BF1376" i="114"/>
  <c r="BF1377" i="114"/>
  <c r="BF1378" i="114"/>
  <c r="BF1379" i="114"/>
  <c r="BF1380" i="114"/>
  <c r="BF1381" i="114"/>
  <c r="BF1382" i="114"/>
  <c r="BF1383" i="114"/>
  <c r="BF1384" i="114"/>
  <c r="BF1385" i="114"/>
  <c r="BF1386" i="114"/>
  <c r="BF1387" i="114"/>
  <c r="BF1388" i="114"/>
  <c r="BF1389" i="114"/>
  <c r="BF1390" i="114"/>
  <c r="BF1391" i="114"/>
  <c r="BF1392" i="114"/>
  <c r="BF1393" i="114"/>
  <c r="BF1394" i="114"/>
  <c r="BF1395" i="114"/>
  <c r="BF1396" i="114"/>
  <c r="BF1397" i="114"/>
  <c r="BF1398" i="114"/>
  <c r="BF1399" i="114"/>
  <c r="BF1400" i="114"/>
  <c r="BF1401" i="114"/>
  <c r="BF1402" i="114"/>
  <c r="BF1403" i="114"/>
  <c r="BF1404" i="114"/>
  <c r="BF1405" i="114"/>
  <c r="BF1406" i="114"/>
  <c r="BF1407" i="114"/>
  <c r="BF1408" i="114"/>
  <c r="BF1409" i="114"/>
  <c r="BF1410" i="114"/>
  <c r="BF1411" i="114"/>
  <c r="BF1412" i="114"/>
  <c r="BF1413" i="114"/>
  <c r="BF1414" i="114"/>
  <c r="BF1415" i="114"/>
  <c r="BF1416" i="114"/>
  <c r="BF1417" i="114"/>
  <c r="BF1418" i="114"/>
  <c r="BF1419" i="114"/>
  <c r="BF1420" i="114"/>
  <c r="BF1421" i="114"/>
  <c r="BF1422" i="114"/>
  <c r="BF1423" i="114"/>
  <c r="BF1424" i="114"/>
  <c r="BF1425" i="114"/>
  <c r="BF1426" i="114"/>
  <c r="BF1427" i="114"/>
  <c r="BF1428" i="114"/>
  <c r="BF1429" i="114"/>
  <c r="BF1430" i="114"/>
  <c r="BF1431" i="114"/>
  <c r="BF1432" i="114"/>
  <c r="BF1433" i="114"/>
  <c r="BF1434" i="114"/>
  <c r="BF1435" i="114"/>
  <c r="BF1436" i="114"/>
  <c r="BF1437" i="114"/>
  <c r="BF1438" i="114"/>
  <c r="BF1439" i="114"/>
  <c r="BF1440" i="114"/>
  <c r="BF1441" i="114"/>
  <c r="BF1442" i="114"/>
  <c r="BF1443" i="114"/>
  <c r="BF1444" i="114"/>
  <c r="BF1445" i="114"/>
  <c r="BF1446" i="114"/>
  <c r="BF1447" i="114"/>
  <c r="BF1448" i="114"/>
  <c r="BF1449" i="114"/>
  <c r="BF1450" i="114"/>
  <c r="BF1451" i="114"/>
  <c r="BF1452" i="114"/>
  <c r="BF1453" i="114"/>
  <c r="BF1454" i="114"/>
  <c r="BF1455" i="114"/>
  <c r="BF1456" i="114"/>
  <c r="BF1457" i="114"/>
  <c r="BF1458" i="114"/>
  <c r="BF1459" i="114"/>
  <c r="BF1460" i="114"/>
  <c r="BF1461" i="114"/>
  <c r="BF1462" i="114"/>
  <c r="BF1463" i="114"/>
  <c r="BF1464" i="114"/>
  <c r="BF1465" i="114"/>
  <c r="BF1466" i="114"/>
  <c r="BF1467" i="114"/>
  <c r="BF1468" i="114"/>
  <c r="BF1469" i="114"/>
  <c r="BF1470" i="114"/>
  <c r="BF1471" i="114"/>
  <c r="BF1472" i="114"/>
  <c r="BF1473" i="114"/>
  <c r="BF1474" i="114"/>
  <c r="BF1475" i="114"/>
  <c r="BF1476" i="114"/>
  <c r="BF1477" i="114"/>
  <c r="BF1478" i="114"/>
  <c r="BF1479" i="114"/>
  <c r="BF1480" i="114"/>
  <c r="BF1481" i="114"/>
  <c r="BF1482" i="114"/>
  <c r="BF1483" i="114"/>
  <c r="BF1484" i="114"/>
  <c r="BF1485" i="114"/>
  <c r="BF1486" i="114"/>
  <c r="BF1487" i="114"/>
  <c r="BF1488" i="114"/>
  <c r="BF1489" i="114"/>
  <c r="BF1490" i="114"/>
  <c r="BF1491" i="114"/>
  <c r="BF1492" i="114"/>
  <c r="BF1493" i="114"/>
  <c r="BF1494" i="114"/>
  <c r="BF1495" i="114"/>
  <c r="BF1496" i="114"/>
  <c r="BF1497" i="114"/>
  <c r="BF1498" i="114"/>
  <c r="BF1499" i="114"/>
  <c r="BF1500" i="114"/>
  <c r="BF1501" i="114"/>
  <c r="BF1502" i="114"/>
  <c r="BF1503" i="114"/>
  <c r="BF1504" i="114"/>
  <c r="BF1505" i="114"/>
  <c r="BF1506" i="114"/>
  <c r="BF1507" i="114"/>
  <c r="BF1508" i="114"/>
  <c r="BF1509" i="114"/>
  <c r="BF1510" i="114"/>
  <c r="BF1511" i="114"/>
  <c r="BF1512" i="114"/>
  <c r="BF1513" i="114"/>
  <c r="BF1514" i="114"/>
  <c r="BF1515" i="114"/>
  <c r="BF1516" i="114"/>
  <c r="BF1517" i="114"/>
  <c r="BF1518" i="114"/>
  <c r="BF1519" i="114"/>
  <c r="BF1520" i="114"/>
  <c r="BF1521" i="114"/>
  <c r="BF1522" i="114"/>
  <c r="BF1523" i="114"/>
  <c r="BF1524" i="114"/>
  <c r="BF1525" i="114"/>
  <c r="BF1526" i="114"/>
  <c r="BF1527" i="114"/>
  <c r="BF1528" i="114"/>
  <c r="BF1529" i="114"/>
  <c r="BF1530" i="114"/>
  <c r="BF1531" i="114"/>
  <c r="BF1532" i="114"/>
  <c r="BF1533" i="114"/>
  <c r="BF1534" i="114"/>
  <c r="BF1535" i="114"/>
  <c r="BF1536" i="114"/>
  <c r="BF1537" i="114"/>
  <c r="BF1538" i="114"/>
  <c r="BF1539" i="114"/>
  <c r="BF1540" i="114"/>
  <c r="BF1541" i="114"/>
  <c r="BF1542" i="114"/>
  <c r="BF1543" i="114"/>
  <c r="BF1544" i="114"/>
  <c r="BF1545" i="114"/>
  <c r="BF1546" i="114"/>
  <c r="BF1547" i="114"/>
  <c r="BF1548" i="114"/>
  <c r="BF1549" i="114"/>
  <c r="BF1550" i="114"/>
  <c r="BF1551" i="114"/>
  <c r="BF1552" i="114"/>
  <c r="BF1553" i="114"/>
  <c r="BF1554" i="114"/>
  <c r="BF1555" i="114"/>
  <c r="BF1556" i="114"/>
  <c r="BF1557" i="114"/>
  <c r="BF1558" i="114"/>
  <c r="BF1559" i="114"/>
  <c r="BF1560" i="114"/>
  <c r="BF1561" i="114"/>
  <c r="BF1562" i="114"/>
  <c r="BF1563" i="114"/>
  <c r="BF1564" i="114"/>
  <c r="BF1565" i="114"/>
  <c r="BF1566" i="114"/>
  <c r="BF1567" i="114"/>
  <c r="BF1568" i="114"/>
  <c r="BF1569" i="114"/>
  <c r="BF1570" i="114"/>
  <c r="BF1571" i="114"/>
  <c r="BF1572" i="114"/>
  <c r="BF1573" i="114"/>
  <c r="BF1574" i="114"/>
  <c r="BF1575" i="114"/>
  <c r="BF1576" i="114"/>
  <c r="BF1577" i="114"/>
  <c r="BF1578" i="114"/>
  <c r="BF1579" i="114"/>
  <c r="BF1580" i="114"/>
  <c r="BF1581" i="114"/>
  <c r="BF1582" i="114"/>
  <c r="BF1583" i="114"/>
  <c r="BF1584" i="114"/>
  <c r="BF1585" i="114"/>
  <c r="BF1586" i="114"/>
  <c r="BF1587" i="114"/>
  <c r="BF1588" i="114"/>
  <c r="BF1589" i="114"/>
  <c r="BF1590" i="114"/>
  <c r="BF1591" i="114"/>
  <c r="BF1592" i="114"/>
  <c r="BF1593" i="114"/>
  <c r="BF1594" i="114"/>
  <c r="BF1595" i="114"/>
  <c r="BF1596" i="114"/>
  <c r="BF1597" i="114"/>
  <c r="BF1598" i="114"/>
  <c r="BF1599" i="114"/>
  <c r="BF1600" i="114"/>
  <c r="BF1601" i="114"/>
  <c r="BF1602" i="114"/>
  <c r="BF1603" i="114"/>
  <c r="BF1604" i="114"/>
  <c r="BF1605" i="114"/>
  <c r="BF1606" i="114"/>
  <c r="BF1607" i="114"/>
  <c r="BF1608" i="114"/>
  <c r="BF1609" i="114"/>
  <c r="BF1610" i="114"/>
  <c r="BF1611" i="114"/>
  <c r="BF1612" i="114"/>
  <c r="BF1613" i="114"/>
  <c r="BF1614" i="114"/>
  <c r="BF1615" i="114"/>
  <c r="BF1616" i="114"/>
  <c r="BF1617" i="114"/>
  <c r="BF1618" i="114"/>
  <c r="BF1619" i="114"/>
  <c r="BF1620" i="114"/>
  <c r="BF1621" i="114"/>
  <c r="BF1622" i="114"/>
  <c r="BF1623" i="114"/>
  <c r="BF1624" i="114"/>
  <c r="BF1625" i="114"/>
  <c r="BF1626" i="114"/>
  <c r="BF1627" i="114"/>
  <c r="BF1628" i="114"/>
  <c r="BF1629" i="114"/>
  <c r="BF1630" i="114"/>
  <c r="BF1631" i="114"/>
  <c r="BF1632" i="114"/>
  <c r="BF1633" i="114"/>
  <c r="BF1634" i="114"/>
  <c r="BF1635" i="114"/>
  <c r="BF1636" i="114"/>
  <c r="BF1637" i="114"/>
  <c r="BF1638" i="114"/>
  <c r="BF1639" i="114"/>
  <c r="BF1640" i="114"/>
  <c r="BF1641" i="114"/>
  <c r="BF1642" i="114"/>
  <c r="BF1643" i="114"/>
  <c r="BF1644" i="114"/>
  <c r="BF1645" i="114"/>
  <c r="BF1646" i="114"/>
  <c r="BF1647" i="114"/>
  <c r="BF1648" i="114"/>
  <c r="BF1649" i="114"/>
  <c r="BF1650" i="114"/>
  <c r="BF1651" i="114"/>
  <c r="BF1652" i="114"/>
  <c r="BF1653" i="114"/>
  <c r="BF1654" i="114"/>
  <c r="BF1655" i="114"/>
  <c r="BF1656" i="114"/>
  <c r="BF1657" i="114"/>
  <c r="BF1658" i="114"/>
  <c r="BF1659" i="114"/>
  <c r="BF1660" i="114"/>
  <c r="BF1661" i="114"/>
  <c r="BF1662" i="114"/>
  <c r="BF1663" i="114"/>
  <c r="BF1664" i="114"/>
  <c r="BF1665" i="114"/>
  <c r="BF1666" i="114"/>
  <c r="BF1667" i="114"/>
  <c r="BF1668" i="114"/>
  <c r="BF1669" i="114"/>
  <c r="BF1670" i="114"/>
  <c r="BF1671" i="114"/>
  <c r="BF1672" i="114"/>
  <c r="BF1673" i="114"/>
  <c r="BF1674" i="114"/>
  <c r="BF1675" i="114"/>
  <c r="BF1676" i="114"/>
  <c r="BF1677" i="114"/>
  <c r="BF1678" i="114"/>
  <c r="BF1679" i="114"/>
  <c r="BF1680" i="114"/>
  <c r="BF1681" i="114"/>
  <c r="BF1682" i="114"/>
  <c r="BF1683" i="114"/>
  <c r="BF1684" i="114"/>
  <c r="BF1685" i="114"/>
  <c r="BF1686" i="114"/>
  <c r="BF1687" i="114"/>
  <c r="BF1688" i="114"/>
  <c r="BF1689" i="114"/>
  <c r="BF1690" i="114"/>
  <c r="BF1691" i="114"/>
  <c r="BF1692" i="114"/>
  <c r="BF1693" i="114"/>
  <c r="BF1694" i="114"/>
  <c r="BF1695" i="114"/>
  <c r="BF1696" i="114"/>
  <c r="BF1697" i="114"/>
  <c r="BF1698" i="114"/>
  <c r="BF1699" i="114"/>
  <c r="BF1700" i="114"/>
  <c r="BF1701" i="114"/>
  <c r="BF1702" i="114"/>
  <c r="BF1703" i="114"/>
  <c r="BF1704" i="114"/>
  <c r="BF1705" i="114"/>
  <c r="BF1706" i="114"/>
  <c r="BF1707" i="114"/>
  <c r="BF1708" i="114"/>
  <c r="BF1709" i="114"/>
  <c r="BF1710" i="114"/>
  <c r="BF1711" i="114"/>
  <c r="BF1712" i="114"/>
  <c r="BF1713" i="114"/>
  <c r="BF1714" i="114"/>
  <c r="BF1715" i="114"/>
  <c r="BF1716" i="114"/>
  <c r="BF1717" i="114"/>
  <c r="BF1718" i="114"/>
  <c r="BF1719" i="114"/>
  <c r="BF1720" i="114"/>
  <c r="BF1721" i="114"/>
  <c r="BF1722" i="114"/>
  <c r="BF1723" i="114"/>
  <c r="BF1724" i="114"/>
  <c r="BF1725" i="114"/>
  <c r="BF1726" i="114"/>
  <c r="BF1727" i="114"/>
  <c r="BF1728" i="114"/>
  <c r="BF1729" i="114"/>
  <c r="BF1730" i="114"/>
  <c r="BF1731" i="114"/>
  <c r="BF1732" i="114"/>
  <c r="BF1733" i="114"/>
  <c r="BF1734" i="114"/>
  <c r="BF1735" i="114"/>
  <c r="BF1736" i="114"/>
  <c r="BF1737" i="114"/>
  <c r="BF1738" i="114"/>
  <c r="BF1739" i="114"/>
  <c r="BF1740" i="114"/>
  <c r="BF1741" i="114"/>
  <c r="BF1742" i="114"/>
  <c r="BF1743" i="114"/>
  <c r="BF1744" i="114"/>
  <c r="BF1745" i="114"/>
  <c r="BF1746" i="114"/>
  <c r="BF1747" i="114"/>
  <c r="BF1748" i="114"/>
  <c r="BF1749" i="114"/>
  <c r="BF1750" i="114"/>
  <c r="BF1751" i="114"/>
  <c r="BF1752" i="114"/>
  <c r="BF1753" i="114"/>
  <c r="BF1754" i="114"/>
  <c r="BF1755" i="114"/>
  <c r="BF1756" i="114"/>
  <c r="BF1757" i="114"/>
  <c r="BF1758" i="114"/>
  <c r="BF1759" i="114"/>
  <c r="BF1760" i="114"/>
  <c r="BF1761" i="114"/>
  <c r="BF1762" i="114"/>
  <c r="BF1763" i="114"/>
  <c r="BF1764" i="114"/>
  <c r="BF1765" i="114"/>
  <c r="BF1766" i="114"/>
  <c r="BF1767" i="114"/>
  <c r="BF1768" i="114"/>
  <c r="BF1769" i="114"/>
  <c r="BF1770" i="114"/>
  <c r="BF1771" i="114"/>
  <c r="BF1772" i="114"/>
  <c r="BF1773" i="114"/>
  <c r="BF1774" i="114"/>
  <c r="BF1775" i="114"/>
  <c r="BF1776" i="114"/>
  <c r="BF1777" i="114"/>
  <c r="BF1778" i="114"/>
  <c r="BF1779" i="114"/>
  <c r="BF1780" i="114"/>
  <c r="BF1781" i="114"/>
  <c r="BF1782" i="114"/>
  <c r="BF1783" i="114"/>
  <c r="BF1784" i="114"/>
  <c r="BF1785" i="114"/>
  <c r="BF1786" i="114"/>
  <c r="BF1787" i="114"/>
  <c r="BF1788" i="114"/>
  <c r="BF1789" i="114"/>
  <c r="BF1790" i="114"/>
  <c r="BF1791" i="114"/>
  <c r="BF1792" i="114"/>
  <c r="BF1793" i="114"/>
  <c r="BF1794" i="114"/>
  <c r="BF1795" i="114"/>
  <c r="BF1796" i="114"/>
  <c r="BF1797" i="114"/>
  <c r="BF1798" i="114"/>
  <c r="BF1799" i="114"/>
  <c r="BF1800" i="114"/>
  <c r="BF1801" i="114"/>
  <c r="BF1802" i="114"/>
  <c r="BF1803" i="114"/>
  <c r="BF1804" i="114"/>
  <c r="BF1805" i="114"/>
  <c r="BF1806" i="114"/>
  <c r="BF1807" i="114"/>
  <c r="BF1808" i="114"/>
  <c r="BF1809" i="114"/>
  <c r="BF1810" i="114"/>
  <c r="BF1811" i="114"/>
  <c r="BF1812" i="114"/>
  <c r="BF1813" i="114"/>
  <c r="BF1814" i="114"/>
  <c r="BE1" i="114"/>
  <c r="BE2" i="114"/>
  <c r="BE3" i="114"/>
  <c r="BE4" i="114"/>
  <c r="BE5" i="114"/>
  <c r="BE6" i="114"/>
  <c r="BE9" i="114"/>
  <c r="BE10" i="114"/>
  <c r="BE12" i="114"/>
  <c r="BE13" i="114"/>
  <c r="BE14" i="114"/>
  <c r="BE15" i="114"/>
  <c r="BE16" i="114"/>
  <c r="BE17" i="114"/>
  <c r="BE18" i="114"/>
  <c r="BE19" i="114"/>
  <c r="BE20" i="114"/>
  <c r="BE21" i="114"/>
  <c r="BE22" i="114"/>
  <c r="BE23" i="114"/>
  <c r="BD1" i="114"/>
  <c r="BD2" i="114"/>
  <c r="BD3" i="114"/>
  <c r="BD4" i="114"/>
  <c r="BD5" i="114"/>
  <c r="BD6" i="114"/>
  <c r="BD7" i="114"/>
  <c r="BD8" i="114"/>
  <c r="BD9" i="114"/>
  <c r="BD10" i="114"/>
  <c r="BD11" i="114"/>
  <c r="BD12" i="114"/>
  <c r="BD13" i="114"/>
  <c r="BD15" i="114"/>
  <c r="BD16" i="114"/>
  <c r="BD17" i="114"/>
  <c r="BD18" i="114"/>
  <c r="BD19" i="114"/>
  <c r="BD20" i="114"/>
  <c r="BD21" i="114"/>
  <c r="BD22" i="114"/>
  <c r="BD23" i="114"/>
  <c r="BD24" i="114"/>
  <c r="BD25" i="114"/>
  <c r="BD26" i="114"/>
  <c r="BD27" i="114"/>
  <c r="BD28" i="114"/>
  <c r="BD29" i="114"/>
  <c r="BC1" i="114"/>
  <c r="BC2" i="114"/>
  <c r="BC3" i="114"/>
  <c r="BC4" i="114"/>
  <c r="BC5" i="114"/>
  <c r="BC6" i="114"/>
  <c r="BC7" i="114"/>
  <c r="BC8" i="114"/>
  <c r="BC12" i="114"/>
  <c r="BC13" i="114"/>
  <c r="BC14" i="114"/>
  <c r="BC16" i="114"/>
  <c r="BC17" i="114"/>
  <c r="BC18" i="114"/>
  <c r="BC19" i="114"/>
  <c r="BC20" i="114"/>
  <c r="BC21" i="114"/>
  <c r="BC22" i="114"/>
  <c r="BC23" i="114"/>
  <c r="BC24" i="114"/>
  <c r="BC25" i="114"/>
  <c r="BC26" i="114"/>
  <c r="BC27" i="114"/>
  <c r="BC28" i="114"/>
  <c r="BC29" i="114"/>
  <c r="BB1" i="114"/>
  <c r="BB2" i="114"/>
  <c r="BB3" i="114"/>
  <c r="BB4" i="114"/>
  <c r="BB5" i="114"/>
  <c r="BB6" i="114"/>
  <c r="BB7" i="114"/>
  <c r="BB8" i="114"/>
  <c r="BB11" i="114"/>
  <c r="BB12" i="114"/>
  <c r="BB14" i="114"/>
  <c r="BB15" i="114"/>
  <c r="BB16" i="114"/>
  <c r="BB17" i="114"/>
  <c r="BB18" i="114"/>
  <c r="BB19" i="114"/>
  <c r="BB20" i="114"/>
  <c r="BB21" i="114"/>
  <c r="BB22" i="114"/>
  <c r="BB23" i="114"/>
  <c r="BB24" i="114"/>
  <c r="BB25" i="114"/>
  <c r="BA1" i="114"/>
  <c r="BA2" i="114"/>
  <c r="BA3" i="114"/>
  <c r="BA4" i="114"/>
  <c r="BA5" i="114"/>
  <c r="BA6" i="114"/>
  <c r="BA8" i="114"/>
  <c r="BA9" i="114"/>
  <c r="BA10" i="114"/>
  <c r="BA12" i="114"/>
  <c r="BA13" i="114"/>
  <c r="BA14" i="114"/>
  <c r="BA15" i="114"/>
  <c r="BA16" i="114"/>
  <c r="BA17" i="114"/>
  <c r="BA18" i="114"/>
  <c r="BA19" i="114"/>
  <c r="BA20" i="114"/>
  <c r="BA21" i="114"/>
  <c r="AZ1" i="114"/>
  <c r="AZ2" i="114"/>
  <c r="AZ3" i="114"/>
  <c r="AZ4" i="114"/>
  <c r="AZ5" i="114"/>
  <c r="AZ6" i="114"/>
  <c r="AZ9" i="114"/>
  <c r="AZ11" i="114"/>
  <c r="AZ12" i="114"/>
  <c r="AZ14" i="114"/>
  <c r="AZ15" i="114"/>
  <c r="AZ16" i="114"/>
  <c r="AZ17" i="114"/>
  <c r="AZ18" i="114"/>
  <c r="AZ19" i="114"/>
  <c r="AZ20" i="114"/>
  <c r="AZ21" i="114"/>
  <c r="AZ22" i="114"/>
  <c r="AZ23" i="114"/>
  <c r="AZ24" i="114"/>
  <c r="AZ25" i="114"/>
  <c r="AZ26" i="114"/>
  <c r="AZ27" i="114"/>
  <c r="AY1" i="114"/>
  <c r="AY2" i="114"/>
  <c r="AY3" i="114"/>
  <c r="AY4" i="114"/>
  <c r="AY5" i="114"/>
  <c r="AY6" i="114"/>
  <c r="AY10" i="114"/>
  <c r="AY11" i="114"/>
  <c r="AY13" i="114"/>
  <c r="AY14" i="114"/>
  <c r="AY15" i="114"/>
  <c r="AY16" i="114"/>
  <c r="AY17" i="114"/>
  <c r="AY18" i="114"/>
  <c r="AY19" i="114"/>
  <c r="AY20" i="114"/>
  <c r="AY21" i="114"/>
  <c r="AY22" i="114"/>
  <c r="AY23" i="114"/>
  <c r="AY24" i="114"/>
  <c r="AX1" i="114"/>
  <c r="AX2" i="114"/>
  <c r="AX3" i="114"/>
  <c r="AX4" i="114"/>
  <c r="AX5" i="114"/>
  <c r="AX6" i="114"/>
  <c r="AX7" i="114"/>
  <c r="AX10" i="114"/>
  <c r="AX11" i="114"/>
  <c r="AX12" i="114"/>
  <c r="AX14" i="114"/>
  <c r="AX15" i="114"/>
  <c r="AX16" i="114"/>
  <c r="AX17" i="114"/>
  <c r="AX18" i="114"/>
  <c r="AX19" i="114"/>
  <c r="AX20" i="114"/>
  <c r="AX21" i="114"/>
  <c r="AX22" i="114"/>
  <c r="AX23" i="114"/>
  <c r="AX24" i="114"/>
  <c r="AX25" i="114"/>
  <c r="AW1" i="114"/>
  <c r="AW2" i="114"/>
  <c r="AW3" i="114"/>
  <c r="AW4" i="114"/>
  <c r="AW5" i="114"/>
  <c r="AW6" i="114"/>
  <c r="AW7" i="114"/>
  <c r="AW10" i="114"/>
  <c r="AW11" i="114"/>
  <c r="AW12" i="114"/>
  <c r="AW13" i="114"/>
  <c r="AW14" i="114"/>
  <c r="AW15" i="114"/>
  <c r="AW16" i="114"/>
  <c r="AW17" i="114"/>
  <c r="AW18" i="114"/>
  <c r="AW19" i="114"/>
  <c r="AW20" i="114"/>
  <c r="AW21" i="114"/>
  <c r="AW22" i="114"/>
  <c r="AW23" i="114"/>
  <c r="AV1" i="114"/>
  <c r="AV2" i="114"/>
  <c r="AV3" i="114"/>
  <c r="AV4" i="114"/>
  <c r="AV5" i="114"/>
  <c r="AV6" i="114"/>
  <c r="AV7" i="114"/>
  <c r="AV10" i="114"/>
  <c r="AV11" i="114"/>
  <c r="AV13" i="114"/>
  <c r="AV14" i="114"/>
  <c r="AV15" i="114"/>
  <c r="AV16" i="114"/>
  <c r="AV17" i="114"/>
  <c r="AV18" i="114"/>
  <c r="AV19" i="114"/>
  <c r="AV20" i="114"/>
  <c r="AV21" i="114"/>
  <c r="AV22" i="114"/>
  <c r="AV23" i="114"/>
  <c r="AV24" i="114"/>
  <c r="AU1" i="114"/>
  <c r="AU2" i="114"/>
  <c r="AU3" i="114"/>
  <c r="AU4" i="114"/>
  <c r="AU5" i="114"/>
  <c r="AU6" i="114"/>
  <c r="AU7" i="114"/>
  <c r="AU10" i="114"/>
  <c r="AU11" i="114"/>
  <c r="AU12" i="114"/>
  <c r="AU14" i="114"/>
  <c r="AU15" i="114"/>
  <c r="AU16" i="114"/>
  <c r="AU17" i="114"/>
  <c r="AU18" i="114"/>
  <c r="AU19" i="114"/>
  <c r="AU20" i="114"/>
  <c r="AU21" i="114"/>
  <c r="AU22" i="114"/>
  <c r="AU23" i="114"/>
  <c r="AU24" i="114"/>
  <c r="AU25" i="114"/>
  <c r="AU26" i="114"/>
  <c r="AU27" i="114"/>
  <c r="AT1" i="114"/>
  <c r="AT2" i="114"/>
  <c r="AT3" i="114"/>
  <c r="AT4" i="114"/>
  <c r="AT5" i="114"/>
  <c r="AT6" i="114"/>
  <c r="AT7" i="114"/>
  <c r="AT10" i="114"/>
  <c r="AT11" i="114"/>
  <c r="AT12" i="114"/>
  <c r="AT13" i="114"/>
  <c r="AT14" i="114"/>
  <c r="AT15" i="114"/>
  <c r="AT17" i="114"/>
  <c r="AT18" i="114"/>
  <c r="AT19" i="114"/>
  <c r="AT20" i="114"/>
  <c r="AT21" i="114"/>
  <c r="AT22" i="114"/>
  <c r="AT23" i="114"/>
  <c r="AT24" i="114"/>
  <c r="AT25" i="114"/>
  <c r="AT26" i="114"/>
  <c r="AT27" i="114"/>
  <c r="AT28" i="114"/>
  <c r="AT29" i="114"/>
  <c r="AT30" i="114"/>
  <c r="AT31" i="114"/>
  <c r="AT32" i="114"/>
  <c r="AT33" i="114"/>
  <c r="AT34" i="114"/>
  <c r="AT35" i="114"/>
  <c r="AT36" i="114"/>
  <c r="AS1" i="114"/>
  <c r="AS2" i="114"/>
  <c r="AS3" i="114"/>
  <c r="AS4" i="114"/>
  <c r="AS5" i="114"/>
  <c r="AS6" i="114"/>
  <c r="AS10" i="114"/>
  <c r="AS11" i="114"/>
  <c r="AS13" i="114"/>
  <c r="AS14" i="114"/>
  <c r="AS15" i="114"/>
  <c r="AS16" i="114"/>
  <c r="AS17" i="114"/>
  <c r="AS18" i="114"/>
  <c r="AS19" i="114"/>
  <c r="AS20" i="114"/>
  <c r="AS21" i="114"/>
  <c r="AS22" i="114"/>
  <c r="AS23" i="114"/>
  <c r="AS24" i="114"/>
  <c r="AR1" i="114"/>
  <c r="AR2" i="114"/>
  <c r="AR3" i="114"/>
  <c r="AR4" i="114"/>
  <c r="AR5" i="114"/>
  <c r="AR6" i="114"/>
  <c r="AR7" i="114"/>
  <c r="AR8" i="114"/>
  <c r="AR9" i="114"/>
  <c r="AR10" i="114"/>
  <c r="AR12" i="114"/>
  <c r="AR13" i="114"/>
  <c r="AR14" i="114"/>
  <c r="AR15" i="114"/>
  <c r="AR16" i="114"/>
  <c r="AR17" i="114"/>
  <c r="AR18" i="114"/>
  <c r="AR19" i="114"/>
  <c r="AR20" i="114"/>
  <c r="AR21" i="114"/>
  <c r="AQ1" i="114"/>
  <c r="AQ2" i="114"/>
  <c r="AQ3" i="114"/>
  <c r="AQ4" i="114"/>
  <c r="AQ5" i="114"/>
  <c r="AQ6" i="114"/>
  <c r="AQ7" i="114"/>
  <c r="AQ8" i="114"/>
  <c r="AQ9" i="114"/>
  <c r="AQ10" i="114"/>
  <c r="AQ12" i="114"/>
  <c r="AQ13" i="114"/>
  <c r="AQ14" i="114"/>
  <c r="AQ15" i="114"/>
  <c r="AQ16" i="114"/>
  <c r="AQ17" i="114"/>
  <c r="AQ18" i="114"/>
  <c r="AQ19" i="114"/>
  <c r="AQ20" i="114"/>
  <c r="AQ21" i="114"/>
  <c r="AP1" i="114"/>
  <c r="AP2" i="114"/>
  <c r="AP3" i="114"/>
  <c r="AP4" i="114"/>
  <c r="AP5" i="114"/>
  <c r="AP6" i="114"/>
  <c r="AP7" i="114"/>
  <c r="AP8" i="114"/>
  <c r="AP9" i="114"/>
  <c r="AP10" i="114"/>
  <c r="AP12" i="114"/>
  <c r="AP13" i="114"/>
  <c r="AP14" i="114"/>
  <c r="AP15" i="114"/>
  <c r="AP16" i="114"/>
  <c r="AP17" i="114"/>
  <c r="AP18" i="114"/>
  <c r="AP19" i="114"/>
  <c r="AP20" i="114"/>
  <c r="AP21" i="114"/>
  <c r="AO1" i="114"/>
  <c r="AO2" i="114"/>
  <c r="AO3" i="114"/>
  <c r="AO4" i="114"/>
  <c r="AO5" i="114"/>
  <c r="AO6" i="114"/>
  <c r="AO7" i="114"/>
  <c r="AO8" i="114"/>
  <c r="AO9" i="114"/>
  <c r="AO11" i="114"/>
  <c r="AO12" i="114"/>
  <c r="AO13" i="114"/>
  <c r="AO14" i="114"/>
  <c r="AO15" i="114"/>
  <c r="AO16" i="114"/>
  <c r="AO17" i="114"/>
  <c r="AO18" i="114"/>
  <c r="AN1" i="114"/>
  <c r="AN2" i="114"/>
  <c r="AN3" i="114"/>
  <c r="AN4" i="114"/>
  <c r="AN5" i="114"/>
  <c r="AN6" i="114"/>
  <c r="AN7" i="114"/>
  <c r="AN8" i="114"/>
  <c r="AN9" i="114"/>
  <c r="AN10" i="114"/>
  <c r="AN12" i="114"/>
  <c r="AN13" i="114"/>
  <c r="AN14" i="114"/>
  <c r="AN15" i="114"/>
  <c r="AN16" i="114"/>
  <c r="AN17" i="114"/>
  <c r="AN18" i="114"/>
  <c r="AN19" i="114"/>
  <c r="AN20" i="114"/>
  <c r="AN21" i="114"/>
  <c r="AM1" i="114"/>
  <c r="AM2" i="114"/>
  <c r="AM3" i="114"/>
  <c r="AM4" i="114"/>
  <c r="AM5" i="114"/>
  <c r="AM6" i="114"/>
  <c r="AM7" i="114"/>
  <c r="AM8" i="114"/>
  <c r="AM9" i="114"/>
  <c r="AM10" i="114"/>
  <c r="AM12" i="114"/>
  <c r="AM13" i="114"/>
  <c r="AM14" i="114"/>
  <c r="AM15" i="114"/>
  <c r="AM16" i="114"/>
  <c r="AM17" i="114"/>
  <c r="AM18" i="114"/>
  <c r="AM19" i="114"/>
  <c r="AM20" i="114"/>
  <c r="AM21" i="114"/>
  <c r="AL1" i="114"/>
  <c r="AL2" i="114"/>
  <c r="AL3" i="114"/>
  <c r="AL4" i="114"/>
  <c r="AL5" i="114"/>
  <c r="AL6" i="114"/>
  <c r="AL7" i="114"/>
  <c r="AL8" i="114"/>
  <c r="AL9" i="114"/>
  <c r="AL10" i="114"/>
  <c r="AL12" i="114"/>
  <c r="AL13" i="114"/>
  <c r="AL14" i="114"/>
  <c r="AL15" i="114"/>
  <c r="AL16" i="114"/>
  <c r="AL17" i="114"/>
  <c r="AL18" i="114"/>
  <c r="AL19" i="114"/>
  <c r="AL20" i="114"/>
  <c r="AL21" i="114"/>
  <c r="AK1" i="114"/>
  <c r="AK2" i="114"/>
  <c r="AK3" i="114"/>
  <c r="AK4" i="114"/>
  <c r="AK5" i="114"/>
  <c r="AK6" i="114"/>
  <c r="AK7" i="114"/>
  <c r="AK8" i="114"/>
  <c r="AK9" i="114"/>
  <c r="AK10" i="114"/>
  <c r="AK12" i="114"/>
  <c r="AK13" i="114"/>
  <c r="AK14" i="114"/>
  <c r="AK15" i="114"/>
  <c r="AK16" i="114"/>
  <c r="AK17" i="114"/>
  <c r="AK18" i="114"/>
  <c r="AK19" i="114"/>
  <c r="AK20" i="114"/>
  <c r="AK21" i="114"/>
  <c r="AJ1" i="114"/>
  <c r="AJ2" i="114"/>
  <c r="AJ3" i="114"/>
  <c r="AJ4" i="114"/>
  <c r="AJ5" i="114"/>
  <c r="AJ6" i="114"/>
  <c r="AJ7" i="114"/>
  <c r="AJ8" i="114"/>
  <c r="AJ9" i="114"/>
  <c r="AJ10" i="114"/>
  <c r="AJ12" i="114"/>
  <c r="AJ13" i="114"/>
  <c r="AJ14" i="114"/>
  <c r="AJ15" i="114"/>
  <c r="AJ16" i="114"/>
  <c r="AJ17" i="114"/>
  <c r="AJ18" i="114"/>
  <c r="AJ19" i="114"/>
  <c r="AJ20" i="114"/>
  <c r="AJ21" i="114"/>
  <c r="AI1" i="114"/>
  <c r="AI2" i="114"/>
  <c r="AI3" i="114"/>
  <c r="AI4" i="114"/>
  <c r="AI5" i="114"/>
  <c r="AI6" i="114"/>
  <c r="AI7" i="114"/>
  <c r="AI8" i="114"/>
  <c r="AI9" i="114"/>
  <c r="AI10" i="114"/>
  <c r="AI11" i="114"/>
  <c r="AI12" i="114"/>
  <c r="AI14" i="114"/>
  <c r="AI15" i="114"/>
  <c r="AI16" i="114"/>
  <c r="AI17" i="114"/>
  <c r="AI18" i="114"/>
  <c r="AI19" i="114"/>
  <c r="AI20" i="114"/>
  <c r="AI21" i="114"/>
  <c r="AI22" i="114"/>
  <c r="AI23" i="114"/>
  <c r="AI24" i="114"/>
  <c r="AI25" i="114"/>
  <c r="AI26" i="114"/>
  <c r="AI27" i="114"/>
  <c r="AH1" i="114"/>
  <c r="AH2" i="114"/>
  <c r="AH3" i="114"/>
  <c r="AH4" i="114"/>
  <c r="AH5" i="114"/>
  <c r="AH6" i="114"/>
  <c r="AH7" i="114"/>
  <c r="AH8" i="114"/>
  <c r="AH9" i="114"/>
  <c r="AH10" i="114"/>
  <c r="AH11" i="114"/>
  <c r="AH12" i="114"/>
  <c r="AH14" i="114"/>
  <c r="AH15" i="114"/>
  <c r="AH16" i="114"/>
  <c r="AH17" i="114"/>
  <c r="AH18" i="114"/>
  <c r="AH19" i="114"/>
  <c r="AH20" i="114"/>
  <c r="AH21" i="114"/>
  <c r="AH22" i="114"/>
  <c r="AH23" i="114"/>
  <c r="AH24" i="114"/>
  <c r="AH25" i="114"/>
  <c r="AH26" i="114"/>
  <c r="AH27" i="114"/>
  <c r="AG1" i="114"/>
  <c r="AG2" i="114"/>
  <c r="AG3" i="114"/>
  <c r="AG4" i="114"/>
  <c r="AG5" i="114"/>
  <c r="AG6" i="114"/>
  <c r="AG7" i="114"/>
  <c r="AG8" i="114"/>
  <c r="AG9" i="114"/>
  <c r="AG10" i="114"/>
  <c r="AG11" i="114"/>
  <c r="AG13" i="114"/>
  <c r="AG14" i="114"/>
  <c r="AG15" i="114"/>
  <c r="AG16" i="114"/>
  <c r="AG17" i="114"/>
  <c r="AG18" i="114"/>
  <c r="AG19" i="114"/>
  <c r="AG20" i="114"/>
  <c r="AG21" i="114"/>
  <c r="AG22" i="114"/>
  <c r="AG23" i="114"/>
  <c r="AG24" i="114"/>
  <c r="AF1" i="114"/>
  <c r="AF2" i="114"/>
  <c r="AF3" i="114"/>
  <c r="AF4" i="114"/>
  <c r="AF5" i="114"/>
  <c r="AF6" i="114"/>
  <c r="AF7" i="114"/>
  <c r="AF8" i="114"/>
  <c r="AF9" i="114"/>
  <c r="AF10" i="114"/>
  <c r="AF12" i="114"/>
  <c r="AF13" i="114"/>
  <c r="AF14" i="114"/>
  <c r="AF15" i="114"/>
  <c r="AF16" i="114"/>
  <c r="AF17" i="114"/>
  <c r="AF18" i="114"/>
  <c r="AF19" i="114"/>
  <c r="AF20" i="114"/>
  <c r="AF21" i="114"/>
  <c r="AE1" i="114"/>
  <c r="AE2" i="114"/>
  <c r="AE3" i="114"/>
  <c r="AE4" i="114"/>
  <c r="AE5" i="114"/>
  <c r="AE6" i="114"/>
  <c r="AE7" i="114"/>
  <c r="AE8" i="114"/>
  <c r="AE9" i="114"/>
  <c r="AE10" i="114"/>
  <c r="AE12" i="114"/>
  <c r="AE13" i="114"/>
  <c r="AE14" i="114"/>
  <c r="AE15" i="114"/>
  <c r="AE16" i="114"/>
  <c r="AE17" i="114"/>
  <c r="AE18" i="114"/>
  <c r="AE19" i="114"/>
  <c r="AE20" i="114"/>
  <c r="AE21" i="114"/>
  <c r="AD1" i="114"/>
  <c r="AD2" i="114"/>
  <c r="AD3" i="114"/>
  <c r="AD4" i="114"/>
  <c r="AD5" i="114"/>
  <c r="AD6" i="114"/>
  <c r="AD7" i="114"/>
  <c r="AD10" i="114"/>
  <c r="AD11" i="114"/>
  <c r="AD12" i="114"/>
  <c r="AD13" i="114"/>
  <c r="AD15" i="114"/>
  <c r="AD16" i="114"/>
  <c r="AD17" i="114"/>
  <c r="AD18" i="114"/>
  <c r="AD19" i="114"/>
  <c r="AD20" i="114"/>
  <c r="AD21" i="114"/>
  <c r="AD22" i="114"/>
  <c r="AD23" i="114"/>
  <c r="AD24" i="114"/>
  <c r="AD25" i="114"/>
  <c r="AD26" i="114"/>
  <c r="AD27" i="114"/>
  <c r="AD28" i="114"/>
  <c r="AD29" i="114"/>
  <c r="AD30" i="114"/>
  <c r="AC1" i="114"/>
  <c r="AC2" i="114"/>
  <c r="AC3" i="114"/>
  <c r="AC4" i="114"/>
  <c r="AC5" i="114"/>
  <c r="AC6" i="114"/>
  <c r="AC7" i="114"/>
  <c r="AC8" i="114"/>
  <c r="AC9" i="114"/>
  <c r="AC10" i="114"/>
  <c r="AC11" i="114"/>
  <c r="AC12" i="114"/>
  <c r="AC13" i="114"/>
  <c r="AC14" i="114"/>
  <c r="AC15" i="114"/>
  <c r="AB1" i="114"/>
  <c r="AB2" i="114"/>
  <c r="AB3" i="114"/>
  <c r="AB4" i="114"/>
  <c r="AB5" i="114"/>
  <c r="AB6" i="114"/>
  <c r="AB7" i="114"/>
  <c r="AB10" i="114"/>
  <c r="AB11" i="114"/>
  <c r="AB13" i="114"/>
  <c r="AB14" i="114"/>
  <c r="AB15" i="114"/>
  <c r="AB16" i="114"/>
  <c r="AB17" i="114"/>
  <c r="AB18" i="114"/>
  <c r="AB19" i="114"/>
  <c r="AB20" i="114"/>
  <c r="AB21" i="114"/>
  <c r="AB22" i="114"/>
  <c r="AB23" i="114"/>
  <c r="AB24" i="114"/>
  <c r="AA1" i="114"/>
  <c r="AA2" i="114"/>
  <c r="AA3" i="114"/>
  <c r="AA4" i="114"/>
  <c r="AA5" i="114"/>
  <c r="AA6" i="114"/>
  <c r="AA7" i="114"/>
  <c r="AA10" i="114"/>
  <c r="AA11" i="114"/>
  <c r="AA13" i="114"/>
  <c r="AA14" i="114"/>
  <c r="AA15" i="114"/>
  <c r="AA16" i="114"/>
  <c r="AA17" i="114"/>
  <c r="AA18" i="114"/>
  <c r="AA19" i="114"/>
  <c r="AA20" i="114"/>
  <c r="AA21" i="114"/>
  <c r="AA22" i="114"/>
  <c r="AA23" i="114"/>
  <c r="AA24" i="114"/>
  <c r="Z1" i="114"/>
  <c r="Z2" i="114"/>
  <c r="Z3" i="114"/>
  <c r="Z4" i="114"/>
  <c r="Z5" i="114"/>
  <c r="Z6" i="114"/>
  <c r="Z9" i="114"/>
  <c r="Z10" i="114"/>
  <c r="Z12" i="114"/>
  <c r="Z13" i="114"/>
  <c r="Z14" i="114"/>
  <c r="Z15" i="114"/>
  <c r="Z16" i="114"/>
  <c r="Z17" i="114"/>
  <c r="Z18" i="114"/>
  <c r="Z19" i="114"/>
  <c r="Z20" i="114"/>
  <c r="Z21" i="114"/>
  <c r="Z22" i="114"/>
  <c r="Z23" i="114"/>
  <c r="Y1" i="114"/>
  <c r="Y2" i="114"/>
  <c r="Y3" i="114"/>
  <c r="Y4" i="114"/>
  <c r="Y5" i="114"/>
  <c r="Y8" i="114"/>
  <c r="Y9" i="114"/>
  <c r="Y10" i="114"/>
  <c r="Y11" i="114"/>
  <c r="Y12" i="114"/>
  <c r="Y13" i="114"/>
  <c r="Y14" i="114"/>
  <c r="Y15" i="114"/>
  <c r="Y16" i="114"/>
  <c r="Y17" i="114"/>
  <c r="X1" i="114"/>
  <c r="X2" i="114"/>
  <c r="X3" i="114"/>
  <c r="X4" i="114"/>
  <c r="X5" i="114"/>
  <c r="X6" i="114"/>
  <c r="X9" i="114"/>
  <c r="X10" i="114"/>
  <c r="X11" i="114"/>
  <c r="X13" i="114"/>
  <c r="X14" i="114"/>
  <c r="X15" i="114"/>
  <c r="X16" i="114"/>
  <c r="X17" i="114"/>
  <c r="X18" i="114"/>
  <c r="X19" i="114"/>
  <c r="X20" i="114"/>
  <c r="X21" i="114"/>
  <c r="X22" i="114"/>
  <c r="X23" i="114"/>
  <c r="X24" i="114"/>
  <c r="X25" i="114"/>
  <c r="X26" i="114"/>
  <c r="W1" i="114"/>
  <c r="W2" i="114"/>
  <c r="W3" i="114"/>
  <c r="W4" i="114"/>
  <c r="W5" i="114"/>
  <c r="W6" i="114"/>
  <c r="W7" i="114"/>
  <c r="W10" i="114"/>
  <c r="W11" i="114"/>
  <c r="W13" i="114"/>
  <c r="W14" i="114"/>
  <c r="W15" i="114"/>
  <c r="W16" i="114"/>
  <c r="W17" i="114"/>
  <c r="W18" i="114"/>
  <c r="W19" i="114"/>
  <c r="W20" i="114"/>
  <c r="W21" i="114"/>
  <c r="W22" i="114"/>
  <c r="W23" i="114"/>
  <c r="W24" i="114"/>
  <c r="V1" i="114"/>
  <c r="V2" i="114"/>
  <c r="V3" i="114"/>
  <c r="V4" i="114"/>
  <c r="H12" i="10"/>
  <c r="V5" i="114" s="1"/>
  <c r="V6" i="114"/>
  <c r="V8" i="114"/>
  <c r="V9" i="114"/>
  <c r="U1" i="114"/>
  <c r="U2" i="114"/>
  <c r="U3" i="114"/>
  <c r="U4" i="114"/>
  <c r="U5" i="114"/>
  <c r="U6" i="114"/>
  <c r="U7" i="114"/>
  <c r="U9" i="114"/>
  <c r="U10" i="114"/>
  <c r="U11" i="114"/>
  <c r="U12" i="114"/>
  <c r="U14" i="114"/>
  <c r="U15" i="114"/>
  <c r="U16" i="114"/>
  <c r="U18" i="114"/>
  <c r="U19" i="114"/>
  <c r="U20" i="114"/>
  <c r="U21" i="114"/>
  <c r="U22" i="114"/>
  <c r="U23" i="114"/>
  <c r="U24" i="114"/>
  <c r="U25" i="114"/>
  <c r="U26" i="114"/>
  <c r="U27" i="114"/>
  <c r="U29" i="114"/>
  <c r="U30" i="114"/>
  <c r="U31" i="114"/>
  <c r="U32" i="114"/>
  <c r="U33" i="114"/>
  <c r="U34" i="114"/>
  <c r="U35" i="114"/>
  <c r="U36" i="114"/>
  <c r="U37" i="114"/>
  <c r="U38" i="114"/>
  <c r="U39" i="114"/>
  <c r="U40" i="114"/>
  <c r="U41" i="114"/>
  <c r="T1" i="114"/>
  <c r="T2" i="114"/>
  <c r="T3" i="114"/>
  <c r="T4" i="114"/>
  <c r="T5" i="114"/>
  <c r="T6" i="114"/>
  <c r="T7" i="114"/>
  <c r="T10" i="114"/>
  <c r="T11" i="114"/>
  <c r="T12" i="114"/>
  <c r="T13" i="114"/>
  <c r="T15" i="114"/>
  <c r="T16" i="114"/>
  <c r="T18" i="114"/>
  <c r="T19" i="114"/>
  <c r="T20" i="114"/>
  <c r="T21" i="114"/>
  <c r="T22" i="114"/>
  <c r="T23" i="114"/>
  <c r="T24" i="114"/>
  <c r="T25" i="114"/>
  <c r="T26" i="114"/>
  <c r="T27" i="114"/>
  <c r="T28" i="114"/>
  <c r="T29" i="114"/>
  <c r="T30" i="114"/>
  <c r="T31" i="114"/>
  <c r="T32" i="114"/>
  <c r="T34" i="114"/>
  <c r="T35" i="114"/>
  <c r="T36" i="114"/>
  <c r="T37" i="114"/>
  <c r="T38" i="114"/>
  <c r="T39" i="114"/>
  <c r="S1" i="114"/>
  <c r="S2" i="114"/>
  <c r="S3" i="114"/>
  <c r="S4" i="114"/>
  <c r="S5" i="114"/>
  <c r="S6" i="114"/>
  <c r="S7" i="114"/>
  <c r="S10" i="114"/>
  <c r="S11" i="114"/>
  <c r="S12" i="114"/>
  <c r="S13" i="114"/>
  <c r="S15" i="114"/>
  <c r="S16" i="114"/>
  <c r="S17" i="114"/>
  <c r="S18" i="114"/>
  <c r="S19" i="114"/>
  <c r="S20" i="114"/>
  <c r="S21" i="114"/>
  <c r="S22" i="114"/>
  <c r="S23" i="114"/>
  <c r="S24" i="114"/>
  <c r="S25" i="114"/>
  <c r="S26" i="114"/>
  <c r="S27" i="114"/>
  <c r="S28" i="114"/>
  <c r="S29" i="114"/>
  <c r="S30" i="114"/>
  <c r="R1" i="114"/>
  <c r="R2" i="114"/>
  <c r="R3" i="114"/>
  <c r="R4" i="114"/>
  <c r="R5" i="114"/>
  <c r="R6" i="114"/>
  <c r="R7" i="114"/>
  <c r="R9" i="114"/>
  <c r="R10" i="114"/>
  <c r="R12" i="114"/>
  <c r="R13" i="114"/>
  <c r="R14" i="114"/>
  <c r="R15" i="114"/>
  <c r="R16" i="114"/>
  <c r="R17" i="114"/>
  <c r="R18" i="114"/>
  <c r="R19" i="114"/>
  <c r="R20" i="114"/>
  <c r="R21" i="114"/>
  <c r="R22" i="114"/>
  <c r="R23" i="114"/>
  <c r="Q1" i="114"/>
  <c r="Q2" i="114"/>
  <c r="Q3" i="114"/>
  <c r="Q4" i="114"/>
  <c r="Q5" i="114"/>
  <c r="Q6" i="114"/>
  <c r="Q7" i="114"/>
  <c r="Q10" i="114"/>
  <c r="Q11" i="114"/>
  <c r="Q13" i="114"/>
  <c r="Q14" i="114"/>
  <c r="Q15" i="114"/>
  <c r="Q16" i="114"/>
  <c r="Q17" i="114"/>
  <c r="Q18" i="114"/>
  <c r="Q19" i="114"/>
  <c r="Q20" i="114"/>
  <c r="Q21" i="114"/>
  <c r="Q22" i="114"/>
  <c r="Q23" i="114"/>
  <c r="Q24" i="114"/>
  <c r="P1" i="114"/>
  <c r="P2" i="114"/>
  <c r="P3" i="114"/>
  <c r="P4" i="114"/>
  <c r="P5" i="114"/>
  <c r="P6" i="114"/>
  <c r="P7" i="114"/>
  <c r="P10" i="114"/>
  <c r="P11" i="114"/>
  <c r="P13" i="114"/>
  <c r="P14" i="114"/>
  <c r="P15" i="114"/>
  <c r="P16" i="114"/>
  <c r="P17" i="114"/>
  <c r="P18" i="114"/>
  <c r="P19" i="114"/>
  <c r="P20" i="114"/>
  <c r="P21" i="114"/>
  <c r="P22" i="114"/>
  <c r="P23" i="114"/>
  <c r="P24" i="114"/>
  <c r="O1" i="114"/>
  <c r="O2" i="114"/>
  <c r="O3" i="114"/>
  <c r="O4" i="114"/>
  <c r="O5" i="114"/>
  <c r="O6" i="114"/>
  <c r="O7" i="114"/>
  <c r="O8" i="114"/>
  <c r="O10" i="114"/>
  <c r="O11" i="114"/>
  <c r="O12" i="114"/>
  <c r="O13" i="114"/>
  <c r="O14" i="114"/>
  <c r="O15" i="114"/>
  <c r="N1" i="114"/>
  <c r="N2" i="114"/>
  <c r="N3" i="114"/>
  <c r="N4" i="114"/>
  <c r="N5" i="114"/>
  <c r="N6" i="114"/>
  <c r="N7" i="114"/>
  <c r="N10" i="114"/>
  <c r="N11" i="114"/>
  <c r="N13" i="114"/>
  <c r="N14" i="114"/>
  <c r="N15" i="114"/>
  <c r="N16" i="114"/>
  <c r="N17" i="114"/>
  <c r="N18" i="114"/>
  <c r="N19" i="114"/>
  <c r="N20" i="114"/>
  <c r="N21" i="114"/>
  <c r="N22" i="114"/>
  <c r="N23" i="114"/>
  <c r="N24" i="114"/>
  <c r="M1" i="114"/>
  <c r="M2" i="114"/>
  <c r="M3" i="114"/>
  <c r="M4" i="114"/>
  <c r="M5" i="114"/>
  <c r="M6" i="114"/>
  <c r="M7" i="114"/>
  <c r="M8" i="114"/>
  <c r="M9" i="114"/>
  <c r="M10" i="114"/>
  <c r="M11" i="114"/>
  <c r="M12" i="114"/>
  <c r="M13" i="114"/>
  <c r="M14" i="114"/>
  <c r="M15" i="114"/>
  <c r="L1" i="114"/>
  <c r="L2" i="114"/>
  <c r="L3" i="114"/>
  <c r="L4" i="114"/>
  <c r="L5" i="114"/>
  <c r="L8" i="114"/>
  <c r="L9" i="114"/>
  <c r="L10" i="114"/>
  <c r="L11" i="114"/>
  <c r="L12" i="114"/>
  <c r="L13" i="114"/>
  <c r="L14" i="114"/>
  <c r="L15" i="114"/>
  <c r="L16" i="114"/>
  <c r="L17" i="114"/>
  <c r="K1" i="114"/>
  <c r="K2" i="114"/>
  <c r="K3" i="114"/>
  <c r="K4" i="114"/>
  <c r="K5" i="114"/>
  <c r="K8" i="114"/>
  <c r="K9" i="114"/>
  <c r="K10" i="114"/>
  <c r="K11" i="114"/>
  <c r="K12" i="114"/>
  <c r="K13" i="114"/>
  <c r="K14" i="114"/>
  <c r="K15" i="114"/>
  <c r="K16" i="114"/>
  <c r="K17" i="114"/>
  <c r="J1" i="114"/>
  <c r="J2" i="114"/>
  <c r="J3" i="114"/>
  <c r="J4" i="114"/>
  <c r="J5" i="114"/>
  <c r="J6" i="114"/>
  <c r="J7" i="114"/>
  <c r="J9" i="114"/>
  <c r="J10" i="114"/>
  <c r="J12" i="114"/>
  <c r="J13" i="114"/>
  <c r="J14" i="114"/>
  <c r="J15" i="114"/>
  <c r="J16" i="114"/>
  <c r="J17" i="114"/>
  <c r="J18" i="114"/>
  <c r="J19" i="114"/>
  <c r="J20" i="114"/>
  <c r="J21" i="114"/>
  <c r="J22" i="114"/>
  <c r="J23" i="114"/>
  <c r="I1" i="114"/>
  <c r="I2" i="114"/>
  <c r="I3" i="114"/>
  <c r="I4" i="114"/>
  <c r="I5" i="114"/>
  <c r="I6" i="114"/>
  <c r="I9" i="114"/>
  <c r="I10" i="114"/>
  <c r="I12" i="114"/>
  <c r="I13" i="114"/>
  <c r="I14" i="114"/>
  <c r="I15" i="114"/>
  <c r="I16" i="114"/>
  <c r="I17" i="114"/>
  <c r="I18" i="114"/>
  <c r="I19" i="114"/>
  <c r="I20" i="114"/>
  <c r="I21" i="114"/>
  <c r="I22" i="114"/>
  <c r="I23" i="114"/>
  <c r="H1" i="114"/>
  <c r="H2" i="114"/>
  <c r="H3" i="114"/>
  <c r="H4" i="114"/>
  <c r="H5" i="114"/>
  <c r="H6" i="114"/>
  <c r="H9" i="114"/>
  <c r="H10" i="114"/>
  <c r="H12" i="114"/>
  <c r="H13" i="114"/>
  <c r="H14" i="114"/>
  <c r="H15" i="114"/>
  <c r="H16" i="114"/>
  <c r="H17" i="114"/>
  <c r="H18" i="114"/>
  <c r="H19" i="114"/>
  <c r="H20" i="114"/>
  <c r="H21" i="114"/>
  <c r="H22" i="114"/>
  <c r="H23" i="114"/>
  <c r="G1" i="114"/>
  <c r="G2" i="114"/>
  <c r="G3" i="114"/>
  <c r="G4" i="114"/>
  <c r="G5" i="114"/>
  <c r="G6" i="114"/>
  <c r="G7" i="114"/>
  <c r="G8" i="114"/>
  <c r="G10" i="114"/>
  <c r="G11" i="114"/>
  <c r="G13" i="114"/>
  <c r="G14" i="114"/>
  <c r="G15" i="114"/>
  <c r="G16" i="114"/>
  <c r="G17" i="114"/>
  <c r="G18" i="114"/>
  <c r="G19" i="114"/>
  <c r="G20" i="114"/>
  <c r="G21" i="114"/>
  <c r="G22" i="114"/>
  <c r="G23" i="114"/>
  <c r="G24" i="114"/>
  <c r="F1" i="114"/>
  <c r="F2" i="114"/>
  <c r="F3" i="114"/>
  <c r="F4" i="114"/>
  <c r="F5" i="114"/>
  <c r="F6" i="114"/>
  <c r="F7" i="114"/>
  <c r="F10" i="114"/>
  <c r="F11" i="114"/>
  <c r="F13" i="114"/>
  <c r="F14" i="114"/>
  <c r="F15" i="114"/>
  <c r="F16" i="114"/>
  <c r="F17" i="114"/>
  <c r="F18" i="114"/>
  <c r="F19" i="114"/>
  <c r="F20" i="114"/>
  <c r="F21" i="114"/>
  <c r="F22" i="114"/>
  <c r="F23" i="114"/>
  <c r="F24" i="114"/>
  <c r="E1" i="114"/>
  <c r="E2" i="114"/>
  <c r="E3" i="114"/>
  <c r="E4" i="114"/>
  <c r="E5" i="114"/>
  <c r="E6" i="114"/>
  <c r="E7" i="114"/>
  <c r="E10" i="114"/>
  <c r="E11" i="114"/>
  <c r="E13" i="114"/>
  <c r="E14" i="114"/>
  <c r="E15" i="114"/>
  <c r="E16" i="114"/>
  <c r="E17" i="114"/>
  <c r="E18" i="114"/>
  <c r="E19" i="114"/>
  <c r="E20" i="114"/>
  <c r="E21" i="114"/>
  <c r="E22" i="114"/>
  <c r="E23" i="114"/>
  <c r="E24" i="114"/>
  <c r="D1" i="114"/>
  <c r="D2" i="114"/>
  <c r="D3" i="114"/>
  <c r="D4" i="114"/>
  <c r="D5" i="114"/>
  <c r="D6" i="114"/>
  <c r="D8" i="114"/>
  <c r="D9" i="114"/>
  <c r="D10" i="114"/>
  <c r="D12" i="114"/>
  <c r="D13" i="114"/>
  <c r="D14" i="114"/>
  <c r="D15" i="114"/>
  <c r="D16" i="114"/>
  <c r="D17" i="114"/>
  <c r="D18" i="114"/>
  <c r="D19" i="114"/>
  <c r="D20" i="114"/>
  <c r="D21" i="114"/>
  <c r="C1" i="114"/>
  <c r="C2" i="114"/>
  <c r="C3" i="114"/>
  <c r="C4" i="114"/>
  <c r="C5" i="114"/>
  <c r="C6" i="114"/>
  <c r="C7" i="114"/>
  <c r="C10" i="114"/>
  <c r="C11" i="114"/>
  <c r="C13" i="114"/>
  <c r="C14" i="114"/>
  <c r="C15" i="114"/>
  <c r="C16" i="114"/>
  <c r="C17" i="114"/>
  <c r="C18" i="114"/>
  <c r="C19" i="114"/>
  <c r="C20" i="114"/>
  <c r="C21" i="114"/>
  <c r="C22" i="114"/>
  <c r="C23" i="114"/>
  <c r="C24" i="114"/>
  <c r="B1" i="114"/>
  <c r="B2" i="114"/>
  <c r="B3" i="114"/>
  <c r="A1" i="114"/>
  <c r="H6" i="1"/>
  <c r="C12" i="114" s="1"/>
  <c r="BM9" i="114"/>
  <c r="BI10" i="114"/>
  <c r="BG11" i="114"/>
  <c r="BE11" i="114"/>
  <c r="BB13" i="114"/>
  <c r="BA11" i="114"/>
  <c r="AZ13" i="114"/>
  <c r="AY12" i="114"/>
  <c r="AU13" i="114"/>
  <c r="AR11" i="114"/>
  <c r="AQ11" i="114"/>
  <c r="AO10" i="114"/>
  <c r="AK11" i="114"/>
  <c r="AI13" i="114"/>
  <c r="AH13" i="114"/>
  <c r="AG12" i="114"/>
  <c r="AB12" i="114"/>
  <c r="Z11" i="114"/>
  <c r="X12" i="114"/>
  <c r="H6" i="94"/>
  <c r="D21" i="94" s="1"/>
  <c r="R11" i="114"/>
  <c r="N12" i="114"/>
  <c r="H11" i="114"/>
  <c r="F12" i="114"/>
  <c r="E10" i="113"/>
  <c r="D21" i="113" s="1"/>
  <c r="D17" i="113"/>
  <c r="E17" i="113"/>
  <c r="F17" i="113"/>
  <c r="D17" i="1"/>
  <c r="E17" i="1"/>
  <c r="F17" i="1"/>
  <c r="D10" i="113"/>
  <c r="D7" i="114" s="1"/>
  <c r="A9" i="113"/>
  <c r="AY9" i="114"/>
  <c r="AY8" i="114"/>
  <c r="AY7" i="114"/>
  <c r="AB9" i="114"/>
  <c r="AB8" i="114"/>
  <c r="F17" i="94"/>
  <c r="E17" i="94"/>
  <c r="D17" i="94"/>
  <c r="H11" i="94"/>
  <c r="W9" i="114" s="1"/>
  <c r="H10" i="94"/>
  <c r="W8" i="114" s="1"/>
  <c r="H9" i="94"/>
  <c r="A9" i="94"/>
  <c r="H8" i="94"/>
  <c r="A6" i="94"/>
  <c r="AX9" i="114"/>
  <c r="AX8" i="114"/>
  <c r="AS9" i="114"/>
  <c r="AS8" i="114"/>
  <c r="AS7" i="114"/>
  <c r="BI6" i="114"/>
  <c r="BM6" i="114"/>
  <c r="AZ10" i="114"/>
  <c r="AZ8" i="114"/>
  <c r="AZ7" i="114"/>
  <c r="BC11" i="114"/>
  <c r="BC10" i="114"/>
  <c r="BC9" i="114"/>
  <c r="BB10" i="114"/>
  <c r="BB9" i="114"/>
  <c r="BA7" i="114"/>
  <c r="AW9" i="114"/>
  <c r="AW8" i="114"/>
  <c r="AV9" i="114"/>
  <c r="AV8" i="114"/>
  <c r="AD9" i="114"/>
  <c r="AD8" i="114"/>
  <c r="BF189" i="114"/>
  <c r="BF135" i="114"/>
  <c r="BF128" i="114"/>
  <c r="BF122" i="114"/>
  <c r="BF114" i="114"/>
  <c r="BF108" i="114"/>
  <c r="BF101" i="114"/>
  <c r="BF94" i="114"/>
  <c r="BF88" i="114"/>
  <c r="BF84" i="114"/>
  <c r="BF81" i="114"/>
  <c r="BF75" i="114"/>
  <c r="BF93" i="114"/>
  <c r="BF259" i="114"/>
  <c r="BF71" i="114"/>
  <c r="BF65" i="114"/>
  <c r="BF58" i="114"/>
  <c r="BF52" i="114"/>
  <c r="BF51" i="114"/>
  <c r="BF45" i="114"/>
  <c r="BF38" i="114"/>
  <c r="BF32" i="114"/>
  <c r="BF25" i="114"/>
  <c r="BF19" i="114"/>
  <c r="BF12" i="114"/>
  <c r="BE8" i="114"/>
  <c r="BE7" i="114"/>
  <c r="BG8" i="114"/>
  <c r="BG7" i="114"/>
  <c r="AA9" i="114"/>
  <c r="AA8" i="114"/>
  <c r="Z8" i="114"/>
  <c r="Z7" i="114"/>
  <c r="Y7" i="114"/>
  <c r="Y6" i="114"/>
  <c r="X8" i="114"/>
  <c r="X7" i="114"/>
  <c r="AU9" i="114"/>
  <c r="AU8" i="114"/>
  <c r="H11" i="10"/>
  <c r="H10" i="10"/>
  <c r="H9" i="10"/>
  <c r="U8" i="114"/>
  <c r="U28" i="114"/>
  <c r="U13" i="114"/>
  <c r="T9" i="114"/>
  <c r="T33" i="114"/>
  <c r="T14" i="114"/>
  <c r="AT9" i="114"/>
  <c r="AT8" i="114"/>
  <c r="S9" i="114"/>
  <c r="S8" i="114"/>
  <c r="R8" i="114"/>
  <c r="Q9" i="114"/>
  <c r="Q8" i="114"/>
  <c r="P9" i="114"/>
  <c r="P8" i="114"/>
  <c r="N9" i="114"/>
  <c r="N8" i="114"/>
  <c r="L7" i="114"/>
  <c r="L6" i="114"/>
  <c r="K7" i="114"/>
  <c r="K6" i="114"/>
  <c r="J8" i="114"/>
  <c r="I8" i="114"/>
  <c r="I7" i="114"/>
  <c r="H8" i="114"/>
  <c r="H7" i="114"/>
  <c r="G9" i="114"/>
  <c r="F9" i="114"/>
  <c r="F8" i="114"/>
  <c r="E9" i="114"/>
  <c r="E8" i="114"/>
  <c r="H11" i="1"/>
  <c r="C9" i="114" s="1"/>
  <c r="H10" i="1"/>
  <c r="C8" i="114" s="1"/>
  <c r="A9" i="1"/>
  <c r="BN10" i="114"/>
  <c r="BO4" i="114" l="1"/>
  <c r="BJ9" i="114"/>
  <c r="V7" i="114"/>
  <c r="J11" i="114"/>
  <c r="BL13" i="114"/>
  <c r="BF315" i="114"/>
  <c r="BF389" i="114"/>
  <c r="AS12" i="114"/>
  <c r="Q12" i="114"/>
  <c r="BH11" i="114"/>
  <c r="BF349" i="114"/>
  <c r="BF109" i="114"/>
  <c r="BF96" i="114"/>
  <c r="BF282" i="114"/>
  <c r="BF542" i="114"/>
  <c r="BF502" i="114"/>
  <c r="BF535" i="114"/>
  <c r="BF230" i="114"/>
  <c r="BF263" i="114"/>
  <c r="BF169" i="114"/>
  <c r="BF576" i="114"/>
  <c r="BF10" i="114"/>
  <c r="BF396" i="114"/>
  <c r="BF143" i="114"/>
  <c r="BF115" i="114"/>
  <c r="BF589" i="114"/>
  <c r="BF496" i="114"/>
  <c r="BF335" i="114"/>
  <c r="BF56" i="114"/>
  <c r="BF136" i="114"/>
  <c r="BF482" i="114"/>
  <c r="BF222" i="114"/>
  <c r="BF569" i="114"/>
  <c r="BF329" i="114"/>
  <c r="BF69" i="114"/>
  <c r="BF435" i="114"/>
  <c r="BF236" i="114"/>
  <c r="BF95" i="114"/>
  <c r="BF442" i="114"/>
  <c r="BF182" i="114"/>
  <c r="BF529" i="114"/>
  <c r="BF309" i="114"/>
  <c r="BF49" i="114"/>
  <c r="BF196" i="114"/>
  <c r="BF76" i="114"/>
  <c r="BF63" i="114"/>
  <c r="BF422" i="114"/>
  <c r="BF509" i="114"/>
  <c r="BF289" i="114"/>
  <c r="BF343" i="114"/>
  <c r="BF515" i="114"/>
  <c r="BF296" i="114"/>
  <c r="BF495" i="114"/>
  <c r="BF162" i="114"/>
  <c r="BF156" i="114"/>
  <c r="BF276" i="114"/>
  <c r="BF428" i="114"/>
  <c r="BF448" i="114"/>
  <c r="BF43" i="114"/>
  <c r="BF382" i="114"/>
  <c r="BF102" i="114"/>
  <c r="BF489" i="114"/>
  <c r="BF249" i="114"/>
  <c r="BF16" i="114"/>
  <c r="BF243" i="114"/>
  <c r="BF376" i="114"/>
  <c r="BF415" i="114"/>
  <c r="BF602" i="114"/>
  <c r="BF362" i="114"/>
  <c r="BF82" i="114"/>
  <c r="BF469" i="114"/>
  <c r="BF229" i="114"/>
  <c r="BF555" i="114"/>
  <c r="BF163" i="114"/>
  <c r="BF256" i="114"/>
  <c r="BF363" i="114"/>
  <c r="BF562" i="114"/>
  <c r="BF302" i="114"/>
  <c r="BF30" i="114"/>
  <c r="BF409" i="114"/>
  <c r="BF472" i="114"/>
  <c r="BF473" i="114"/>
  <c r="BF486" i="114"/>
  <c r="BF105" i="114"/>
  <c r="BF386" i="114"/>
  <c r="BF239" i="114"/>
  <c r="BF286" i="114"/>
  <c r="BF86" i="114"/>
  <c r="BF395" i="114"/>
  <c r="BF420" i="114"/>
  <c r="BF587" i="114"/>
  <c r="BF73" i="114"/>
  <c r="BF400" i="114"/>
  <c r="BF574" i="114"/>
  <c r="BF454" i="114"/>
  <c r="BF467" i="114"/>
  <c r="BF174" i="114"/>
  <c r="BF539" i="114"/>
  <c r="BF54" i="114"/>
  <c r="BF147" i="114"/>
  <c r="BF341" i="114"/>
  <c r="BD14" i="114"/>
  <c r="BC15" i="114"/>
  <c r="AV12" i="114"/>
  <c r="AP11" i="114"/>
  <c r="AL11" i="114"/>
  <c r="AD14" i="114"/>
  <c r="W12" i="114"/>
  <c r="T17" i="114"/>
  <c r="I11" i="114"/>
  <c r="E12" i="114"/>
  <c r="D11" i="114"/>
  <c r="D21" i="1"/>
  <c r="A6" i="1" s="1"/>
  <c r="BF13" i="114"/>
  <c r="BF525" i="114"/>
  <c r="BF192" i="114"/>
  <c r="BF532" i="114"/>
  <c r="BF186" i="114"/>
  <c r="BF79" i="114"/>
  <c r="BF120" i="114"/>
  <c r="BF29" i="114"/>
  <c r="BF209" i="114"/>
  <c r="BF369" i="114"/>
  <c r="BF561" i="114"/>
  <c r="BF130" i="114"/>
  <c r="BF322" i="114"/>
  <c r="BF522" i="114"/>
  <c r="BF123" i="114"/>
  <c r="BF463" i="114"/>
  <c r="BF356" i="114"/>
  <c r="BF36" i="114"/>
  <c r="BF476" i="114"/>
  <c r="BF176" i="114"/>
  <c r="BF89" i="114"/>
  <c r="BF269" i="114"/>
  <c r="BF429" i="114"/>
  <c r="BF23" i="114"/>
  <c r="BF202" i="114"/>
  <c r="BF402" i="114"/>
  <c r="BF582" i="114"/>
  <c r="BF295" i="114"/>
  <c r="BF548" i="114"/>
  <c r="BF456" i="114"/>
  <c r="BF215" i="114"/>
  <c r="BF596" i="114"/>
  <c r="BF563" i="114"/>
  <c r="BF528" i="114"/>
  <c r="BF26" i="114"/>
  <c r="O9" i="114"/>
  <c r="BF552" i="114"/>
  <c r="BF425" i="114"/>
  <c r="BF392" i="114"/>
  <c r="BF419" i="114"/>
  <c r="BF305" i="114"/>
  <c r="BF412" i="114"/>
  <c r="BF586" i="114"/>
  <c r="BF205" i="114"/>
  <c r="BF149" i="114"/>
  <c r="BQ12" i="114"/>
  <c r="BF372" i="114"/>
  <c r="BF592" i="114"/>
  <c r="BF328" i="114"/>
  <c r="BF459" i="114"/>
  <c r="BF219" i="114"/>
  <c r="BF512" i="114"/>
  <c r="BF519" i="114"/>
  <c r="BF172" i="114"/>
  <c r="BF366" i="114"/>
  <c r="BF166" i="114"/>
  <c r="BF39" i="114"/>
  <c r="BF405" i="114"/>
  <c r="BF153" i="114"/>
  <c r="BF608" i="114"/>
  <c r="BF228" i="114"/>
  <c r="BF572" i="114"/>
  <c r="BF312" i="114"/>
  <c r="BF159" i="114"/>
  <c r="BF432" i="114"/>
  <c r="BF359" i="114"/>
  <c r="BF112" i="114"/>
  <c r="BF139" i="114"/>
  <c r="BF199" i="114"/>
  <c r="BF595" i="114"/>
  <c r="BF499" i="114"/>
  <c r="BF299" i="114"/>
  <c r="BF99" i="114"/>
  <c r="BF558" i="114"/>
  <c r="BF462" i="114"/>
  <c r="BF346" i="114"/>
  <c r="BF262" i="114"/>
  <c r="BF146" i="114"/>
  <c r="BF62" i="114"/>
  <c r="BF605" i="114"/>
  <c r="BF453" i="114"/>
  <c r="BF353" i="114"/>
  <c r="BF233" i="114"/>
  <c r="BF133" i="114"/>
  <c r="BF33" i="114"/>
  <c r="BF360" i="114"/>
  <c r="BF387" i="114"/>
  <c r="BF220" i="114"/>
  <c r="BF374" i="114"/>
  <c r="BF47" i="114"/>
  <c r="BF273" i="114"/>
  <c r="BF195" i="114"/>
  <c r="BF379" i="114"/>
  <c r="BF272" i="114"/>
  <c r="BF599" i="114"/>
  <c r="BF319" i="114"/>
  <c r="BF566" i="114"/>
  <c r="BF466" i="114"/>
  <c r="BF266" i="114"/>
  <c r="BF66" i="114"/>
  <c r="BF505" i="114"/>
  <c r="BF253" i="114"/>
  <c r="BF53" i="114"/>
  <c r="BF212" i="114"/>
  <c r="BF492" i="114"/>
  <c r="BF292" i="114"/>
  <c r="BF20" i="114"/>
  <c r="BF399" i="114"/>
  <c r="BF332" i="114"/>
  <c r="BF72" i="114"/>
  <c r="BF92" i="114"/>
  <c r="BF179" i="114"/>
  <c r="BF579" i="114"/>
  <c r="BF479" i="114"/>
  <c r="BF279" i="114"/>
  <c r="BF59" i="114"/>
  <c r="BF538" i="114"/>
  <c r="BF438" i="114"/>
  <c r="BF338" i="114"/>
  <c r="BF246" i="114"/>
  <c r="BF126" i="114"/>
  <c r="BF46" i="114"/>
  <c r="BF545" i="114"/>
  <c r="BF445" i="114"/>
  <c r="BF325" i="114"/>
  <c r="BF225" i="114"/>
  <c r="BF129" i="114"/>
  <c r="BF559" i="114"/>
  <c r="BF180" i="114"/>
  <c r="BF187" i="114"/>
  <c r="BF254" i="114"/>
  <c r="BF553" i="114"/>
  <c r="BF141" i="114"/>
  <c r="AX13" i="114"/>
  <c r="AT16" i="114"/>
  <c r="AM11" i="114"/>
  <c r="AE11" i="114"/>
  <c r="AA12" i="114"/>
  <c r="G12" i="114"/>
  <c r="BK10" i="114"/>
  <c r="BF340" i="114"/>
  <c r="BF507" i="114"/>
  <c r="BF260" i="114"/>
  <c r="BF520" i="114"/>
  <c r="BF320" i="114"/>
  <c r="BF107" i="114"/>
  <c r="BF367" i="114"/>
  <c r="BF160" i="114"/>
  <c r="BF567" i="114"/>
  <c r="BF339" i="114"/>
  <c r="BF8" i="114"/>
  <c r="BF167" i="114"/>
  <c r="BF546" i="114"/>
  <c r="BF446" i="114"/>
  <c r="BF354" i="114"/>
  <c r="BF234" i="114"/>
  <c r="BF154" i="114"/>
  <c r="BF34" i="114"/>
  <c r="BF27" i="114"/>
  <c r="BF533" i="114"/>
  <c r="BF433" i="114"/>
  <c r="BF333" i="114"/>
  <c r="BF241" i="114"/>
  <c r="BF121" i="114"/>
  <c r="BF41" i="114"/>
  <c r="BF267" i="114"/>
  <c r="BF460" i="114"/>
  <c r="BF600" i="114"/>
  <c r="BF500" i="114"/>
  <c r="BF300" i="114"/>
  <c r="BF100" i="114"/>
  <c r="BF207" i="114"/>
  <c r="BF127" i="114"/>
  <c r="BF487" i="114"/>
  <c r="BF307" i="114"/>
  <c r="BF347" i="114"/>
  <c r="BF140" i="114"/>
  <c r="BF526" i="114"/>
  <c r="BF426" i="114"/>
  <c r="BF326" i="114"/>
  <c r="BF226" i="114"/>
  <c r="BF134" i="114"/>
  <c r="BF14" i="114"/>
  <c r="BF7" i="114"/>
  <c r="BF513" i="114"/>
  <c r="BF413" i="114"/>
  <c r="BF313" i="114"/>
  <c r="BF213" i="114"/>
  <c r="BF113" i="114"/>
  <c r="BF21" i="114"/>
  <c r="BF540" i="114"/>
  <c r="BF80" i="114"/>
  <c r="BF380" i="114"/>
  <c r="BF580" i="114"/>
  <c r="BF480" i="114"/>
  <c r="BF280" i="114"/>
  <c r="BF440" i="114"/>
  <c r="BF200" i="114"/>
  <c r="BF87" i="114"/>
  <c r="BF407" i="114"/>
  <c r="BF287" i="114"/>
  <c r="BF247" i="114"/>
  <c r="BF60" i="114"/>
  <c r="BF474" i="114"/>
  <c r="BF406" i="114"/>
  <c r="BF274" i="114"/>
  <c r="BF206" i="114"/>
  <c r="BF74" i="114"/>
  <c r="BF67" i="114"/>
  <c r="BF593" i="114"/>
  <c r="BF493" i="114"/>
  <c r="BF393" i="114"/>
  <c r="BF293" i="114"/>
  <c r="BF193" i="114"/>
  <c r="AN11" i="114"/>
  <c r="AJ11" i="114"/>
  <c r="AF11" i="114"/>
  <c r="A6" i="10"/>
  <c r="U17" i="114"/>
  <c r="T8" i="114"/>
  <c r="S14" i="114"/>
  <c r="P12" i="114"/>
  <c r="A6" i="113"/>
  <c r="BP8" i="114" l="1"/>
  <c r="BL8" i="114"/>
  <c r="BL6" i="114" l="1"/>
  <c r="BL9" i="114"/>
</calcChain>
</file>

<file path=xl/sharedStrings.xml><?xml version="1.0" encoding="utf-8"?>
<sst xmlns="http://schemas.openxmlformats.org/spreadsheetml/2006/main" count="873" uniqueCount="70">
  <si>
    <t>min</t>
  </si>
  <si>
    <t>X1</t>
  </si>
  <si>
    <t>X2</t>
  </si>
  <si>
    <t>X3</t>
  </si>
  <si>
    <t>st</t>
  </si>
  <si>
    <t>&lt;=</t>
  </si>
  <si>
    <t>&gt;=</t>
  </si>
  <si>
    <t>=</t>
  </si>
  <si>
    <t>Known Solution</t>
  </si>
  <si>
    <t>Known Objective</t>
  </si>
  <si>
    <t>ok?</t>
  </si>
  <si>
    <t>Infeasible</t>
  </si>
  <si>
    <t>A simple LP model.</t>
  </si>
  <si>
    <t>A worksheet with a ! In its name. OpenSolver fails on this as the Names() fails... don't know why!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</si>
  <si>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</si>
  <si>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</si>
  <si>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</si>
  <si>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</si>
  <si>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</si>
  <si>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</si>
  <si>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</si>
  <si>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</si>
  <si>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</si>
  <si>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</si>
  <si>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</si>
  <si>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</si>
  <si>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</si>
  <si>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</si>
  <si>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</si>
  <si>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</si>
  <si>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</si>
  <si>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</si>
  <si>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NeosCBC</t>
  </si>
  <si>
    <t>NeosCou</t>
  </si>
  <si>
    <t>NeosBon</t>
  </si>
  <si>
    <t>x</t>
  </si>
  <si>
    <t>value</t>
  </si>
  <si>
    <t>Couenne</t>
  </si>
  <si>
    <t>Bonmin</t>
  </si>
  <si>
    <t>Tests marked with * are expected to fail. Look at the test whitelist module for info on why they should fail</t>
  </si>
  <si>
    <t>A simple IP model. All variables binary</t>
  </si>
  <si>
    <t>weight</t>
  </si>
  <si>
    <t>Capacity</t>
  </si>
  <si>
    <t>Total Weight</t>
  </si>
  <si>
    <t>Total Value</t>
  </si>
  <si>
    <t>Works on Excel 2016, result now changes based on INFO function</t>
  </si>
  <si>
    <t>NeosCplex</t>
  </si>
  <si>
    <t>A worksheet with a ! At the front of its name.</t>
  </si>
  <si>
    <t>A worksheet with a ! In the middle of its name.</t>
  </si>
  <si>
    <t>A worksheet with a @ at the start of its name.</t>
  </si>
  <si>
    <t>A worksheet with a @ at the end of its name.</t>
  </si>
  <si>
    <t>A worksheet with a @ in the middle of its name.</t>
  </si>
  <si>
    <t>PASS</t>
  </si>
  <si>
    <t>FAIL</t>
  </si>
  <si>
    <t>A worksheet with a # at the start of its name.</t>
  </si>
  <si>
    <t>A worksheet with a # in the middle of its name.</t>
  </si>
  <si>
    <t>A worksheet with a # at the end of its name.</t>
  </si>
  <si>
    <t>A worksheet with a $ at the start of its name.</t>
  </si>
  <si>
    <t>A worksheet with a $ in the middle of its name.</t>
  </si>
  <si>
    <t>A worksheet with a $ at the end of its name.</t>
  </si>
  <si>
    <t>A worksheet with a % at the start of its name.</t>
  </si>
  <si>
    <t>A worksheet with a % at the end of its name.</t>
  </si>
  <si>
    <t>A worksheet with a % in the middle of its name.</t>
  </si>
  <si>
    <t>A worksheet with a ^ at the start of its name.</t>
  </si>
  <si>
    <t>A worksheet with a ^ in the middle of its name.</t>
  </si>
  <si>
    <t>A worksheet with a &amp; in the middle of its name.</t>
  </si>
  <si>
    <t>A worksheet with a &amp; at the end of its name.</t>
  </si>
  <si>
    <t>A worksheet with a | at the start of its name.</t>
  </si>
  <si>
    <t>A worksheet with a | in the middle of its name.</t>
  </si>
  <si>
    <t>A worksheet with a | at the end of its name.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</si>
</sst>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Arial"/>
      <family val="2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4">
    <xf numFmtId="0" fontId="0" fillId="0" borderId="0"/>
    <xf numFmtId="0" fontId="3" fillId="0" borderId="0"/>
    <xf numFmtId="0" fontId="4" fillId="0" borderId="0"/>
    <xf numFmtId="0" fontId="5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/>
    <xf numFmtId="0" fontId="0" fillId="0" borderId="0" xfId="0" applyAlignment="1">
      <alignment horizontal="left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2" borderId="0" xfId="0" applyFill="1"/>
    <xf numFmtId="0" fontId="0" fillId="6" borderId="1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1" fillId="5" borderId="13" xfId="0" applyFont="1" applyFill="1" applyBorder="1" applyAlignment="1">
      <alignment horizontal="center"/>
    </xf>
    <xf numFmtId="0" fontId="1" fillId="5" borderId="5" xfId="0" applyFont="1" applyFill="1" applyBorder="1" applyAlignment="1">
      <alignment horizontal="center"/>
    </xf>
    <xf numFmtId="0" fontId="0" fillId="7" borderId="15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7" borderId="14" xfId="0" applyFill="1" applyBorder="1" applyAlignment="1"/>
    <xf numFmtId="0" fontId="1" fillId="5" borderId="16" xfId="0" applyFont="1" applyFill="1" applyBorder="1" applyAlignment="1">
      <alignment horizontal="center"/>
    </xf>
    <xf numFmtId="0" fontId="0" fillId="4" borderId="2" xfId="0" applyFill="1" applyBorder="1" applyAlignment="1"/>
    <xf numFmtId="0" fontId="5" fillId="4" borderId="2" xfId="3" applyFill="1" applyBorder="1" applyAlignment="1"/>
    <xf numFmtId="0" fontId="5" fillId="6" borderId="16" xfId="3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1" fontId="0" fillId="0" borderId="4" xfId="0" applyNumberFormat="1" applyBorder="1" applyAlignment="1">
      <alignment horizontal="center"/>
    </xf>
    <xf numFmtId="0" fontId="0" fillId="7" borderId="15" xfId="0" applyFill="1" applyBorder="1" applyAlignment="1">
      <alignment horizontal="center" vertical="center" wrapText="1"/>
    </xf>
  </cellXfs>
  <cellStyles count="4">
    <cellStyle name="Hyperlink" xfId="3" builtinId="8"/>
    <cellStyle name="Normal" xfId="0" builtinId="0"/>
    <cellStyle name="Normal 2" xfId="1" xr:uid="{00000000-0005-0000-0000-000008000000}"/>
    <cellStyle name="Normal 3" xfId="2" xr:uid="{00000000-0005-0000-0000-000009000000}"/>
  </cellStyles>
  <dxfs count="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198120</xdr:rowOff>
        </xdr:from>
        <xdr:to>
          <xdr:col>1</xdr:col>
          <xdr:colOff>449580</xdr:colOff>
          <xdr:row>0</xdr:row>
          <xdr:rowOff>640080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2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Tests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4</xdr:row>
      <xdr:rowOff>0</xdr:rowOff>
    </xdr:from>
    <xdr:to>
      <xdr:col>1</xdr:col>
      <xdr:colOff>21665</xdr:colOff>
      <xdr:row>8</xdr:row>
      <xdr:rowOff>0</xdr:rowOff>
    </xdr:to>
    <xdr:sp macro="" textlink="">
      <xdr:nvSpPr>
        <xdr:cNvPr id="40967" name="ListBoxLinear" hidden="1">
          <a:extLst>
            <a:ext uri="{63B3BB69-23CF-44E3-9099-C40C66FF867C}">
              <a14:compatExt xmlns:a14="http://schemas.microsoft.com/office/drawing/2010/main" spid="_x0000_s40967"/>
            </a:ext>
            <a:ext uri="{FF2B5EF4-FFF2-40B4-BE49-F238E27FC236}">
              <a16:creationId xmlns:a16="http://schemas.microsoft.com/office/drawing/2014/main" id="{00000000-0008-0000-0200-000007A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4</xdr:row>
      <xdr:rowOff>0</xdr:rowOff>
    </xdr:from>
    <xdr:to>
      <xdr:col>1</xdr:col>
      <xdr:colOff>21665</xdr:colOff>
      <xdr:row>9</xdr:row>
      <xdr:rowOff>63500</xdr:rowOff>
    </xdr:to>
    <xdr:sp macro="" textlink="">
      <xdr:nvSpPr>
        <xdr:cNvPr id="40970" name="ListBoxNonLinear" hidden="1">
          <a:extLst>
            <a:ext uri="{63B3BB69-23CF-44E3-9099-C40C66FF867C}">
              <a14:compatExt xmlns:a14="http://schemas.microsoft.com/office/drawing/2010/main" spid="_x0000_s40970"/>
            </a:ext>
            <a:ext uri="{FF2B5EF4-FFF2-40B4-BE49-F238E27FC236}">
              <a16:creationId xmlns:a16="http://schemas.microsoft.com/office/drawing/2014/main" id="{00000000-0008-0000-0200-00000AA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4</xdr:row>
      <xdr:rowOff>0</xdr:rowOff>
    </xdr:from>
    <xdr:to>
      <xdr:col>0</xdr:col>
      <xdr:colOff>1536700</xdr:colOff>
      <xdr:row>17</xdr:row>
      <xdr:rowOff>177801</xdr:rowOff>
    </xdr:to>
    <xdr:sp macro="" textlink="">
      <xdr:nvSpPr>
        <xdr:cNvPr id="40971" name="ListBoxTest" hidden="1">
          <a:extLst>
            <a:ext uri="{63B3BB69-23CF-44E3-9099-C40C66FF867C}">
              <a14:compatExt xmlns:a14="http://schemas.microsoft.com/office/drawing/2010/main" spid="_x0000_s40971"/>
            </a:ext>
            <a:ext uri="{FF2B5EF4-FFF2-40B4-BE49-F238E27FC236}">
              <a16:creationId xmlns:a16="http://schemas.microsoft.com/office/drawing/2014/main" id="{00000000-0008-0000-0200-00000BA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144780</xdr:colOff>
          <xdr:row>0</xdr:row>
          <xdr:rowOff>198120</xdr:rowOff>
        </xdr:from>
        <xdr:to>
          <xdr:col>8</xdr:col>
          <xdr:colOff>457200</xdr:colOff>
          <xdr:row>0</xdr:row>
          <xdr:rowOff>640080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2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OpenSolver VBA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259080</xdr:colOff>
          <xdr:row>0</xdr:row>
          <xdr:rowOff>190500</xdr:rowOff>
        </xdr:from>
        <xdr:to>
          <xdr:col>11</xdr:col>
          <xdr:colOff>563880</xdr:colOff>
          <xdr:row>0</xdr:row>
          <xdr:rowOff>640080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2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OpenSolver VBA Modules From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457200</xdr:colOff>
          <xdr:row>0</xdr:row>
          <xdr:rowOff>190500</xdr:rowOff>
        </xdr:from>
        <xdr:to>
          <xdr:col>15</xdr:col>
          <xdr:colOff>160020</xdr:colOff>
          <xdr:row>0</xdr:row>
          <xdr:rowOff>640080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2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 Results to Google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7" name="OpenSolver1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>
        <a:xfrm>
          <a:off x="169545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18" name="OpenSolver2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>
          <a:off x="3305175" y="1171575"/>
          <a:ext cx="6381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222250</xdr:colOff>
      <xdr:row>5</xdr:row>
      <xdr:rowOff>120650</xdr:rowOff>
    </xdr:from>
    <xdr:to>
      <xdr:col>7</xdr:col>
      <xdr:colOff>215214</xdr:colOff>
      <xdr:row>6</xdr:row>
      <xdr:rowOff>47625</xdr:rowOff>
    </xdr:to>
    <xdr:sp macro="" textlink="">
      <xdr:nvSpPr>
        <xdr:cNvPr id="19" name="OpenSolver3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32893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4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>
          <a:off x="3305175" y="1552575"/>
          <a:ext cx="6381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1" name="OpenSolver5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/>
      </xdr:nvSpPr>
      <xdr:spPr>
        <a:xfrm>
          <a:off x="4171950" y="1552575"/>
          <a:ext cx="45720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22" name="OpenSolver6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CxnSpPr>
          <a:stCxn id="20" idx="3"/>
          <a:endCxn id="21" idx="1"/>
        </xdr:cNvCxnSpPr>
      </xdr:nvCxnSpPr>
      <xdr:spPr>
        <a:xfrm>
          <a:off x="3943350" y="1752600"/>
          <a:ext cx="228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8</xdr:row>
      <xdr:rowOff>73025</xdr:rowOff>
    </xdr:from>
    <xdr:to>
      <xdr:col>9</xdr:col>
      <xdr:colOff>76200</xdr:colOff>
      <xdr:row>9</xdr:row>
      <xdr:rowOff>127000</xdr:rowOff>
    </xdr:to>
    <xdr:sp macro="" textlink="">
      <xdr:nvSpPr>
        <xdr:cNvPr id="23" name="OpenSolver7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>
          <a:off x="3867150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4" name="OpenSolver8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/>
      </xdr:nvSpPr>
      <xdr:spPr>
        <a:xfrm>
          <a:off x="3305175" y="1952625"/>
          <a:ext cx="6381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5" name="OpenSolver9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/>
      </xdr:nvSpPr>
      <xdr:spPr>
        <a:xfrm>
          <a:off x="4171950" y="1952625"/>
          <a:ext cx="4572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6" name="OpenSolver10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CxnSpPr>
          <a:stCxn id="24" idx="3"/>
          <a:endCxn id="25" idx="1"/>
        </xdr:cNvCxnSpPr>
      </xdr:nvCxnSpPr>
      <xdr:spPr>
        <a:xfrm>
          <a:off x="3943350" y="2047875"/>
          <a:ext cx="228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9</xdr:row>
      <xdr:rowOff>168275</xdr:rowOff>
    </xdr:from>
    <xdr:to>
      <xdr:col>9</xdr:col>
      <xdr:colOff>76200</xdr:colOff>
      <xdr:row>11</xdr:row>
      <xdr:rowOff>31750</xdr:rowOff>
    </xdr:to>
    <xdr:sp macro="" textlink="">
      <xdr:nvSpPr>
        <xdr:cNvPr id="27" name="OpenSolver11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/>
      </xdr:nvSpPr>
      <xdr:spPr>
        <a:xfrm>
          <a:off x="3867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8" name="OpenSolver12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/>
      </xdr:nvSpPr>
      <xdr:spPr>
        <a:xfrm>
          <a:off x="3305175" y="2143125"/>
          <a:ext cx="6381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9" name="OpenSolver13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/>
      </xdr:nvSpPr>
      <xdr:spPr>
        <a:xfrm>
          <a:off x="4171950" y="2143125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0" name="OpenSolver14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CxnSpPr>
          <a:stCxn id="28" idx="3"/>
          <a:endCxn id="29" idx="1"/>
        </xdr:cNvCxnSpPr>
      </xdr:nvCxnSpPr>
      <xdr:spPr>
        <a:xfrm>
          <a:off x="3943350" y="2238375"/>
          <a:ext cx="228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10</xdr:row>
      <xdr:rowOff>158750</xdr:rowOff>
    </xdr:from>
    <xdr:to>
      <xdr:col>9</xdr:col>
      <xdr:colOff>76200</xdr:colOff>
      <xdr:row>12</xdr:row>
      <xdr:rowOff>31750</xdr:rowOff>
    </xdr:to>
    <xdr:sp macro="" textlink="">
      <xdr:nvSpPr>
        <xdr:cNvPr id="31" name="OpenSolver15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/>
      </xdr:nvSpPr>
      <xdr:spPr>
        <a:xfrm>
          <a:off x="3867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295275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37147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351472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34242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295275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3714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351472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3424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524000" y="746760"/>
          <a:ext cx="1226820" cy="18288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2964180" y="1120140"/>
          <a:ext cx="571500" cy="18288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222250</xdr:colOff>
      <xdr:row>5</xdr:row>
      <xdr:rowOff>120650</xdr:rowOff>
    </xdr:from>
    <xdr:to>
      <xdr:col>7</xdr:col>
      <xdr:colOff>215214</xdr:colOff>
      <xdr:row>6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2965450" y="1050290"/>
          <a:ext cx="213944" cy="117475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2964180" y="1485900"/>
          <a:ext cx="571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3741420" y="1485900"/>
          <a:ext cx="41148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3535680" y="1676400"/>
          <a:ext cx="20574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8</xdr:row>
      <xdr:rowOff>73025</xdr:rowOff>
    </xdr:from>
    <xdr:to>
      <xdr:col>9</xdr:col>
      <xdr:colOff>76200</xdr:colOff>
      <xdr:row>9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3526155" y="1558925"/>
          <a:ext cx="291465" cy="24447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2964180" y="1866900"/>
          <a:ext cx="57150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3741420" y="1866900"/>
          <a:ext cx="41148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3535680" y="1962150"/>
          <a:ext cx="20574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9</xdr:row>
      <xdr:rowOff>168275</xdr:rowOff>
    </xdr:from>
    <xdr:to>
      <xdr:col>9</xdr:col>
      <xdr:colOff>76200</xdr:colOff>
      <xdr:row>11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3526155" y="1844675"/>
          <a:ext cx="291465" cy="23685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>
        <a:xfrm>
          <a:off x="2964180" y="2049780"/>
          <a:ext cx="57150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/>
      </xdr:nvSpPr>
      <xdr:spPr>
        <a:xfrm>
          <a:off x="3741420" y="2049780"/>
          <a:ext cx="41148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3535680" y="2145030"/>
          <a:ext cx="20574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10</xdr:row>
      <xdr:rowOff>158750</xdr:rowOff>
    </xdr:from>
    <xdr:to>
      <xdr:col>9</xdr:col>
      <xdr:colOff>76200</xdr:colOff>
      <xdr:row>12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>
        <a:xfrm>
          <a:off x="3526155" y="2025650"/>
          <a:ext cx="291465" cy="23876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524000" y="746760"/>
          <a:ext cx="1226820" cy="18288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2964180" y="1120140"/>
          <a:ext cx="571500" cy="18288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222250</xdr:colOff>
      <xdr:row>5</xdr:row>
      <xdr:rowOff>120650</xdr:rowOff>
    </xdr:from>
    <xdr:to>
      <xdr:col>7</xdr:col>
      <xdr:colOff>215214</xdr:colOff>
      <xdr:row>6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2965450" y="1050290"/>
          <a:ext cx="213944" cy="117475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2964180" y="1485900"/>
          <a:ext cx="571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3741420" y="1485900"/>
          <a:ext cx="41148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3535680" y="1676400"/>
          <a:ext cx="20574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8</xdr:row>
      <xdr:rowOff>73025</xdr:rowOff>
    </xdr:from>
    <xdr:to>
      <xdr:col>9</xdr:col>
      <xdr:colOff>76200</xdr:colOff>
      <xdr:row>9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3526155" y="1558925"/>
          <a:ext cx="291465" cy="24447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>
        <a:xfrm>
          <a:off x="2964180" y="1866900"/>
          <a:ext cx="57150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>
        <a:xfrm>
          <a:off x="3741420" y="1866900"/>
          <a:ext cx="41148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3535680" y="1962150"/>
          <a:ext cx="20574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9</xdr:row>
      <xdr:rowOff>168275</xdr:rowOff>
    </xdr:from>
    <xdr:to>
      <xdr:col>9</xdr:col>
      <xdr:colOff>76200</xdr:colOff>
      <xdr:row>11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3526155" y="1844675"/>
          <a:ext cx="291465" cy="23685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>
          <a:off x="2964180" y="2049780"/>
          <a:ext cx="57150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/>
      </xdr:nvSpPr>
      <xdr:spPr>
        <a:xfrm>
          <a:off x="3741420" y="2049780"/>
          <a:ext cx="41148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3535680" y="2145030"/>
          <a:ext cx="20574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10</xdr:row>
      <xdr:rowOff>158750</xdr:rowOff>
    </xdr:from>
    <xdr:to>
      <xdr:col>9</xdr:col>
      <xdr:colOff>76200</xdr:colOff>
      <xdr:row>12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/>
      </xdr:nvSpPr>
      <xdr:spPr>
        <a:xfrm>
          <a:off x="3526155" y="2025650"/>
          <a:ext cx="291465" cy="23876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524000" y="746760"/>
          <a:ext cx="1226820" cy="18288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2964180" y="1120140"/>
          <a:ext cx="571500" cy="18288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222250</xdr:colOff>
      <xdr:row>5</xdr:row>
      <xdr:rowOff>120650</xdr:rowOff>
    </xdr:from>
    <xdr:to>
      <xdr:col>7</xdr:col>
      <xdr:colOff>215214</xdr:colOff>
      <xdr:row>6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2965450" y="1050290"/>
          <a:ext cx="213944" cy="117475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2964180" y="1485900"/>
          <a:ext cx="571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3741420" y="1485900"/>
          <a:ext cx="41148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3535680" y="1676400"/>
          <a:ext cx="20574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8</xdr:row>
      <xdr:rowOff>73025</xdr:rowOff>
    </xdr:from>
    <xdr:to>
      <xdr:col>9</xdr:col>
      <xdr:colOff>76200</xdr:colOff>
      <xdr:row>9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3526155" y="1558925"/>
          <a:ext cx="291465" cy="24447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2964180" y="1866900"/>
          <a:ext cx="57150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/>
      </xdr:nvSpPr>
      <xdr:spPr>
        <a:xfrm>
          <a:off x="3741420" y="1866900"/>
          <a:ext cx="41148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3535680" y="1962150"/>
          <a:ext cx="20574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9</xdr:row>
      <xdr:rowOff>168275</xdr:rowOff>
    </xdr:from>
    <xdr:to>
      <xdr:col>9</xdr:col>
      <xdr:colOff>76200</xdr:colOff>
      <xdr:row>11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3526155" y="1844675"/>
          <a:ext cx="291465" cy="23685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2964180" y="2049780"/>
          <a:ext cx="57150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>
          <a:off x="3741420" y="2049780"/>
          <a:ext cx="41148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3535680" y="2145030"/>
          <a:ext cx="20574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10</xdr:row>
      <xdr:rowOff>158750</xdr:rowOff>
    </xdr:from>
    <xdr:to>
      <xdr:col>9</xdr:col>
      <xdr:colOff>76200</xdr:colOff>
      <xdr:row>12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/>
      </xdr:nvSpPr>
      <xdr:spPr>
        <a:xfrm>
          <a:off x="3526155" y="2025650"/>
          <a:ext cx="291465" cy="23876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1524000" y="746760"/>
          <a:ext cx="1226820" cy="18288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2964180" y="1120140"/>
          <a:ext cx="571500" cy="18288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222250</xdr:colOff>
      <xdr:row>5</xdr:row>
      <xdr:rowOff>120650</xdr:rowOff>
    </xdr:from>
    <xdr:to>
      <xdr:col>7</xdr:col>
      <xdr:colOff>215214</xdr:colOff>
      <xdr:row>6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2965450" y="1050290"/>
          <a:ext cx="213944" cy="117475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2964180" y="1485900"/>
          <a:ext cx="571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3741420" y="1485900"/>
          <a:ext cx="41148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3535680" y="1676400"/>
          <a:ext cx="20574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8</xdr:row>
      <xdr:rowOff>73025</xdr:rowOff>
    </xdr:from>
    <xdr:to>
      <xdr:col>9</xdr:col>
      <xdr:colOff>76200</xdr:colOff>
      <xdr:row>9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3526155" y="1558925"/>
          <a:ext cx="291465" cy="24447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/>
      </xdr:nvSpPr>
      <xdr:spPr>
        <a:xfrm>
          <a:off x="2964180" y="1866900"/>
          <a:ext cx="57150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/>
      </xdr:nvSpPr>
      <xdr:spPr>
        <a:xfrm>
          <a:off x="3741420" y="1866900"/>
          <a:ext cx="41148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3535680" y="1962150"/>
          <a:ext cx="20574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9</xdr:row>
      <xdr:rowOff>168275</xdr:rowOff>
    </xdr:from>
    <xdr:to>
      <xdr:col>9</xdr:col>
      <xdr:colOff>76200</xdr:colOff>
      <xdr:row>11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/>
      </xdr:nvSpPr>
      <xdr:spPr>
        <a:xfrm>
          <a:off x="3526155" y="1844675"/>
          <a:ext cx="291465" cy="23685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SpPr/>
      </xdr:nvSpPr>
      <xdr:spPr>
        <a:xfrm>
          <a:off x="2964180" y="2049780"/>
          <a:ext cx="57150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>
          <a:off x="3741420" y="2049780"/>
          <a:ext cx="41148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3535680" y="2145030"/>
          <a:ext cx="20574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10</xdr:row>
      <xdr:rowOff>158750</xdr:rowOff>
    </xdr:from>
    <xdr:to>
      <xdr:col>9</xdr:col>
      <xdr:colOff>76200</xdr:colOff>
      <xdr:row>12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/>
      </xdr:nvSpPr>
      <xdr:spPr>
        <a:xfrm>
          <a:off x="3526155" y="2025650"/>
          <a:ext cx="291465" cy="23876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1524000" y="746760"/>
          <a:ext cx="1226820" cy="18288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2964180" y="1120140"/>
          <a:ext cx="571500" cy="18288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222250</xdr:colOff>
      <xdr:row>5</xdr:row>
      <xdr:rowOff>120650</xdr:rowOff>
    </xdr:from>
    <xdr:to>
      <xdr:col>7</xdr:col>
      <xdr:colOff>215214</xdr:colOff>
      <xdr:row>6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2965450" y="1050290"/>
          <a:ext cx="213944" cy="117475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2964180" y="1485900"/>
          <a:ext cx="571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3741420" y="1485900"/>
          <a:ext cx="41148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3535680" y="1676400"/>
          <a:ext cx="20574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8</xdr:row>
      <xdr:rowOff>73025</xdr:rowOff>
    </xdr:from>
    <xdr:to>
      <xdr:col>9</xdr:col>
      <xdr:colOff>76200</xdr:colOff>
      <xdr:row>9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3526155" y="1558925"/>
          <a:ext cx="291465" cy="24447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2964180" y="1866900"/>
          <a:ext cx="57150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/>
      </xdr:nvSpPr>
      <xdr:spPr>
        <a:xfrm>
          <a:off x="3741420" y="1866900"/>
          <a:ext cx="41148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3535680" y="1962150"/>
          <a:ext cx="20574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9</xdr:row>
      <xdr:rowOff>168275</xdr:rowOff>
    </xdr:from>
    <xdr:to>
      <xdr:col>9</xdr:col>
      <xdr:colOff>76200</xdr:colOff>
      <xdr:row>11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/>
      </xdr:nvSpPr>
      <xdr:spPr>
        <a:xfrm>
          <a:off x="3526155" y="1844675"/>
          <a:ext cx="291465" cy="23685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SpPr/>
      </xdr:nvSpPr>
      <xdr:spPr>
        <a:xfrm>
          <a:off x="2964180" y="2049780"/>
          <a:ext cx="57150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SpPr/>
      </xdr:nvSpPr>
      <xdr:spPr>
        <a:xfrm>
          <a:off x="3741420" y="2049780"/>
          <a:ext cx="41148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3535680" y="2145030"/>
          <a:ext cx="20574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10</xdr:row>
      <xdr:rowOff>158750</xdr:rowOff>
    </xdr:from>
    <xdr:to>
      <xdr:col>9</xdr:col>
      <xdr:colOff>76200</xdr:colOff>
      <xdr:row>12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SpPr/>
      </xdr:nvSpPr>
      <xdr:spPr>
        <a:xfrm>
          <a:off x="3526155" y="2025650"/>
          <a:ext cx="291465" cy="23876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1524000" y="746760"/>
          <a:ext cx="1226820" cy="18288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2964180" y="1120140"/>
          <a:ext cx="571500" cy="18288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222250</xdr:colOff>
      <xdr:row>5</xdr:row>
      <xdr:rowOff>120650</xdr:rowOff>
    </xdr:from>
    <xdr:to>
      <xdr:col>7</xdr:col>
      <xdr:colOff>215214</xdr:colOff>
      <xdr:row>6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2965450" y="1050290"/>
          <a:ext cx="213944" cy="117475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2964180" y="1485900"/>
          <a:ext cx="571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3741420" y="1485900"/>
          <a:ext cx="41148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3535680" y="1676400"/>
          <a:ext cx="20574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8</xdr:row>
      <xdr:rowOff>73025</xdr:rowOff>
    </xdr:from>
    <xdr:to>
      <xdr:col>9</xdr:col>
      <xdr:colOff>76200</xdr:colOff>
      <xdr:row>9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/>
      </xdr:nvSpPr>
      <xdr:spPr>
        <a:xfrm>
          <a:off x="3526155" y="1558925"/>
          <a:ext cx="291465" cy="24447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>
        <a:xfrm>
          <a:off x="2964180" y="1866900"/>
          <a:ext cx="57150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3741420" y="1866900"/>
          <a:ext cx="41148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3535680" y="1962150"/>
          <a:ext cx="20574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9</xdr:row>
      <xdr:rowOff>168275</xdr:rowOff>
    </xdr:from>
    <xdr:to>
      <xdr:col>9</xdr:col>
      <xdr:colOff>76200</xdr:colOff>
      <xdr:row>11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/>
      </xdr:nvSpPr>
      <xdr:spPr>
        <a:xfrm>
          <a:off x="3526155" y="1844675"/>
          <a:ext cx="291465" cy="23685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/>
      </xdr:nvSpPr>
      <xdr:spPr>
        <a:xfrm>
          <a:off x="2964180" y="2049780"/>
          <a:ext cx="57150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/>
      </xdr:nvSpPr>
      <xdr:spPr>
        <a:xfrm>
          <a:off x="3741420" y="2049780"/>
          <a:ext cx="41148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3535680" y="2145030"/>
          <a:ext cx="20574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10</xdr:row>
      <xdr:rowOff>158750</xdr:rowOff>
    </xdr:from>
    <xdr:to>
      <xdr:col>9</xdr:col>
      <xdr:colOff>76200</xdr:colOff>
      <xdr:row>12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/>
      </xdr:nvSpPr>
      <xdr:spPr>
        <a:xfrm>
          <a:off x="3526155" y="2025650"/>
          <a:ext cx="291465" cy="23876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1524000" y="746760"/>
          <a:ext cx="1226820" cy="18288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2964180" y="1120140"/>
          <a:ext cx="571500" cy="18288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222250</xdr:colOff>
      <xdr:row>5</xdr:row>
      <xdr:rowOff>120650</xdr:rowOff>
    </xdr:from>
    <xdr:to>
      <xdr:col>7</xdr:col>
      <xdr:colOff>215214</xdr:colOff>
      <xdr:row>6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2965450" y="1050290"/>
          <a:ext cx="213944" cy="117475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2964180" y="1485900"/>
          <a:ext cx="571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/>
      </xdr:nvSpPr>
      <xdr:spPr>
        <a:xfrm>
          <a:off x="3741420" y="1485900"/>
          <a:ext cx="41148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3535680" y="1676400"/>
          <a:ext cx="20574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8</xdr:row>
      <xdr:rowOff>73025</xdr:rowOff>
    </xdr:from>
    <xdr:to>
      <xdr:col>9</xdr:col>
      <xdr:colOff>76200</xdr:colOff>
      <xdr:row>9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SpPr/>
      </xdr:nvSpPr>
      <xdr:spPr>
        <a:xfrm>
          <a:off x="3526155" y="1558925"/>
          <a:ext cx="291465" cy="24447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SpPr/>
      </xdr:nvSpPr>
      <xdr:spPr>
        <a:xfrm>
          <a:off x="2964180" y="1866900"/>
          <a:ext cx="57150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SpPr/>
      </xdr:nvSpPr>
      <xdr:spPr>
        <a:xfrm>
          <a:off x="3741420" y="1866900"/>
          <a:ext cx="41148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3535680" y="1962150"/>
          <a:ext cx="20574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9</xdr:row>
      <xdr:rowOff>168275</xdr:rowOff>
    </xdr:from>
    <xdr:to>
      <xdr:col>9</xdr:col>
      <xdr:colOff>76200</xdr:colOff>
      <xdr:row>11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SpPr/>
      </xdr:nvSpPr>
      <xdr:spPr>
        <a:xfrm>
          <a:off x="3526155" y="1844675"/>
          <a:ext cx="291465" cy="23685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SpPr/>
      </xdr:nvSpPr>
      <xdr:spPr>
        <a:xfrm>
          <a:off x="2964180" y="2049780"/>
          <a:ext cx="57150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SpPr/>
      </xdr:nvSpPr>
      <xdr:spPr>
        <a:xfrm>
          <a:off x="3741420" y="2049780"/>
          <a:ext cx="41148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3535680" y="2145030"/>
          <a:ext cx="20574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10</xdr:row>
      <xdr:rowOff>158750</xdr:rowOff>
    </xdr:from>
    <xdr:to>
      <xdr:col>9</xdr:col>
      <xdr:colOff>76200</xdr:colOff>
      <xdr:row>12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SpPr/>
      </xdr:nvSpPr>
      <xdr:spPr>
        <a:xfrm>
          <a:off x="3526155" y="2025650"/>
          <a:ext cx="291465" cy="23876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524000" y="746760"/>
          <a:ext cx="1226820" cy="18288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2964180" y="1120140"/>
          <a:ext cx="571500" cy="18288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222250</xdr:colOff>
      <xdr:row>5</xdr:row>
      <xdr:rowOff>120650</xdr:rowOff>
    </xdr:from>
    <xdr:to>
      <xdr:col>7</xdr:col>
      <xdr:colOff>215214</xdr:colOff>
      <xdr:row>6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2965450" y="1050290"/>
          <a:ext cx="213944" cy="117475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2964180" y="1485900"/>
          <a:ext cx="571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3741420" y="1485900"/>
          <a:ext cx="41148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3535680" y="1676400"/>
          <a:ext cx="20574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8</xdr:row>
      <xdr:rowOff>73025</xdr:rowOff>
    </xdr:from>
    <xdr:to>
      <xdr:col>9</xdr:col>
      <xdr:colOff>76200</xdr:colOff>
      <xdr:row>9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SpPr/>
      </xdr:nvSpPr>
      <xdr:spPr>
        <a:xfrm>
          <a:off x="3526155" y="1558925"/>
          <a:ext cx="291465" cy="24447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SpPr/>
      </xdr:nvSpPr>
      <xdr:spPr>
        <a:xfrm>
          <a:off x="2964180" y="1866900"/>
          <a:ext cx="57150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/>
      </xdr:nvSpPr>
      <xdr:spPr>
        <a:xfrm>
          <a:off x="3741420" y="1866900"/>
          <a:ext cx="41148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3535680" y="1962150"/>
          <a:ext cx="20574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9</xdr:row>
      <xdr:rowOff>168275</xdr:rowOff>
    </xdr:from>
    <xdr:to>
      <xdr:col>9</xdr:col>
      <xdr:colOff>76200</xdr:colOff>
      <xdr:row>11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3526155" y="1844675"/>
          <a:ext cx="291465" cy="23685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0E00-00000D000000}"/>
            </a:ext>
          </a:extLst>
        </xdr:cNvPr>
        <xdr:cNvSpPr/>
      </xdr:nvSpPr>
      <xdr:spPr>
        <a:xfrm>
          <a:off x="2964180" y="2049780"/>
          <a:ext cx="57150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SpPr/>
      </xdr:nvSpPr>
      <xdr:spPr>
        <a:xfrm>
          <a:off x="3741420" y="2049780"/>
          <a:ext cx="41148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3535680" y="2145030"/>
          <a:ext cx="20574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10</xdr:row>
      <xdr:rowOff>158750</xdr:rowOff>
    </xdr:from>
    <xdr:to>
      <xdr:col>9</xdr:col>
      <xdr:colOff>76200</xdr:colOff>
      <xdr:row>12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SpPr/>
      </xdr:nvSpPr>
      <xdr:spPr>
        <a:xfrm>
          <a:off x="3526155" y="2025650"/>
          <a:ext cx="291465" cy="23876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1524000" y="746760"/>
          <a:ext cx="1226820" cy="18288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2964180" y="1120140"/>
          <a:ext cx="571500" cy="18288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222250</xdr:colOff>
      <xdr:row>5</xdr:row>
      <xdr:rowOff>120650</xdr:rowOff>
    </xdr:from>
    <xdr:to>
      <xdr:col>7</xdr:col>
      <xdr:colOff>215214</xdr:colOff>
      <xdr:row>6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2965450" y="1050290"/>
          <a:ext cx="213944" cy="117475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/>
      </xdr:nvSpPr>
      <xdr:spPr>
        <a:xfrm>
          <a:off x="2964180" y="1485900"/>
          <a:ext cx="571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/>
      </xdr:nvSpPr>
      <xdr:spPr>
        <a:xfrm>
          <a:off x="3741420" y="1485900"/>
          <a:ext cx="41148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3535680" y="1676400"/>
          <a:ext cx="20574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8</xdr:row>
      <xdr:rowOff>73025</xdr:rowOff>
    </xdr:from>
    <xdr:to>
      <xdr:col>9</xdr:col>
      <xdr:colOff>76200</xdr:colOff>
      <xdr:row>9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SpPr/>
      </xdr:nvSpPr>
      <xdr:spPr>
        <a:xfrm>
          <a:off x="3526155" y="1558925"/>
          <a:ext cx="291465" cy="24447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SpPr/>
      </xdr:nvSpPr>
      <xdr:spPr>
        <a:xfrm>
          <a:off x="2964180" y="1866900"/>
          <a:ext cx="57150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SpPr/>
      </xdr:nvSpPr>
      <xdr:spPr>
        <a:xfrm>
          <a:off x="3741420" y="1866900"/>
          <a:ext cx="41148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3535680" y="1962150"/>
          <a:ext cx="20574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9</xdr:row>
      <xdr:rowOff>168275</xdr:rowOff>
    </xdr:from>
    <xdr:to>
      <xdr:col>9</xdr:col>
      <xdr:colOff>76200</xdr:colOff>
      <xdr:row>11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SpPr/>
      </xdr:nvSpPr>
      <xdr:spPr>
        <a:xfrm>
          <a:off x="3526155" y="1844675"/>
          <a:ext cx="291465" cy="23685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2964180" y="2049780"/>
          <a:ext cx="57150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0F00-00000E000000}"/>
            </a:ext>
          </a:extLst>
        </xdr:cNvPr>
        <xdr:cNvSpPr/>
      </xdr:nvSpPr>
      <xdr:spPr>
        <a:xfrm>
          <a:off x="3741420" y="2049780"/>
          <a:ext cx="41148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3535680" y="2145030"/>
          <a:ext cx="20574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10</xdr:row>
      <xdr:rowOff>158750</xdr:rowOff>
    </xdr:from>
    <xdr:to>
      <xdr:col>9</xdr:col>
      <xdr:colOff>76200</xdr:colOff>
      <xdr:row>12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SpPr/>
      </xdr:nvSpPr>
      <xdr:spPr>
        <a:xfrm>
          <a:off x="3526155" y="2025650"/>
          <a:ext cx="291465" cy="23876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1524000" y="746760"/>
          <a:ext cx="1226820" cy="18288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2964180" y="1120140"/>
          <a:ext cx="571500" cy="18288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222250</xdr:colOff>
      <xdr:row>5</xdr:row>
      <xdr:rowOff>120650</xdr:rowOff>
    </xdr:from>
    <xdr:to>
      <xdr:col>7</xdr:col>
      <xdr:colOff>215214</xdr:colOff>
      <xdr:row>6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2965450" y="1050290"/>
          <a:ext cx="213944" cy="117475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2964180" y="1485900"/>
          <a:ext cx="571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SpPr/>
      </xdr:nvSpPr>
      <xdr:spPr>
        <a:xfrm>
          <a:off x="3741420" y="1485900"/>
          <a:ext cx="41148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3535680" y="1676400"/>
          <a:ext cx="20574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8</xdr:row>
      <xdr:rowOff>73025</xdr:rowOff>
    </xdr:from>
    <xdr:to>
      <xdr:col>9</xdr:col>
      <xdr:colOff>76200</xdr:colOff>
      <xdr:row>9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SpPr/>
      </xdr:nvSpPr>
      <xdr:spPr>
        <a:xfrm>
          <a:off x="3526155" y="1558925"/>
          <a:ext cx="291465" cy="24447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1000-000009000000}"/>
            </a:ext>
          </a:extLst>
        </xdr:cNvPr>
        <xdr:cNvSpPr/>
      </xdr:nvSpPr>
      <xdr:spPr>
        <a:xfrm>
          <a:off x="2964180" y="1866900"/>
          <a:ext cx="57150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SpPr/>
      </xdr:nvSpPr>
      <xdr:spPr>
        <a:xfrm>
          <a:off x="3741420" y="1866900"/>
          <a:ext cx="41148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3535680" y="1962150"/>
          <a:ext cx="20574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9</xdr:row>
      <xdr:rowOff>168275</xdr:rowOff>
    </xdr:from>
    <xdr:to>
      <xdr:col>9</xdr:col>
      <xdr:colOff>76200</xdr:colOff>
      <xdr:row>11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1000-00000C000000}"/>
            </a:ext>
          </a:extLst>
        </xdr:cNvPr>
        <xdr:cNvSpPr/>
      </xdr:nvSpPr>
      <xdr:spPr>
        <a:xfrm>
          <a:off x="3526155" y="1844675"/>
          <a:ext cx="291465" cy="23685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1000-00000D000000}"/>
            </a:ext>
          </a:extLst>
        </xdr:cNvPr>
        <xdr:cNvSpPr/>
      </xdr:nvSpPr>
      <xdr:spPr>
        <a:xfrm>
          <a:off x="2964180" y="2049780"/>
          <a:ext cx="57150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3741420" y="2049780"/>
          <a:ext cx="41148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10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3535680" y="2145030"/>
          <a:ext cx="20574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10</xdr:row>
      <xdr:rowOff>158750</xdr:rowOff>
    </xdr:from>
    <xdr:to>
      <xdr:col>9</xdr:col>
      <xdr:colOff>76200</xdr:colOff>
      <xdr:row>12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SpPr/>
      </xdr:nvSpPr>
      <xdr:spPr>
        <a:xfrm>
          <a:off x="3526155" y="2025650"/>
          <a:ext cx="291465" cy="23876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524000" y="746760"/>
          <a:ext cx="1226820" cy="18288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2964180" y="1120140"/>
          <a:ext cx="571500" cy="18288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222250</xdr:colOff>
      <xdr:row>5</xdr:row>
      <xdr:rowOff>120650</xdr:rowOff>
    </xdr:from>
    <xdr:to>
      <xdr:col>7</xdr:col>
      <xdr:colOff>215214</xdr:colOff>
      <xdr:row>6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2965450" y="1050290"/>
          <a:ext cx="213944" cy="117475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/>
      </xdr:nvSpPr>
      <xdr:spPr>
        <a:xfrm>
          <a:off x="2964180" y="1485900"/>
          <a:ext cx="571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/>
      </xdr:nvSpPr>
      <xdr:spPr>
        <a:xfrm>
          <a:off x="3741420" y="1485900"/>
          <a:ext cx="41148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3535680" y="1676400"/>
          <a:ext cx="20574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8</xdr:row>
      <xdr:rowOff>73025</xdr:rowOff>
    </xdr:from>
    <xdr:to>
      <xdr:col>9</xdr:col>
      <xdr:colOff>76200</xdr:colOff>
      <xdr:row>9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SpPr/>
      </xdr:nvSpPr>
      <xdr:spPr>
        <a:xfrm>
          <a:off x="3526155" y="1558925"/>
          <a:ext cx="291465" cy="24447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SpPr/>
      </xdr:nvSpPr>
      <xdr:spPr>
        <a:xfrm>
          <a:off x="2964180" y="1866900"/>
          <a:ext cx="57150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SpPr/>
      </xdr:nvSpPr>
      <xdr:spPr>
        <a:xfrm>
          <a:off x="3741420" y="1866900"/>
          <a:ext cx="41148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3535680" y="1962150"/>
          <a:ext cx="20574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9</xdr:row>
      <xdr:rowOff>168275</xdr:rowOff>
    </xdr:from>
    <xdr:to>
      <xdr:col>9</xdr:col>
      <xdr:colOff>76200</xdr:colOff>
      <xdr:row>11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SpPr/>
      </xdr:nvSpPr>
      <xdr:spPr>
        <a:xfrm>
          <a:off x="3526155" y="1844675"/>
          <a:ext cx="291465" cy="23685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1100-00000D000000}"/>
            </a:ext>
          </a:extLst>
        </xdr:cNvPr>
        <xdr:cNvSpPr/>
      </xdr:nvSpPr>
      <xdr:spPr>
        <a:xfrm>
          <a:off x="2964180" y="2049780"/>
          <a:ext cx="57150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1100-00000E000000}"/>
            </a:ext>
          </a:extLst>
        </xdr:cNvPr>
        <xdr:cNvSpPr/>
      </xdr:nvSpPr>
      <xdr:spPr>
        <a:xfrm>
          <a:off x="3741420" y="2049780"/>
          <a:ext cx="41148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3535680" y="2145030"/>
          <a:ext cx="20574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10</xdr:row>
      <xdr:rowOff>158750</xdr:rowOff>
    </xdr:from>
    <xdr:to>
      <xdr:col>9</xdr:col>
      <xdr:colOff>76200</xdr:colOff>
      <xdr:row>12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1100-000010000000}"/>
            </a:ext>
          </a:extLst>
        </xdr:cNvPr>
        <xdr:cNvSpPr/>
      </xdr:nvSpPr>
      <xdr:spPr>
        <a:xfrm>
          <a:off x="3526155" y="2025650"/>
          <a:ext cx="291465" cy="23876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1524000" y="746760"/>
          <a:ext cx="1226820" cy="18288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2964180" y="1120140"/>
          <a:ext cx="571500" cy="18288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222250</xdr:colOff>
      <xdr:row>5</xdr:row>
      <xdr:rowOff>120650</xdr:rowOff>
    </xdr:from>
    <xdr:to>
      <xdr:col>7</xdr:col>
      <xdr:colOff>215214</xdr:colOff>
      <xdr:row>6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2965450" y="1050290"/>
          <a:ext cx="213944" cy="117475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/>
      </xdr:nvSpPr>
      <xdr:spPr>
        <a:xfrm>
          <a:off x="2964180" y="1485900"/>
          <a:ext cx="571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/>
      </xdr:nvSpPr>
      <xdr:spPr>
        <a:xfrm>
          <a:off x="3741420" y="1485900"/>
          <a:ext cx="41148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3535680" y="1676400"/>
          <a:ext cx="20574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8</xdr:row>
      <xdr:rowOff>73025</xdr:rowOff>
    </xdr:from>
    <xdr:to>
      <xdr:col>9</xdr:col>
      <xdr:colOff>76200</xdr:colOff>
      <xdr:row>9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SpPr/>
      </xdr:nvSpPr>
      <xdr:spPr>
        <a:xfrm>
          <a:off x="3526155" y="1558925"/>
          <a:ext cx="291465" cy="24447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SpPr/>
      </xdr:nvSpPr>
      <xdr:spPr>
        <a:xfrm>
          <a:off x="2964180" y="1866900"/>
          <a:ext cx="57150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1200-00000A000000}"/>
            </a:ext>
          </a:extLst>
        </xdr:cNvPr>
        <xdr:cNvSpPr/>
      </xdr:nvSpPr>
      <xdr:spPr>
        <a:xfrm>
          <a:off x="3741420" y="1866900"/>
          <a:ext cx="41148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12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3535680" y="1962150"/>
          <a:ext cx="20574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9</xdr:row>
      <xdr:rowOff>168275</xdr:rowOff>
    </xdr:from>
    <xdr:to>
      <xdr:col>9</xdr:col>
      <xdr:colOff>76200</xdr:colOff>
      <xdr:row>11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3526155" y="1844675"/>
          <a:ext cx="291465" cy="23685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1200-00000D000000}"/>
            </a:ext>
          </a:extLst>
        </xdr:cNvPr>
        <xdr:cNvSpPr/>
      </xdr:nvSpPr>
      <xdr:spPr>
        <a:xfrm>
          <a:off x="2964180" y="2049780"/>
          <a:ext cx="57150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1200-00000E000000}"/>
            </a:ext>
          </a:extLst>
        </xdr:cNvPr>
        <xdr:cNvSpPr/>
      </xdr:nvSpPr>
      <xdr:spPr>
        <a:xfrm>
          <a:off x="3741420" y="2049780"/>
          <a:ext cx="41148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3535680" y="2145030"/>
          <a:ext cx="20574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10</xdr:row>
      <xdr:rowOff>158750</xdr:rowOff>
    </xdr:from>
    <xdr:to>
      <xdr:col>9</xdr:col>
      <xdr:colOff>76200</xdr:colOff>
      <xdr:row>12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3526155" y="2025650"/>
          <a:ext cx="291465" cy="23876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1524000" y="746760"/>
          <a:ext cx="1226820" cy="18288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2964180" y="1120140"/>
          <a:ext cx="571500" cy="18288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222250</xdr:colOff>
      <xdr:row>5</xdr:row>
      <xdr:rowOff>120650</xdr:rowOff>
    </xdr:from>
    <xdr:to>
      <xdr:col>7</xdr:col>
      <xdr:colOff>215214</xdr:colOff>
      <xdr:row>6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/>
      </xdr:nvSpPr>
      <xdr:spPr>
        <a:xfrm>
          <a:off x="2965450" y="1050290"/>
          <a:ext cx="213944" cy="117475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2964180" y="1485900"/>
          <a:ext cx="571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SpPr/>
      </xdr:nvSpPr>
      <xdr:spPr>
        <a:xfrm>
          <a:off x="3741420" y="1485900"/>
          <a:ext cx="41148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3535680" y="1676400"/>
          <a:ext cx="20574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8</xdr:row>
      <xdr:rowOff>73025</xdr:rowOff>
    </xdr:from>
    <xdr:to>
      <xdr:col>9</xdr:col>
      <xdr:colOff>76200</xdr:colOff>
      <xdr:row>9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1300-000008000000}"/>
            </a:ext>
          </a:extLst>
        </xdr:cNvPr>
        <xdr:cNvSpPr/>
      </xdr:nvSpPr>
      <xdr:spPr>
        <a:xfrm>
          <a:off x="3526155" y="1558925"/>
          <a:ext cx="291465" cy="24447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SpPr/>
      </xdr:nvSpPr>
      <xdr:spPr>
        <a:xfrm>
          <a:off x="2964180" y="1866900"/>
          <a:ext cx="57150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SpPr/>
      </xdr:nvSpPr>
      <xdr:spPr>
        <a:xfrm>
          <a:off x="3741420" y="1866900"/>
          <a:ext cx="41148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13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3535680" y="1962150"/>
          <a:ext cx="20574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9</xdr:row>
      <xdr:rowOff>168275</xdr:rowOff>
    </xdr:from>
    <xdr:to>
      <xdr:col>9</xdr:col>
      <xdr:colOff>76200</xdr:colOff>
      <xdr:row>11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1300-00000C000000}"/>
            </a:ext>
          </a:extLst>
        </xdr:cNvPr>
        <xdr:cNvSpPr/>
      </xdr:nvSpPr>
      <xdr:spPr>
        <a:xfrm>
          <a:off x="3526155" y="1844675"/>
          <a:ext cx="291465" cy="23685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1300-00000D000000}"/>
            </a:ext>
          </a:extLst>
        </xdr:cNvPr>
        <xdr:cNvSpPr/>
      </xdr:nvSpPr>
      <xdr:spPr>
        <a:xfrm>
          <a:off x="2964180" y="2049780"/>
          <a:ext cx="57150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1300-00000E000000}"/>
            </a:ext>
          </a:extLst>
        </xdr:cNvPr>
        <xdr:cNvSpPr/>
      </xdr:nvSpPr>
      <xdr:spPr>
        <a:xfrm>
          <a:off x="3741420" y="2049780"/>
          <a:ext cx="41148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13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3535680" y="2145030"/>
          <a:ext cx="20574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10</xdr:row>
      <xdr:rowOff>158750</xdr:rowOff>
    </xdr:from>
    <xdr:to>
      <xdr:col>9</xdr:col>
      <xdr:colOff>76200</xdr:colOff>
      <xdr:row>12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1300-000010000000}"/>
            </a:ext>
          </a:extLst>
        </xdr:cNvPr>
        <xdr:cNvSpPr/>
      </xdr:nvSpPr>
      <xdr:spPr>
        <a:xfrm>
          <a:off x="3526155" y="2025650"/>
          <a:ext cx="291465" cy="23876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1524000" y="746760"/>
          <a:ext cx="1226820" cy="18288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2964180" y="1120140"/>
          <a:ext cx="571500" cy="18288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222250</xdr:colOff>
      <xdr:row>5</xdr:row>
      <xdr:rowOff>120650</xdr:rowOff>
    </xdr:from>
    <xdr:to>
      <xdr:col>7</xdr:col>
      <xdr:colOff>215214</xdr:colOff>
      <xdr:row>6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/>
      </xdr:nvSpPr>
      <xdr:spPr>
        <a:xfrm>
          <a:off x="2965450" y="1050290"/>
          <a:ext cx="213944" cy="117475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SpPr/>
      </xdr:nvSpPr>
      <xdr:spPr>
        <a:xfrm>
          <a:off x="2964180" y="1485900"/>
          <a:ext cx="571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SpPr/>
      </xdr:nvSpPr>
      <xdr:spPr>
        <a:xfrm>
          <a:off x="3741420" y="1485900"/>
          <a:ext cx="41148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3535680" y="1676400"/>
          <a:ext cx="20574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8</xdr:row>
      <xdr:rowOff>73025</xdr:rowOff>
    </xdr:from>
    <xdr:to>
      <xdr:col>9</xdr:col>
      <xdr:colOff>76200</xdr:colOff>
      <xdr:row>9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SpPr/>
      </xdr:nvSpPr>
      <xdr:spPr>
        <a:xfrm>
          <a:off x="3526155" y="1558925"/>
          <a:ext cx="291465" cy="24447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SpPr/>
      </xdr:nvSpPr>
      <xdr:spPr>
        <a:xfrm>
          <a:off x="2964180" y="1866900"/>
          <a:ext cx="57150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SpPr/>
      </xdr:nvSpPr>
      <xdr:spPr>
        <a:xfrm>
          <a:off x="3741420" y="1866900"/>
          <a:ext cx="41148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14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3535680" y="1962150"/>
          <a:ext cx="20574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9</xdr:row>
      <xdr:rowOff>168275</xdr:rowOff>
    </xdr:from>
    <xdr:to>
      <xdr:col>9</xdr:col>
      <xdr:colOff>76200</xdr:colOff>
      <xdr:row>11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3526155" y="1844675"/>
          <a:ext cx="291465" cy="23685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SpPr/>
      </xdr:nvSpPr>
      <xdr:spPr>
        <a:xfrm>
          <a:off x="2964180" y="2049780"/>
          <a:ext cx="57150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SpPr/>
      </xdr:nvSpPr>
      <xdr:spPr>
        <a:xfrm>
          <a:off x="3741420" y="2049780"/>
          <a:ext cx="41148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3535680" y="2145030"/>
          <a:ext cx="20574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10</xdr:row>
      <xdr:rowOff>158750</xdr:rowOff>
    </xdr:from>
    <xdr:to>
      <xdr:col>9</xdr:col>
      <xdr:colOff>76200</xdr:colOff>
      <xdr:row>12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SpPr/>
      </xdr:nvSpPr>
      <xdr:spPr>
        <a:xfrm>
          <a:off x="3526155" y="2025650"/>
          <a:ext cx="291465" cy="23876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1524000" y="746760"/>
          <a:ext cx="1226820" cy="18288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2964180" y="1120140"/>
          <a:ext cx="571500" cy="18288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222250</xdr:colOff>
      <xdr:row>5</xdr:row>
      <xdr:rowOff>120650</xdr:rowOff>
    </xdr:from>
    <xdr:to>
      <xdr:col>7</xdr:col>
      <xdr:colOff>215214</xdr:colOff>
      <xdr:row>6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/>
      </xdr:nvSpPr>
      <xdr:spPr>
        <a:xfrm>
          <a:off x="2965450" y="1050290"/>
          <a:ext cx="213944" cy="117475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SpPr/>
      </xdr:nvSpPr>
      <xdr:spPr>
        <a:xfrm>
          <a:off x="2964180" y="1485900"/>
          <a:ext cx="571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SpPr/>
      </xdr:nvSpPr>
      <xdr:spPr>
        <a:xfrm>
          <a:off x="3741420" y="1485900"/>
          <a:ext cx="41148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3535680" y="1676400"/>
          <a:ext cx="20574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8</xdr:row>
      <xdr:rowOff>73025</xdr:rowOff>
    </xdr:from>
    <xdr:to>
      <xdr:col>9</xdr:col>
      <xdr:colOff>76200</xdr:colOff>
      <xdr:row>9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SpPr/>
      </xdr:nvSpPr>
      <xdr:spPr>
        <a:xfrm>
          <a:off x="3526155" y="1558925"/>
          <a:ext cx="291465" cy="24447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1500-000009000000}"/>
            </a:ext>
          </a:extLst>
        </xdr:cNvPr>
        <xdr:cNvSpPr/>
      </xdr:nvSpPr>
      <xdr:spPr>
        <a:xfrm>
          <a:off x="2964180" y="1866900"/>
          <a:ext cx="57150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1500-00000A000000}"/>
            </a:ext>
          </a:extLst>
        </xdr:cNvPr>
        <xdr:cNvSpPr/>
      </xdr:nvSpPr>
      <xdr:spPr>
        <a:xfrm>
          <a:off x="3741420" y="1866900"/>
          <a:ext cx="41148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15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3535680" y="1962150"/>
          <a:ext cx="20574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9</xdr:row>
      <xdr:rowOff>168275</xdr:rowOff>
    </xdr:from>
    <xdr:to>
      <xdr:col>9</xdr:col>
      <xdr:colOff>76200</xdr:colOff>
      <xdr:row>11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1500-00000C000000}"/>
            </a:ext>
          </a:extLst>
        </xdr:cNvPr>
        <xdr:cNvSpPr/>
      </xdr:nvSpPr>
      <xdr:spPr>
        <a:xfrm>
          <a:off x="3526155" y="1844675"/>
          <a:ext cx="291465" cy="23685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1500-00000D000000}"/>
            </a:ext>
          </a:extLst>
        </xdr:cNvPr>
        <xdr:cNvSpPr/>
      </xdr:nvSpPr>
      <xdr:spPr>
        <a:xfrm>
          <a:off x="2964180" y="2049780"/>
          <a:ext cx="57150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1500-00000E000000}"/>
            </a:ext>
          </a:extLst>
        </xdr:cNvPr>
        <xdr:cNvSpPr/>
      </xdr:nvSpPr>
      <xdr:spPr>
        <a:xfrm>
          <a:off x="3741420" y="2049780"/>
          <a:ext cx="41148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15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3535680" y="2145030"/>
          <a:ext cx="20574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10</xdr:row>
      <xdr:rowOff>158750</xdr:rowOff>
    </xdr:from>
    <xdr:to>
      <xdr:col>9</xdr:col>
      <xdr:colOff>76200</xdr:colOff>
      <xdr:row>12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1500-000010000000}"/>
            </a:ext>
          </a:extLst>
        </xdr:cNvPr>
        <xdr:cNvSpPr/>
      </xdr:nvSpPr>
      <xdr:spPr>
        <a:xfrm>
          <a:off x="3526155" y="2025650"/>
          <a:ext cx="291465" cy="23876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1524000" y="746760"/>
          <a:ext cx="1226820" cy="18288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2964180" y="1120140"/>
          <a:ext cx="571500" cy="18288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222250</xdr:colOff>
      <xdr:row>5</xdr:row>
      <xdr:rowOff>120650</xdr:rowOff>
    </xdr:from>
    <xdr:to>
      <xdr:col>7</xdr:col>
      <xdr:colOff>215214</xdr:colOff>
      <xdr:row>6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SpPr/>
      </xdr:nvSpPr>
      <xdr:spPr>
        <a:xfrm>
          <a:off x="2965450" y="1050290"/>
          <a:ext cx="213944" cy="117475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SpPr/>
      </xdr:nvSpPr>
      <xdr:spPr>
        <a:xfrm>
          <a:off x="2964180" y="1485900"/>
          <a:ext cx="571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SpPr/>
      </xdr:nvSpPr>
      <xdr:spPr>
        <a:xfrm>
          <a:off x="3741420" y="1485900"/>
          <a:ext cx="41148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3535680" y="1676400"/>
          <a:ext cx="20574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8</xdr:row>
      <xdr:rowOff>73025</xdr:rowOff>
    </xdr:from>
    <xdr:to>
      <xdr:col>9</xdr:col>
      <xdr:colOff>76200</xdr:colOff>
      <xdr:row>9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SpPr/>
      </xdr:nvSpPr>
      <xdr:spPr>
        <a:xfrm>
          <a:off x="3526155" y="1558925"/>
          <a:ext cx="291465" cy="24447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SpPr/>
      </xdr:nvSpPr>
      <xdr:spPr>
        <a:xfrm>
          <a:off x="2964180" y="1866900"/>
          <a:ext cx="57150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1600-00000A000000}"/>
            </a:ext>
          </a:extLst>
        </xdr:cNvPr>
        <xdr:cNvSpPr/>
      </xdr:nvSpPr>
      <xdr:spPr>
        <a:xfrm>
          <a:off x="3741420" y="1866900"/>
          <a:ext cx="41148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16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3535680" y="1962150"/>
          <a:ext cx="20574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9</xdr:row>
      <xdr:rowOff>168275</xdr:rowOff>
    </xdr:from>
    <xdr:to>
      <xdr:col>9</xdr:col>
      <xdr:colOff>76200</xdr:colOff>
      <xdr:row>11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1600-00000C000000}"/>
            </a:ext>
          </a:extLst>
        </xdr:cNvPr>
        <xdr:cNvSpPr/>
      </xdr:nvSpPr>
      <xdr:spPr>
        <a:xfrm>
          <a:off x="3526155" y="1844675"/>
          <a:ext cx="291465" cy="23685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1600-00000D000000}"/>
            </a:ext>
          </a:extLst>
        </xdr:cNvPr>
        <xdr:cNvSpPr/>
      </xdr:nvSpPr>
      <xdr:spPr>
        <a:xfrm>
          <a:off x="2964180" y="2049780"/>
          <a:ext cx="57150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1600-00000E000000}"/>
            </a:ext>
          </a:extLst>
        </xdr:cNvPr>
        <xdr:cNvSpPr/>
      </xdr:nvSpPr>
      <xdr:spPr>
        <a:xfrm>
          <a:off x="3741420" y="2049780"/>
          <a:ext cx="41148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16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3535680" y="2145030"/>
          <a:ext cx="20574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10</xdr:row>
      <xdr:rowOff>158750</xdr:rowOff>
    </xdr:from>
    <xdr:to>
      <xdr:col>9</xdr:col>
      <xdr:colOff>76200</xdr:colOff>
      <xdr:row>12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1600-000010000000}"/>
            </a:ext>
          </a:extLst>
        </xdr:cNvPr>
        <xdr:cNvSpPr/>
      </xdr:nvSpPr>
      <xdr:spPr>
        <a:xfrm>
          <a:off x="3526155" y="2025650"/>
          <a:ext cx="291465" cy="23876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1524000" y="746760"/>
          <a:ext cx="1226820" cy="18288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2964180" y="1120140"/>
          <a:ext cx="571500" cy="18288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222250</xdr:colOff>
      <xdr:row>5</xdr:row>
      <xdr:rowOff>120650</xdr:rowOff>
    </xdr:from>
    <xdr:to>
      <xdr:col>7</xdr:col>
      <xdr:colOff>215214</xdr:colOff>
      <xdr:row>6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/>
      </xdr:nvSpPr>
      <xdr:spPr>
        <a:xfrm>
          <a:off x="2965450" y="1050290"/>
          <a:ext cx="213944" cy="117475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SpPr/>
      </xdr:nvSpPr>
      <xdr:spPr>
        <a:xfrm>
          <a:off x="2964180" y="1485900"/>
          <a:ext cx="571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SpPr/>
      </xdr:nvSpPr>
      <xdr:spPr>
        <a:xfrm>
          <a:off x="3741420" y="1485900"/>
          <a:ext cx="41148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17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3535680" y="1676400"/>
          <a:ext cx="20574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8</xdr:row>
      <xdr:rowOff>73025</xdr:rowOff>
    </xdr:from>
    <xdr:to>
      <xdr:col>9</xdr:col>
      <xdr:colOff>76200</xdr:colOff>
      <xdr:row>9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1700-000008000000}"/>
            </a:ext>
          </a:extLst>
        </xdr:cNvPr>
        <xdr:cNvSpPr/>
      </xdr:nvSpPr>
      <xdr:spPr>
        <a:xfrm>
          <a:off x="3526155" y="1558925"/>
          <a:ext cx="291465" cy="24447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1700-000009000000}"/>
            </a:ext>
          </a:extLst>
        </xdr:cNvPr>
        <xdr:cNvSpPr/>
      </xdr:nvSpPr>
      <xdr:spPr>
        <a:xfrm>
          <a:off x="2964180" y="1866900"/>
          <a:ext cx="57150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SpPr/>
      </xdr:nvSpPr>
      <xdr:spPr>
        <a:xfrm>
          <a:off x="3741420" y="1866900"/>
          <a:ext cx="41148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3535680" y="1962150"/>
          <a:ext cx="20574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9</xdr:row>
      <xdr:rowOff>168275</xdr:rowOff>
    </xdr:from>
    <xdr:to>
      <xdr:col>9</xdr:col>
      <xdr:colOff>76200</xdr:colOff>
      <xdr:row>11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1700-00000C000000}"/>
            </a:ext>
          </a:extLst>
        </xdr:cNvPr>
        <xdr:cNvSpPr/>
      </xdr:nvSpPr>
      <xdr:spPr>
        <a:xfrm>
          <a:off x="3526155" y="1844675"/>
          <a:ext cx="291465" cy="23685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1700-00000D000000}"/>
            </a:ext>
          </a:extLst>
        </xdr:cNvPr>
        <xdr:cNvSpPr/>
      </xdr:nvSpPr>
      <xdr:spPr>
        <a:xfrm>
          <a:off x="2964180" y="2049780"/>
          <a:ext cx="57150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1700-00000E000000}"/>
            </a:ext>
          </a:extLst>
        </xdr:cNvPr>
        <xdr:cNvSpPr/>
      </xdr:nvSpPr>
      <xdr:spPr>
        <a:xfrm>
          <a:off x="3741420" y="2049780"/>
          <a:ext cx="41148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17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3535680" y="2145030"/>
          <a:ext cx="20574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10</xdr:row>
      <xdr:rowOff>158750</xdr:rowOff>
    </xdr:from>
    <xdr:to>
      <xdr:col>9</xdr:col>
      <xdr:colOff>76200</xdr:colOff>
      <xdr:row>12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1700-000010000000}"/>
            </a:ext>
          </a:extLst>
        </xdr:cNvPr>
        <xdr:cNvSpPr/>
      </xdr:nvSpPr>
      <xdr:spPr>
        <a:xfrm>
          <a:off x="3526155" y="2025650"/>
          <a:ext cx="291465" cy="23876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524000" y="746760"/>
          <a:ext cx="1226820" cy="18288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2964180" y="1120140"/>
          <a:ext cx="571500" cy="18288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222250</xdr:colOff>
      <xdr:row>5</xdr:row>
      <xdr:rowOff>120650</xdr:rowOff>
    </xdr:from>
    <xdr:to>
      <xdr:col>7</xdr:col>
      <xdr:colOff>215214</xdr:colOff>
      <xdr:row>6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2965450" y="1050290"/>
          <a:ext cx="213944" cy="117475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/>
      </xdr:nvSpPr>
      <xdr:spPr>
        <a:xfrm>
          <a:off x="2964180" y="1485900"/>
          <a:ext cx="571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SpPr/>
      </xdr:nvSpPr>
      <xdr:spPr>
        <a:xfrm>
          <a:off x="3741420" y="1485900"/>
          <a:ext cx="41148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3535680" y="1676400"/>
          <a:ext cx="20574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8</xdr:row>
      <xdr:rowOff>73025</xdr:rowOff>
    </xdr:from>
    <xdr:to>
      <xdr:col>9</xdr:col>
      <xdr:colOff>76200</xdr:colOff>
      <xdr:row>9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1800-000008000000}"/>
            </a:ext>
          </a:extLst>
        </xdr:cNvPr>
        <xdr:cNvSpPr/>
      </xdr:nvSpPr>
      <xdr:spPr>
        <a:xfrm>
          <a:off x="3526155" y="1558925"/>
          <a:ext cx="291465" cy="24447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1800-000009000000}"/>
            </a:ext>
          </a:extLst>
        </xdr:cNvPr>
        <xdr:cNvSpPr/>
      </xdr:nvSpPr>
      <xdr:spPr>
        <a:xfrm>
          <a:off x="2964180" y="1866900"/>
          <a:ext cx="57150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1800-00000A000000}"/>
            </a:ext>
          </a:extLst>
        </xdr:cNvPr>
        <xdr:cNvSpPr/>
      </xdr:nvSpPr>
      <xdr:spPr>
        <a:xfrm>
          <a:off x="3741420" y="1866900"/>
          <a:ext cx="41148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18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3535680" y="1962150"/>
          <a:ext cx="20574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9</xdr:row>
      <xdr:rowOff>168275</xdr:rowOff>
    </xdr:from>
    <xdr:to>
      <xdr:col>9</xdr:col>
      <xdr:colOff>76200</xdr:colOff>
      <xdr:row>11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1800-00000C000000}"/>
            </a:ext>
          </a:extLst>
        </xdr:cNvPr>
        <xdr:cNvSpPr/>
      </xdr:nvSpPr>
      <xdr:spPr>
        <a:xfrm>
          <a:off x="3526155" y="1844675"/>
          <a:ext cx="291465" cy="23685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1800-00000D000000}"/>
            </a:ext>
          </a:extLst>
        </xdr:cNvPr>
        <xdr:cNvSpPr/>
      </xdr:nvSpPr>
      <xdr:spPr>
        <a:xfrm>
          <a:off x="2964180" y="2049780"/>
          <a:ext cx="57150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1800-00000E000000}"/>
            </a:ext>
          </a:extLst>
        </xdr:cNvPr>
        <xdr:cNvSpPr/>
      </xdr:nvSpPr>
      <xdr:spPr>
        <a:xfrm>
          <a:off x="3741420" y="2049780"/>
          <a:ext cx="41148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18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3535680" y="2145030"/>
          <a:ext cx="20574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10</xdr:row>
      <xdr:rowOff>158750</xdr:rowOff>
    </xdr:from>
    <xdr:to>
      <xdr:col>9</xdr:col>
      <xdr:colOff>76200</xdr:colOff>
      <xdr:row>12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1800-000010000000}"/>
            </a:ext>
          </a:extLst>
        </xdr:cNvPr>
        <xdr:cNvSpPr/>
      </xdr:nvSpPr>
      <xdr:spPr>
        <a:xfrm>
          <a:off x="3526155" y="2025650"/>
          <a:ext cx="291465" cy="23876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1524000" y="746760"/>
          <a:ext cx="1226820" cy="18288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/>
      </xdr:nvSpPr>
      <xdr:spPr>
        <a:xfrm>
          <a:off x="2964180" y="1120140"/>
          <a:ext cx="571500" cy="18288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222250</xdr:colOff>
      <xdr:row>5</xdr:row>
      <xdr:rowOff>120650</xdr:rowOff>
    </xdr:from>
    <xdr:to>
      <xdr:col>7</xdr:col>
      <xdr:colOff>215214</xdr:colOff>
      <xdr:row>6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SpPr/>
      </xdr:nvSpPr>
      <xdr:spPr>
        <a:xfrm>
          <a:off x="2965450" y="1050290"/>
          <a:ext cx="213944" cy="117475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SpPr/>
      </xdr:nvSpPr>
      <xdr:spPr>
        <a:xfrm>
          <a:off x="2964180" y="1485900"/>
          <a:ext cx="571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SpPr/>
      </xdr:nvSpPr>
      <xdr:spPr>
        <a:xfrm>
          <a:off x="3741420" y="1485900"/>
          <a:ext cx="41148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3535680" y="1676400"/>
          <a:ext cx="20574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8</xdr:row>
      <xdr:rowOff>73025</xdr:rowOff>
    </xdr:from>
    <xdr:to>
      <xdr:col>9</xdr:col>
      <xdr:colOff>76200</xdr:colOff>
      <xdr:row>9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1900-000008000000}"/>
            </a:ext>
          </a:extLst>
        </xdr:cNvPr>
        <xdr:cNvSpPr/>
      </xdr:nvSpPr>
      <xdr:spPr>
        <a:xfrm>
          <a:off x="3526155" y="1558925"/>
          <a:ext cx="291465" cy="24447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1900-000009000000}"/>
            </a:ext>
          </a:extLst>
        </xdr:cNvPr>
        <xdr:cNvSpPr/>
      </xdr:nvSpPr>
      <xdr:spPr>
        <a:xfrm>
          <a:off x="2964180" y="1866900"/>
          <a:ext cx="57150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1900-00000A000000}"/>
            </a:ext>
          </a:extLst>
        </xdr:cNvPr>
        <xdr:cNvSpPr/>
      </xdr:nvSpPr>
      <xdr:spPr>
        <a:xfrm>
          <a:off x="3741420" y="1866900"/>
          <a:ext cx="41148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19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3535680" y="1962150"/>
          <a:ext cx="20574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9</xdr:row>
      <xdr:rowOff>168275</xdr:rowOff>
    </xdr:from>
    <xdr:to>
      <xdr:col>9</xdr:col>
      <xdr:colOff>76200</xdr:colOff>
      <xdr:row>11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1900-00000C000000}"/>
            </a:ext>
          </a:extLst>
        </xdr:cNvPr>
        <xdr:cNvSpPr/>
      </xdr:nvSpPr>
      <xdr:spPr>
        <a:xfrm>
          <a:off x="3526155" y="1844675"/>
          <a:ext cx="291465" cy="23685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1900-00000D000000}"/>
            </a:ext>
          </a:extLst>
        </xdr:cNvPr>
        <xdr:cNvSpPr/>
      </xdr:nvSpPr>
      <xdr:spPr>
        <a:xfrm>
          <a:off x="2964180" y="2049780"/>
          <a:ext cx="57150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1900-00000E000000}"/>
            </a:ext>
          </a:extLst>
        </xdr:cNvPr>
        <xdr:cNvSpPr/>
      </xdr:nvSpPr>
      <xdr:spPr>
        <a:xfrm>
          <a:off x="3741420" y="2049780"/>
          <a:ext cx="41148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19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3535680" y="2145030"/>
          <a:ext cx="20574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10</xdr:row>
      <xdr:rowOff>158750</xdr:rowOff>
    </xdr:from>
    <xdr:to>
      <xdr:col>9</xdr:col>
      <xdr:colOff>76200</xdr:colOff>
      <xdr:row>12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1900-000010000000}"/>
            </a:ext>
          </a:extLst>
        </xdr:cNvPr>
        <xdr:cNvSpPr/>
      </xdr:nvSpPr>
      <xdr:spPr>
        <a:xfrm>
          <a:off x="3526155" y="2025650"/>
          <a:ext cx="291465" cy="23876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1524000" y="746760"/>
          <a:ext cx="1226820" cy="18288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2964180" y="1120140"/>
          <a:ext cx="571500" cy="18288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222250</xdr:colOff>
      <xdr:row>5</xdr:row>
      <xdr:rowOff>120650</xdr:rowOff>
    </xdr:from>
    <xdr:to>
      <xdr:col>7</xdr:col>
      <xdr:colOff>215214</xdr:colOff>
      <xdr:row>6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SpPr/>
      </xdr:nvSpPr>
      <xdr:spPr>
        <a:xfrm>
          <a:off x="2965450" y="1050290"/>
          <a:ext cx="213944" cy="117475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SpPr/>
      </xdr:nvSpPr>
      <xdr:spPr>
        <a:xfrm>
          <a:off x="2964180" y="1485900"/>
          <a:ext cx="571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SpPr/>
      </xdr:nvSpPr>
      <xdr:spPr>
        <a:xfrm>
          <a:off x="3741420" y="1485900"/>
          <a:ext cx="41148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3535680" y="1676400"/>
          <a:ext cx="20574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8</xdr:row>
      <xdr:rowOff>73025</xdr:rowOff>
    </xdr:from>
    <xdr:to>
      <xdr:col>9</xdr:col>
      <xdr:colOff>76200</xdr:colOff>
      <xdr:row>9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1A00-000008000000}"/>
            </a:ext>
          </a:extLst>
        </xdr:cNvPr>
        <xdr:cNvSpPr/>
      </xdr:nvSpPr>
      <xdr:spPr>
        <a:xfrm>
          <a:off x="3526155" y="1558925"/>
          <a:ext cx="291465" cy="24447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1A00-000009000000}"/>
            </a:ext>
          </a:extLst>
        </xdr:cNvPr>
        <xdr:cNvSpPr/>
      </xdr:nvSpPr>
      <xdr:spPr>
        <a:xfrm>
          <a:off x="2964180" y="1866900"/>
          <a:ext cx="57150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1A00-00000A000000}"/>
            </a:ext>
          </a:extLst>
        </xdr:cNvPr>
        <xdr:cNvSpPr/>
      </xdr:nvSpPr>
      <xdr:spPr>
        <a:xfrm>
          <a:off x="3741420" y="1866900"/>
          <a:ext cx="41148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1A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3535680" y="1962150"/>
          <a:ext cx="20574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9</xdr:row>
      <xdr:rowOff>168275</xdr:rowOff>
    </xdr:from>
    <xdr:to>
      <xdr:col>9</xdr:col>
      <xdr:colOff>76200</xdr:colOff>
      <xdr:row>11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1A00-00000C000000}"/>
            </a:ext>
          </a:extLst>
        </xdr:cNvPr>
        <xdr:cNvSpPr/>
      </xdr:nvSpPr>
      <xdr:spPr>
        <a:xfrm>
          <a:off x="3526155" y="1844675"/>
          <a:ext cx="291465" cy="23685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1A00-00000D000000}"/>
            </a:ext>
          </a:extLst>
        </xdr:cNvPr>
        <xdr:cNvSpPr/>
      </xdr:nvSpPr>
      <xdr:spPr>
        <a:xfrm>
          <a:off x="2964180" y="2049780"/>
          <a:ext cx="57150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1A00-00000E000000}"/>
            </a:ext>
          </a:extLst>
        </xdr:cNvPr>
        <xdr:cNvSpPr/>
      </xdr:nvSpPr>
      <xdr:spPr>
        <a:xfrm>
          <a:off x="3741420" y="2049780"/>
          <a:ext cx="41148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1A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3535680" y="2145030"/>
          <a:ext cx="20574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10</xdr:row>
      <xdr:rowOff>158750</xdr:rowOff>
    </xdr:from>
    <xdr:to>
      <xdr:col>9</xdr:col>
      <xdr:colOff>76200</xdr:colOff>
      <xdr:row>12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1A00-000010000000}"/>
            </a:ext>
          </a:extLst>
        </xdr:cNvPr>
        <xdr:cNvSpPr/>
      </xdr:nvSpPr>
      <xdr:spPr>
        <a:xfrm>
          <a:off x="3526155" y="2025650"/>
          <a:ext cx="291465" cy="23876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69CEFC8A-7E99-4605-B6B6-660A42B5245C}"/>
            </a:ext>
          </a:extLst>
        </xdr:cNvPr>
        <xdr:cNvSpPr/>
      </xdr:nvSpPr>
      <xdr:spPr>
        <a:xfrm>
          <a:off x="1524000" y="746760"/>
          <a:ext cx="1226820" cy="18288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E13AABD7-5D66-44E0-8A3F-3D6119EA98DC}"/>
            </a:ext>
          </a:extLst>
        </xdr:cNvPr>
        <xdr:cNvSpPr/>
      </xdr:nvSpPr>
      <xdr:spPr>
        <a:xfrm>
          <a:off x="2964180" y="1120140"/>
          <a:ext cx="571500" cy="18288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222250</xdr:colOff>
      <xdr:row>5</xdr:row>
      <xdr:rowOff>120650</xdr:rowOff>
    </xdr:from>
    <xdr:to>
      <xdr:col>7</xdr:col>
      <xdr:colOff>215214</xdr:colOff>
      <xdr:row>6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CA5F9116-5717-480E-9B60-F8B46C818904}"/>
            </a:ext>
          </a:extLst>
        </xdr:cNvPr>
        <xdr:cNvSpPr/>
      </xdr:nvSpPr>
      <xdr:spPr>
        <a:xfrm>
          <a:off x="2965450" y="1050290"/>
          <a:ext cx="213944" cy="117475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7E4CB8EF-DE20-401B-A213-DFE2E6787649}"/>
            </a:ext>
          </a:extLst>
        </xdr:cNvPr>
        <xdr:cNvSpPr/>
      </xdr:nvSpPr>
      <xdr:spPr>
        <a:xfrm>
          <a:off x="2964180" y="1485900"/>
          <a:ext cx="571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B850058E-B458-4439-982F-F2765AD1750D}"/>
            </a:ext>
          </a:extLst>
        </xdr:cNvPr>
        <xdr:cNvSpPr/>
      </xdr:nvSpPr>
      <xdr:spPr>
        <a:xfrm>
          <a:off x="3741420" y="1485900"/>
          <a:ext cx="41148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22C3F0AD-E93C-471E-97B8-FF0BCA58902C}"/>
            </a:ext>
          </a:extLst>
        </xdr:cNvPr>
        <xdr:cNvCxnSpPr>
          <a:stCxn id="5" idx="3"/>
          <a:endCxn id="6" idx="1"/>
        </xdr:cNvCxnSpPr>
      </xdr:nvCxnSpPr>
      <xdr:spPr>
        <a:xfrm>
          <a:off x="3535680" y="1676400"/>
          <a:ext cx="20574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8</xdr:row>
      <xdr:rowOff>73025</xdr:rowOff>
    </xdr:from>
    <xdr:to>
      <xdr:col>9</xdr:col>
      <xdr:colOff>76200</xdr:colOff>
      <xdr:row>9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5191C46B-E08C-4EFC-A1D6-2F5BE510D510}"/>
            </a:ext>
          </a:extLst>
        </xdr:cNvPr>
        <xdr:cNvSpPr/>
      </xdr:nvSpPr>
      <xdr:spPr>
        <a:xfrm>
          <a:off x="3526155" y="1558925"/>
          <a:ext cx="291465" cy="24447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28B6D8A8-BBE1-41F0-B8CA-F2467A77A5E6}"/>
            </a:ext>
          </a:extLst>
        </xdr:cNvPr>
        <xdr:cNvSpPr/>
      </xdr:nvSpPr>
      <xdr:spPr>
        <a:xfrm>
          <a:off x="2964180" y="1866900"/>
          <a:ext cx="57150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A6D8C3EA-2C92-4328-9F1C-96EC5859C75C}"/>
            </a:ext>
          </a:extLst>
        </xdr:cNvPr>
        <xdr:cNvSpPr/>
      </xdr:nvSpPr>
      <xdr:spPr>
        <a:xfrm>
          <a:off x="3741420" y="1866900"/>
          <a:ext cx="41148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ED4EDAF2-F587-4765-962A-8287A1097308}"/>
            </a:ext>
          </a:extLst>
        </xdr:cNvPr>
        <xdr:cNvCxnSpPr>
          <a:stCxn id="9" idx="3"/>
          <a:endCxn id="10" idx="1"/>
        </xdr:cNvCxnSpPr>
      </xdr:nvCxnSpPr>
      <xdr:spPr>
        <a:xfrm>
          <a:off x="3535680" y="1962150"/>
          <a:ext cx="20574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9</xdr:row>
      <xdr:rowOff>168275</xdr:rowOff>
    </xdr:from>
    <xdr:to>
      <xdr:col>9</xdr:col>
      <xdr:colOff>76200</xdr:colOff>
      <xdr:row>11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AB4A8C6B-E650-4BEC-8286-81E13B94BA29}"/>
            </a:ext>
          </a:extLst>
        </xdr:cNvPr>
        <xdr:cNvSpPr/>
      </xdr:nvSpPr>
      <xdr:spPr>
        <a:xfrm>
          <a:off x="3526155" y="1844675"/>
          <a:ext cx="291465" cy="23685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9113FD66-7797-49E7-85E8-41FA96DDBF1D}"/>
            </a:ext>
          </a:extLst>
        </xdr:cNvPr>
        <xdr:cNvSpPr/>
      </xdr:nvSpPr>
      <xdr:spPr>
        <a:xfrm>
          <a:off x="2964180" y="2049780"/>
          <a:ext cx="57150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1547937B-9C05-4E3C-B906-92AC76822DB1}"/>
            </a:ext>
          </a:extLst>
        </xdr:cNvPr>
        <xdr:cNvSpPr/>
      </xdr:nvSpPr>
      <xdr:spPr>
        <a:xfrm>
          <a:off x="3741420" y="2049780"/>
          <a:ext cx="41148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85EC9449-C994-4E68-91FC-5B7D7E99B9E7}"/>
            </a:ext>
          </a:extLst>
        </xdr:cNvPr>
        <xdr:cNvCxnSpPr>
          <a:stCxn id="13" idx="3"/>
          <a:endCxn id="14" idx="1"/>
        </xdr:cNvCxnSpPr>
      </xdr:nvCxnSpPr>
      <xdr:spPr>
        <a:xfrm>
          <a:off x="3535680" y="2145030"/>
          <a:ext cx="20574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10</xdr:row>
      <xdr:rowOff>158750</xdr:rowOff>
    </xdr:from>
    <xdr:to>
      <xdr:col>9</xdr:col>
      <xdr:colOff>76200</xdr:colOff>
      <xdr:row>12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FFD6E3BE-12B3-4487-AE31-53ABA57DE51A}"/>
            </a:ext>
          </a:extLst>
        </xdr:cNvPr>
        <xdr:cNvSpPr/>
      </xdr:nvSpPr>
      <xdr:spPr>
        <a:xfrm>
          <a:off x="3526155" y="2025650"/>
          <a:ext cx="291465" cy="23876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6EFA8D88-49E9-4A79-AB20-04AEE9175E37}"/>
            </a:ext>
          </a:extLst>
        </xdr:cNvPr>
        <xdr:cNvSpPr/>
      </xdr:nvSpPr>
      <xdr:spPr>
        <a:xfrm>
          <a:off x="1524000" y="746760"/>
          <a:ext cx="1226820" cy="18288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E2781C0E-76EA-42D6-B68E-60F520208465}"/>
            </a:ext>
          </a:extLst>
        </xdr:cNvPr>
        <xdr:cNvSpPr/>
      </xdr:nvSpPr>
      <xdr:spPr>
        <a:xfrm>
          <a:off x="2964180" y="1120140"/>
          <a:ext cx="571500" cy="18288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222250</xdr:colOff>
      <xdr:row>5</xdr:row>
      <xdr:rowOff>120650</xdr:rowOff>
    </xdr:from>
    <xdr:to>
      <xdr:col>7</xdr:col>
      <xdr:colOff>215214</xdr:colOff>
      <xdr:row>6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5EEF93F4-7FAB-43B5-A25C-D78A147DDA5F}"/>
            </a:ext>
          </a:extLst>
        </xdr:cNvPr>
        <xdr:cNvSpPr/>
      </xdr:nvSpPr>
      <xdr:spPr>
        <a:xfrm>
          <a:off x="2965450" y="1050290"/>
          <a:ext cx="213944" cy="117475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5B235788-4E7D-44CD-9062-683045B5F4F3}"/>
            </a:ext>
          </a:extLst>
        </xdr:cNvPr>
        <xdr:cNvSpPr/>
      </xdr:nvSpPr>
      <xdr:spPr>
        <a:xfrm>
          <a:off x="2964180" y="1485900"/>
          <a:ext cx="571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3FB2BEFE-B4A0-432F-BEE3-0B3DD7BBCE50}"/>
            </a:ext>
          </a:extLst>
        </xdr:cNvPr>
        <xdr:cNvSpPr/>
      </xdr:nvSpPr>
      <xdr:spPr>
        <a:xfrm>
          <a:off x="3741420" y="1485900"/>
          <a:ext cx="41148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540B085F-5413-480F-BC2D-159A99E7F911}"/>
            </a:ext>
          </a:extLst>
        </xdr:cNvPr>
        <xdr:cNvCxnSpPr>
          <a:stCxn id="5" idx="3"/>
          <a:endCxn id="6" idx="1"/>
        </xdr:cNvCxnSpPr>
      </xdr:nvCxnSpPr>
      <xdr:spPr>
        <a:xfrm>
          <a:off x="3535680" y="1676400"/>
          <a:ext cx="20574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8</xdr:row>
      <xdr:rowOff>73025</xdr:rowOff>
    </xdr:from>
    <xdr:to>
      <xdr:col>9</xdr:col>
      <xdr:colOff>76200</xdr:colOff>
      <xdr:row>9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885684C2-FA97-4E38-8D4E-0158EE98F72B}"/>
            </a:ext>
          </a:extLst>
        </xdr:cNvPr>
        <xdr:cNvSpPr/>
      </xdr:nvSpPr>
      <xdr:spPr>
        <a:xfrm>
          <a:off x="3526155" y="1558925"/>
          <a:ext cx="291465" cy="24447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CD8C15B6-941C-434F-A350-4D80F4B7B9B7}"/>
            </a:ext>
          </a:extLst>
        </xdr:cNvPr>
        <xdr:cNvSpPr/>
      </xdr:nvSpPr>
      <xdr:spPr>
        <a:xfrm>
          <a:off x="2964180" y="1866900"/>
          <a:ext cx="57150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83B62A77-E44D-497F-BF77-6ADBEF6F942F}"/>
            </a:ext>
          </a:extLst>
        </xdr:cNvPr>
        <xdr:cNvSpPr/>
      </xdr:nvSpPr>
      <xdr:spPr>
        <a:xfrm>
          <a:off x="3741420" y="1866900"/>
          <a:ext cx="41148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3024F3F7-B1CC-43E6-9C50-2B45748B0E18}"/>
            </a:ext>
          </a:extLst>
        </xdr:cNvPr>
        <xdr:cNvCxnSpPr>
          <a:stCxn id="9" idx="3"/>
          <a:endCxn id="10" idx="1"/>
        </xdr:cNvCxnSpPr>
      </xdr:nvCxnSpPr>
      <xdr:spPr>
        <a:xfrm>
          <a:off x="3535680" y="1962150"/>
          <a:ext cx="20574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9</xdr:row>
      <xdr:rowOff>168275</xdr:rowOff>
    </xdr:from>
    <xdr:to>
      <xdr:col>9</xdr:col>
      <xdr:colOff>76200</xdr:colOff>
      <xdr:row>11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F7A9C87E-72C1-4A07-B474-C13BF5FB6136}"/>
            </a:ext>
          </a:extLst>
        </xdr:cNvPr>
        <xdr:cNvSpPr/>
      </xdr:nvSpPr>
      <xdr:spPr>
        <a:xfrm>
          <a:off x="3526155" y="1844675"/>
          <a:ext cx="291465" cy="23685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95FF083E-CC0D-4A6F-823E-A2AFAFF9E436}"/>
            </a:ext>
          </a:extLst>
        </xdr:cNvPr>
        <xdr:cNvSpPr/>
      </xdr:nvSpPr>
      <xdr:spPr>
        <a:xfrm>
          <a:off x="2964180" y="2049780"/>
          <a:ext cx="57150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A3279685-DDD0-4C96-9499-EDB8F7AC22AE}"/>
            </a:ext>
          </a:extLst>
        </xdr:cNvPr>
        <xdr:cNvSpPr/>
      </xdr:nvSpPr>
      <xdr:spPr>
        <a:xfrm>
          <a:off x="3741420" y="2049780"/>
          <a:ext cx="41148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560A5C11-E96F-4A7D-97C4-4D33A5337711}"/>
            </a:ext>
          </a:extLst>
        </xdr:cNvPr>
        <xdr:cNvCxnSpPr>
          <a:stCxn id="13" idx="3"/>
          <a:endCxn id="14" idx="1"/>
        </xdr:cNvCxnSpPr>
      </xdr:nvCxnSpPr>
      <xdr:spPr>
        <a:xfrm>
          <a:off x="3535680" y="2145030"/>
          <a:ext cx="20574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10</xdr:row>
      <xdr:rowOff>158750</xdr:rowOff>
    </xdr:from>
    <xdr:to>
      <xdr:col>9</xdr:col>
      <xdr:colOff>76200</xdr:colOff>
      <xdr:row>12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342E1ED6-410E-42A1-A24B-61833590095F}"/>
            </a:ext>
          </a:extLst>
        </xdr:cNvPr>
        <xdr:cNvSpPr/>
      </xdr:nvSpPr>
      <xdr:spPr>
        <a:xfrm>
          <a:off x="3526155" y="2025650"/>
          <a:ext cx="291465" cy="23876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8741314-E57F-4F29-927D-B275C765CBB7}"/>
            </a:ext>
          </a:extLst>
        </xdr:cNvPr>
        <xdr:cNvSpPr/>
      </xdr:nvSpPr>
      <xdr:spPr>
        <a:xfrm>
          <a:off x="1524000" y="746760"/>
          <a:ext cx="1226820" cy="18288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228EA121-2F26-46F2-8D7B-FB74A3B311B6}"/>
            </a:ext>
          </a:extLst>
        </xdr:cNvPr>
        <xdr:cNvSpPr/>
      </xdr:nvSpPr>
      <xdr:spPr>
        <a:xfrm>
          <a:off x="2964180" y="1120140"/>
          <a:ext cx="571500" cy="18288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222250</xdr:colOff>
      <xdr:row>5</xdr:row>
      <xdr:rowOff>120650</xdr:rowOff>
    </xdr:from>
    <xdr:to>
      <xdr:col>7</xdr:col>
      <xdr:colOff>215214</xdr:colOff>
      <xdr:row>6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3BD70967-0AEF-4DA7-9F34-A82CB16B6998}"/>
            </a:ext>
          </a:extLst>
        </xdr:cNvPr>
        <xdr:cNvSpPr/>
      </xdr:nvSpPr>
      <xdr:spPr>
        <a:xfrm>
          <a:off x="2965450" y="1050290"/>
          <a:ext cx="213944" cy="117475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83A5C162-5C2D-4628-8EE3-64CBA4222064}"/>
            </a:ext>
          </a:extLst>
        </xdr:cNvPr>
        <xdr:cNvSpPr/>
      </xdr:nvSpPr>
      <xdr:spPr>
        <a:xfrm>
          <a:off x="2964180" y="1485900"/>
          <a:ext cx="571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61B629F4-AF84-4DC7-92B0-298F94AF662C}"/>
            </a:ext>
          </a:extLst>
        </xdr:cNvPr>
        <xdr:cNvSpPr/>
      </xdr:nvSpPr>
      <xdr:spPr>
        <a:xfrm>
          <a:off x="3741420" y="1485900"/>
          <a:ext cx="41148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1AFA75A1-D9C5-4AD6-A64D-580171F8FCBC}"/>
            </a:ext>
          </a:extLst>
        </xdr:cNvPr>
        <xdr:cNvCxnSpPr>
          <a:stCxn id="5" idx="3"/>
          <a:endCxn id="6" idx="1"/>
        </xdr:cNvCxnSpPr>
      </xdr:nvCxnSpPr>
      <xdr:spPr>
        <a:xfrm>
          <a:off x="3535680" y="1676400"/>
          <a:ext cx="20574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8</xdr:row>
      <xdr:rowOff>73025</xdr:rowOff>
    </xdr:from>
    <xdr:to>
      <xdr:col>9</xdr:col>
      <xdr:colOff>76200</xdr:colOff>
      <xdr:row>9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B6683625-2B74-4E05-B136-CFB694C0B743}"/>
            </a:ext>
          </a:extLst>
        </xdr:cNvPr>
        <xdr:cNvSpPr/>
      </xdr:nvSpPr>
      <xdr:spPr>
        <a:xfrm>
          <a:off x="3526155" y="1558925"/>
          <a:ext cx="291465" cy="24447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98CB5592-11A9-4A22-B0C0-4B20095B70E2}"/>
            </a:ext>
          </a:extLst>
        </xdr:cNvPr>
        <xdr:cNvSpPr/>
      </xdr:nvSpPr>
      <xdr:spPr>
        <a:xfrm>
          <a:off x="2964180" y="1866900"/>
          <a:ext cx="57150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9A8FA5F1-9FAA-40E5-808C-B0499F282B3C}"/>
            </a:ext>
          </a:extLst>
        </xdr:cNvPr>
        <xdr:cNvSpPr/>
      </xdr:nvSpPr>
      <xdr:spPr>
        <a:xfrm>
          <a:off x="3741420" y="1866900"/>
          <a:ext cx="41148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861B1D4D-8DF3-4AB0-AB9C-B08F057EAA85}"/>
            </a:ext>
          </a:extLst>
        </xdr:cNvPr>
        <xdr:cNvCxnSpPr>
          <a:stCxn id="9" idx="3"/>
          <a:endCxn id="10" idx="1"/>
        </xdr:cNvCxnSpPr>
      </xdr:nvCxnSpPr>
      <xdr:spPr>
        <a:xfrm>
          <a:off x="3535680" y="1962150"/>
          <a:ext cx="20574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9</xdr:row>
      <xdr:rowOff>168275</xdr:rowOff>
    </xdr:from>
    <xdr:to>
      <xdr:col>9</xdr:col>
      <xdr:colOff>76200</xdr:colOff>
      <xdr:row>11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F56EBB55-9010-4243-8C5E-FA68FFE643F8}"/>
            </a:ext>
          </a:extLst>
        </xdr:cNvPr>
        <xdr:cNvSpPr/>
      </xdr:nvSpPr>
      <xdr:spPr>
        <a:xfrm>
          <a:off x="3526155" y="1844675"/>
          <a:ext cx="291465" cy="23685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77CF5362-6128-4FD0-8746-24AD297BF040}"/>
            </a:ext>
          </a:extLst>
        </xdr:cNvPr>
        <xdr:cNvSpPr/>
      </xdr:nvSpPr>
      <xdr:spPr>
        <a:xfrm>
          <a:off x="2964180" y="2049780"/>
          <a:ext cx="57150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C61B6ED9-9A2A-47CC-BDF4-CB99B2C58A89}"/>
            </a:ext>
          </a:extLst>
        </xdr:cNvPr>
        <xdr:cNvSpPr/>
      </xdr:nvSpPr>
      <xdr:spPr>
        <a:xfrm>
          <a:off x="3741420" y="2049780"/>
          <a:ext cx="41148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5D428D43-4890-44F1-B3BB-65C7D78F505A}"/>
            </a:ext>
          </a:extLst>
        </xdr:cNvPr>
        <xdr:cNvCxnSpPr>
          <a:stCxn id="13" idx="3"/>
          <a:endCxn id="14" idx="1"/>
        </xdr:cNvCxnSpPr>
      </xdr:nvCxnSpPr>
      <xdr:spPr>
        <a:xfrm>
          <a:off x="3535680" y="2145030"/>
          <a:ext cx="20574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10</xdr:row>
      <xdr:rowOff>158750</xdr:rowOff>
    </xdr:from>
    <xdr:to>
      <xdr:col>9</xdr:col>
      <xdr:colOff>76200</xdr:colOff>
      <xdr:row>12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C591F020-13AB-41DD-9B06-0588DB105BB5}"/>
            </a:ext>
          </a:extLst>
        </xdr:cNvPr>
        <xdr:cNvSpPr/>
      </xdr:nvSpPr>
      <xdr:spPr>
        <a:xfrm>
          <a:off x="3526155" y="2025650"/>
          <a:ext cx="291465" cy="23876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11F37ABE-79E0-4E54-9FC8-408BBF91DF3E}"/>
            </a:ext>
          </a:extLst>
        </xdr:cNvPr>
        <xdr:cNvSpPr/>
      </xdr:nvSpPr>
      <xdr:spPr>
        <a:xfrm>
          <a:off x="1524000" y="746760"/>
          <a:ext cx="1226820" cy="18288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82DFD8D3-B762-4A35-B315-D76F931AD1BE}"/>
            </a:ext>
          </a:extLst>
        </xdr:cNvPr>
        <xdr:cNvSpPr/>
      </xdr:nvSpPr>
      <xdr:spPr>
        <a:xfrm>
          <a:off x="2964180" y="1120140"/>
          <a:ext cx="571500" cy="18288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222250</xdr:colOff>
      <xdr:row>5</xdr:row>
      <xdr:rowOff>120650</xdr:rowOff>
    </xdr:from>
    <xdr:to>
      <xdr:col>7</xdr:col>
      <xdr:colOff>215214</xdr:colOff>
      <xdr:row>6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A92ED39A-AB35-45C5-84E1-D5429333B7A4}"/>
            </a:ext>
          </a:extLst>
        </xdr:cNvPr>
        <xdr:cNvSpPr/>
      </xdr:nvSpPr>
      <xdr:spPr>
        <a:xfrm>
          <a:off x="2965450" y="1050290"/>
          <a:ext cx="213944" cy="117475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4ADF3EA-CE48-465E-8C21-83554DC74F29}"/>
            </a:ext>
          </a:extLst>
        </xdr:cNvPr>
        <xdr:cNvSpPr/>
      </xdr:nvSpPr>
      <xdr:spPr>
        <a:xfrm>
          <a:off x="2964180" y="1485900"/>
          <a:ext cx="571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E0DAF4DF-1F7A-495D-9F13-506AC35AC0C3}"/>
            </a:ext>
          </a:extLst>
        </xdr:cNvPr>
        <xdr:cNvSpPr/>
      </xdr:nvSpPr>
      <xdr:spPr>
        <a:xfrm>
          <a:off x="3741420" y="1485900"/>
          <a:ext cx="41148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D9C214AC-9885-419C-AE57-148EA4CC02D5}"/>
            </a:ext>
          </a:extLst>
        </xdr:cNvPr>
        <xdr:cNvCxnSpPr>
          <a:stCxn id="5" idx="3"/>
          <a:endCxn id="6" idx="1"/>
        </xdr:cNvCxnSpPr>
      </xdr:nvCxnSpPr>
      <xdr:spPr>
        <a:xfrm>
          <a:off x="3535680" y="1676400"/>
          <a:ext cx="20574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8</xdr:row>
      <xdr:rowOff>73025</xdr:rowOff>
    </xdr:from>
    <xdr:to>
      <xdr:col>9</xdr:col>
      <xdr:colOff>76200</xdr:colOff>
      <xdr:row>9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53B81A02-88AC-4050-97F6-F88C79B28923}"/>
            </a:ext>
          </a:extLst>
        </xdr:cNvPr>
        <xdr:cNvSpPr/>
      </xdr:nvSpPr>
      <xdr:spPr>
        <a:xfrm>
          <a:off x="3526155" y="1558925"/>
          <a:ext cx="291465" cy="24447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58E7EB45-FAF5-4B24-BF27-0EC5C830FF19}"/>
            </a:ext>
          </a:extLst>
        </xdr:cNvPr>
        <xdr:cNvSpPr/>
      </xdr:nvSpPr>
      <xdr:spPr>
        <a:xfrm>
          <a:off x="2964180" y="1866900"/>
          <a:ext cx="57150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7699A66C-A445-4835-919A-70AAC5060F58}"/>
            </a:ext>
          </a:extLst>
        </xdr:cNvPr>
        <xdr:cNvSpPr/>
      </xdr:nvSpPr>
      <xdr:spPr>
        <a:xfrm>
          <a:off x="3741420" y="1866900"/>
          <a:ext cx="41148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7C821B4D-39DB-4191-A537-B9AB72A147DB}"/>
            </a:ext>
          </a:extLst>
        </xdr:cNvPr>
        <xdr:cNvCxnSpPr>
          <a:stCxn id="9" idx="3"/>
          <a:endCxn id="10" idx="1"/>
        </xdr:cNvCxnSpPr>
      </xdr:nvCxnSpPr>
      <xdr:spPr>
        <a:xfrm>
          <a:off x="3535680" y="1962150"/>
          <a:ext cx="20574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9</xdr:row>
      <xdr:rowOff>168275</xdr:rowOff>
    </xdr:from>
    <xdr:to>
      <xdr:col>9</xdr:col>
      <xdr:colOff>76200</xdr:colOff>
      <xdr:row>11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819CDFF0-B956-4DFD-B9B9-AC13C2065782}"/>
            </a:ext>
          </a:extLst>
        </xdr:cNvPr>
        <xdr:cNvSpPr/>
      </xdr:nvSpPr>
      <xdr:spPr>
        <a:xfrm>
          <a:off x="3526155" y="1844675"/>
          <a:ext cx="291465" cy="23685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550718FA-C8DF-475B-B09C-529AF10A426C}"/>
            </a:ext>
          </a:extLst>
        </xdr:cNvPr>
        <xdr:cNvSpPr/>
      </xdr:nvSpPr>
      <xdr:spPr>
        <a:xfrm>
          <a:off x="2964180" y="2049780"/>
          <a:ext cx="57150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A4B73B0B-F756-4C7F-B403-A4815E685F34}"/>
            </a:ext>
          </a:extLst>
        </xdr:cNvPr>
        <xdr:cNvSpPr/>
      </xdr:nvSpPr>
      <xdr:spPr>
        <a:xfrm>
          <a:off x="3741420" y="2049780"/>
          <a:ext cx="41148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81BD9B59-478F-4FC7-B062-ECE590921012}"/>
            </a:ext>
          </a:extLst>
        </xdr:cNvPr>
        <xdr:cNvCxnSpPr>
          <a:stCxn id="13" idx="3"/>
          <a:endCxn id="14" idx="1"/>
        </xdr:cNvCxnSpPr>
      </xdr:nvCxnSpPr>
      <xdr:spPr>
        <a:xfrm>
          <a:off x="3535680" y="2145030"/>
          <a:ext cx="20574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10</xdr:row>
      <xdr:rowOff>158750</xdr:rowOff>
    </xdr:from>
    <xdr:to>
      <xdr:col>9</xdr:col>
      <xdr:colOff>76200</xdr:colOff>
      <xdr:row>12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D1D7F196-CA2C-4356-83C6-BFE2945DE060}"/>
            </a:ext>
          </a:extLst>
        </xdr:cNvPr>
        <xdr:cNvSpPr/>
      </xdr:nvSpPr>
      <xdr:spPr>
        <a:xfrm>
          <a:off x="3526155" y="2025650"/>
          <a:ext cx="291465" cy="23876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4E272D3C-0ACA-445D-B0F5-CD7AED066348}"/>
            </a:ext>
          </a:extLst>
        </xdr:cNvPr>
        <xdr:cNvSpPr/>
      </xdr:nvSpPr>
      <xdr:spPr>
        <a:xfrm>
          <a:off x="1524000" y="746760"/>
          <a:ext cx="1226820" cy="18288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F4B8D3CC-CC80-4416-B9D0-0FDD22AEFE29}"/>
            </a:ext>
          </a:extLst>
        </xdr:cNvPr>
        <xdr:cNvSpPr/>
      </xdr:nvSpPr>
      <xdr:spPr>
        <a:xfrm>
          <a:off x="2964180" y="1120140"/>
          <a:ext cx="571500" cy="18288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222250</xdr:colOff>
      <xdr:row>5</xdr:row>
      <xdr:rowOff>120650</xdr:rowOff>
    </xdr:from>
    <xdr:to>
      <xdr:col>7</xdr:col>
      <xdr:colOff>215214</xdr:colOff>
      <xdr:row>6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A77EF972-65B1-4EF9-B574-85A43ED569C6}"/>
            </a:ext>
          </a:extLst>
        </xdr:cNvPr>
        <xdr:cNvSpPr/>
      </xdr:nvSpPr>
      <xdr:spPr>
        <a:xfrm>
          <a:off x="2965450" y="1050290"/>
          <a:ext cx="213944" cy="117475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FF27F7CC-FE05-441D-9E62-90F48D3650B4}"/>
            </a:ext>
          </a:extLst>
        </xdr:cNvPr>
        <xdr:cNvSpPr/>
      </xdr:nvSpPr>
      <xdr:spPr>
        <a:xfrm>
          <a:off x="2964180" y="1485900"/>
          <a:ext cx="571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CBF6D3B3-2E88-4628-A7FB-08DED734ACE0}"/>
            </a:ext>
          </a:extLst>
        </xdr:cNvPr>
        <xdr:cNvSpPr/>
      </xdr:nvSpPr>
      <xdr:spPr>
        <a:xfrm>
          <a:off x="3741420" y="1485900"/>
          <a:ext cx="41148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1B0695E5-BCF1-478F-82EE-4FD3CBA24AE9}"/>
            </a:ext>
          </a:extLst>
        </xdr:cNvPr>
        <xdr:cNvCxnSpPr>
          <a:stCxn id="5" idx="3"/>
          <a:endCxn id="6" idx="1"/>
        </xdr:cNvCxnSpPr>
      </xdr:nvCxnSpPr>
      <xdr:spPr>
        <a:xfrm>
          <a:off x="3535680" y="1676400"/>
          <a:ext cx="20574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8</xdr:row>
      <xdr:rowOff>73025</xdr:rowOff>
    </xdr:from>
    <xdr:to>
      <xdr:col>9</xdr:col>
      <xdr:colOff>76200</xdr:colOff>
      <xdr:row>9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906B89CB-2388-4F1F-8BBB-6698E370BD7B}"/>
            </a:ext>
          </a:extLst>
        </xdr:cNvPr>
        <xdr:cNvSpPr/>
      </xdr:nvSpPr>
      <xdr:spPr>
        <a:xfrm>
          <a:off x="3526155" y="1558925"/>
          <a:ext cx="291465" cy="24447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61C882D2-1563-4706-B9A7-C7FB54246798}"/>
            </a:ext>
          </a:extLst>
        </xdr:cNvPr>
        <xdr:cNvSpPr/>
      </xdr:nvSpPr>
      <xdr:spPr>
        <a:xfrm>
          <a:off x="2964180" y="1866900"/>
          <a:ext cx="57150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505AFF-59F5-44A3-9090-6F055F500D04}"/>
            </a:ext>
          </a:extLst>
        </xdr:cNvPr>
        <xdr:cNvSpPr/>
      </xdr:nvSpPr>
      <xdr:spPr>
        <a:xfrm>
          <a:off x="3741420" y="1866900"/>
          <a:ext cx="41148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D06EB66F-FAAB-40DD-A11E-E573759C7C20}"/>
            </a:ext>
          </a:extLst>
        </xdr:cNvPr>
        <xdr:cNvCxnSpPr>
          <a:stCxn id="9" idx="3"/>
          <a:endCxn id="10" idx="1"/>
        </xdr:cNvCxnSpPr>
      </xdr:nvCxnSpPr>
      <xdr:spPr>
        <a:xfrm>
          <a:off x="3535680" y="1962150"/>
          <a:ext cx="20574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9</xdr:row>
      <xdr:rowOff>168275</xdr:rowOff>
    </xdr:from>
    <xdr:to>
      <xdr:col>9</xdr:col>
      <xdr:colOff>76200</xdr:colOff>
      <xdr:row>11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F8DC2BF1-101C-40AA-81A1-66F7A10DB279}"/>
            </a:ext>
          </a:extLst>
        </xdr:cNvPr>
        <xdr:cNvSpPr/>
      </xdr:nvSpPr>
      <xdr:spPr>
        <a:xfrm>
          <a:off x="3526155" y="1844675"/>
          <a:ext cx="291465" cy="23685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BED2FE42-806A-4E25-B5C6-DD8849895733}"/>
            </a:ext>
          </a:extLst>
        </xdr:cNvPr>
        <xdr:cNvSpPr/>
      </xdr:nvSpPr>
      <xdr:spPr>
        <a:xfrm>
          <a:off x="2964180" y="2049780"/>
          <a:ext cx="57150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F792CAE8-82CE-4293-9648-E5364216823C}"/>
            </a:ext>
          </a:extLst>
        </xdr:cNvPr>
        <xdr:cNvSpPr/>
      </xdr:nvSpPr>
      <xdr:spPr>
        <a:xfrm>
          <a:off x="3741420" y="2049780"/>
          <a:ext cx="41148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2A7F8665-D4B9-4DEA-9847-B9805A2F9AF9}"/>
            </a:ext>
          </a:extLst>
        </xdr:cNvPr>
        <xdr:cNvCxnSpPr>
          <a:stCxn id="13" idx="3"/>
          <a:endCxn id="14" idx="1"/>
        </xdr:cNvCxnSpPr>
      </xdr:nvCxnSpPr>
      <xdr:spPr>
        <a:xfrm>
          <a:off x="3535680" y="2145030"/>
          <a:ext cx="20574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10</xdr:row>
      <xdr:rowOff>158750</xdr:rowOff>
    </xdr:from>
    <xdr:to>
      <xdr:col>9</xdr:col>
      <xdr:colOff>76200</xdr:colOff>
      <xdr:row>12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5C203702-81C5-41E6-BB66-4DFABE1EDE6A}"/>
            </a:ext>
          </a:extLst>
        </xdr:cNvPr>
        <xdr:cNvSpPr/>
      </xdr:nvSpPr>
      <xdr:spPr>
        <a:xfrm>
          <a:off x="3526155" y="2025650"/>
          <a:ext cx="291465" cy="23876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AB8B97DB-6243-4C0D-A65D-B5844D1E8FBF}"/>
            </a:ext>
          </a:extLst>
        </xdr:cNvPr>
        <xdr:cNvSpPr/>
      </xdr:nvSpPr>
      <xdr:spPr>
        <a:xfrm>
          <a:off x="1524000" y="746760"/>
          <a:ext cx="1226820" cy="18288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42E622F9-5DFC-4F5F-8486-5F643C78A4DB}"/>
            </a:ext>
          </a:extLst>
        </xdr:cNvPr>
        <xdr:cNvSpPr/>
      </xdr:nvSpPr>
      <xdr:spPr>
        <a:xfrm>
          <a:off x="2964180" y="1120140"/>
          <a:ext cx="571500" cy="18288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222250</xdr:colOff>
      <xdr:row>5</xdr:row>
      <xdr:rowOff>120650</xdr:rowOff>
    </xdr:from>
    <xdr:to>
      <xdr:col>7</xdr:col>
      <xdr:colOff>215214</xdr:colOff>
      <xdr:row>6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CF42ADAA-144F-4EB6-8D34-90B8DCD6FAD9}"/>
            </a:ext>
          </a:extLst>
        </xdr:cNvPr>
        <xdr:cNvSpPr/>
      </xdr:nvSpPr>
      <xdr:spPr>
        <a:xfrm>
          <a:off x="2965450" y="1050290"/>
          <a:ext cx="213944" cy="117475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596228C1-4AF0-4460-B031-2DAEC2D2C7E5}"/>
            </a:ext>
          </a:extLst>
        </xdr:cNvPr>
        <xdr:cNvSpPr/>
      </xdr:nvSpPr>
      <xdr:spPr>
        <a:xfrm>
          <a:off x="2964180" y="1485900"/>
          <a:ext cx="571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83552DAF-AAD7-4491-BB1B-78FC89913460}"/>
            </a:ext>
          </a:extLst>
        </xdr:cNvPr>
        <xdr:cNvSpPr/>
      </xdr:nvSpPr>
      <xdr:spPr>
        <a:xfrm>
          <a:off x="3741420" y="1485900"/>
          <a:ext cx="41148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E2841FD9-3C85-4D20-A338-CD749442E13A}"/>
            </a:ext>
          </a:extLst>
        </xdr:cNvPr>
        <xdr:cNvCxnSpPr>
          <a:stCxn id="5" idx="3"/>
          <a:endCxn id="6" idx="1"/>
        </xdr:cNvCxnSpPr>
      </xdr:nvCxnSpPr>
      <xdr:spPr>
        <a:xfrm>
          <a:off x="3535680" y="1676400"/>
          <a:ext cx="20574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8</xdr:row>
      <xdr:rowOff>73025</xdr:rowOff>
    </xdr:from>
    <xdr:to>
      <xdr:col>9</xdr:col>
      <xdr:colOff>76200</xdr:colOff>
      <xdr:row>9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675F64C5-D4FE-442E-BB8C-B975F1C6CAD2}"/>
            </a:ext>
          </a:extLst>
        </xdr:cNvPr>
        <xdr:cNvSpPr/>
      </xdr:nvSpPr>
      <xdr:spPr>
        <a:xfrm>
          <a:off x="3526155" y="1558925"/>
          <a:ext cx="291465" cy="24447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68FC17C1-C859-4918-A2EC-7BF3BE3E1359}"/>
            </a:ext>
          </a:extLst>
        </xdr:cNvPr>
        <xdr:cNvSpPr/>
      </xdr:nvSpPr>
      <xdr:spPr>
        <a:xfrm>
          <a:off x="2964180" y="1866900"/>
          <a:ext cx="57150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B3A1BFC0-63C2-4469-997E-0822071ED911}"/>
            </a:ext>
          </a:extLst>
        </xdr:cNvPr>
        <xdr:cNvSpPr/>
      </xdr:nvSpPr>
      <xdr:spPr>
        <a:xfrm>
          <a:off x="3741420" y="1866900"/>
          <a:ext cx="41148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F859E96D-A5B4-4E35-9305-BB55476E6829}"/>
            </a:ext>
          </a:extLst>
        </xdr:cNvPr>
        <xdr:cNvCxnSpPr>
          <a:stCxn id="9" idx="3"/>
          <a:endCxn id="10" idx="1"/>
        </xdr:cNvCxnSpPr>
      </xdr:nvCxnSpPr>
      <xdr:spPr>
        <a:xfrm>
          <a:off x="3535680" y="1962150"/>
          <a:ext cx="20574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9</xdr:row>
      <xdr:rowOff>168275</xdr:rowOff>
    </xdr:from>
    <xdr:to>
      <xdr:col>9</xdr:col>
      <xdr:colOff>76200</xdr:colOff>
      <xdr:row>11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938781A6-8206-4D1A-B905-56E66B52ED22}"/>
            </a:ext>
          </a:extLst>
        </xdr:cNvPr>
        <xdr:cNvSpPr/>
      </xdr:nvSpPr>
      <xdr:spPr>
        <a:xfrm>
          <a:off x="3526155" y="1844675"/>
          <a:ext cx="291465" cy="23685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93F98D7E-F70F-458F-8A0C-84BE68389CD1}"/>
            </a:ext>
          </a:extLst>
        </xdr:cNvPr>
        <xdr:cNvSpPr/>
      </xdr:nvSpPr>
      <xdr:spPr>
        <a:xfrm>
          <a:off x="2964180" y="2049780"/>
          <a:ext cx="57150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B360D1CD-7F46-4E86-B249-C318C790512F}"/>
            </a:ext>
          </a:extLst>
        </xdr:cNvPr>
        <xdr:cNvSpPr/>
      </xdr:nvSpPr>
      <xdr:spPr>
        <a:xfrm>
          <a:off x="3741420" y="2049780"/>
          <a:ext cx="41148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5868A979-DA1C-433C-AE5F-79DC1235400A}"/>
            </a:ext>
          </a:extLst>
        </xdr:cNvPr>
        <xdr:cNvCxnSpPr>
          <a:stCxn id="13" idx="3"/>
          <a:endCxn id="14" idx="1"/>
        </xdr:cNvCxnSpPr>
      </xdr:nvCxnSpPr>
      <xdr:spPr>
        <a:xfrm>
          <a:off x="3535680" y="2145030"/>
          <a:ext cx="20574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10</xdr:row>
      <xdr:rowOff>158750</xdr:rowOff>
    </xdr:from>
    <xdr:to>
      <xdr:col>9</xdr:col>
      <xdr:colOff>76200</xdr:colOff>
      <xdr:row>12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8DA14F36-7D9E-4E7B-9AC2-7C6B83B8AD0C}"/>
            </a:ext>
          </a:extLst>
        </xdr:cNvPr>
        <xdr:cNvSpPr/>
      </xdr:nvSpPr>
      <xdr:spPr>
        <a:xfrm>
          <a:off x="3526155" y="2025650"/>
          <a:ext cx="291465" cy="23876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1D949A2C-4C57-421E-9043-ADE6DCEFF8C4}"/>
            </a:ext>
          </a:extLst>
        </xdr:cNvPr>
        <xdr:cNvSpPr/>
      </xdr:nvSpPr>
      <xdr:spPr>
        <a:xfrm>
          <a:off x="1524000" y="746760"/>
          <a:ext cx="1226820" cy="18288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C733B8E8-F6A4-4B3C-8CCD-7D7CE483F0A4}"/>
            </a:ext>
          </a:extLst>
        </xdr:cNvPr>
        <xdr:cNvSpPr/>
      </xdr:nvSpPr>
      <xdr:spPr>
        <a:xfrm>
          <a:off x="2964180" y="1120140"/>
          <a:ext cx="571500" cy="18288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222250</xdr:colOff>
      <xdr:row>5</xdr:row>
      <xdr:rowOff>120650</xdr:rowOff>
    </xdr:from>
    <xdr:to>
      <xdr:col>7</xdr:col>
      <xdr:colOff>215214</xdr:colOff>
      <xdr:row>6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65732E5E-4A5C-44BB-9451-4D6B8044875B}"/>
            </a:ext>
          </a:extLst>
        </xdr:cNvPr>
        <xdr:cNvSpPr/>
      </xdr:nvSpPr>
      <xdr:spPr>
        <a:xfrm>
          <a:off x="2965450" y="1050290"/>
          <a:ext cx="213944" cy="117475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BF7C410D-194D-4A6A-A9CD-284C99B97A25}"/>
            </a:ext>
          </a:extLst>
        </xdr:cNvPr>
        <xdr:cNvSpPr/>
      </xdr:nvSpPr>
      <xdr:spPr>
        <a:xfrm>
          <a:off x="2964180" y="1485900"/>
          <a:ext cx="571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AD311785-5362-4B00-B7B9-3CDB85D8A502}"/>
            </a:ext>
          </a:extLst>
        </xdr:cNvPr>
        <xdr:cNvSpPr/>
      </xdr:nvSpPr>
      <xdr:spPr>
        <a:xfrm>
          <a:off x="3741420" y="1485900"/>
          <a:ext cx="41148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A93AC63-D2EC-4CDC-B8F9-7ECC38BF4F7F}"/>
            </a:ext>
          </a:extLst>
        </xdr:cNvPr>
        <xdr:cNvCxnSpPr>
          <a:stCxn id="5" idx="3"/>
          <a:endCxn id="6" idx="1"/>
        </xdr:cNvCxnSpPr>
      </xdr:nvCxnSpPr>
      <xdr:spPr>
        <a:xfrm>
          <a:off x="3535680" y="1676400"/>
          <a:ext cx="20574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8</xdr:row>
      <xdr:rowOff>73025</xdr:rowOff>
    </xdr:from>
    <xdr:to>
      <xdr:col>9</xdr:col>
      <xdr:colOff>76200</xdr:colOff>
      <xdr:row>9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ADDC2B8D-7548-4DE8-B635-2BC6DD0A6F25}"/>
            </a:ext>
          </a:extLst>
        </xdr:cNvPr>
        <xdr:cNvSpPr/>
      </xdr:nvSpPr>
      <xdr:spPr>
        <a:xfrm>
          <a:off x="3526155" y="1558925"/>
          <a:ext cx="291465" cy="24447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EF58B756-2C91-4612-8653-2C9D21845E22}"/>
            </a:ext>
          </a:extLst>
        </xdr:cNvPr>
        <xdr:cNvSpPr/>
      </xdr:nvSpPr>
      <xdr:spPr>
        <a:xfrm>
          <a:off x="2964180" y="1866900"/>
          <a:ext cx="57150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1660960C-B59A-4990-B7CA-EC797097D6CC}"/>
            </a:ext>
          </a:extLst>
        </xdr:cNvPr>
        <xdr:cNvSpPr/>
      </xdr:nvSpPr>
      <xdr:spPr>
        <a:xfrm>
          <a:off x="3741420" y="1866900"/>
          <a:ext cx="41148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413E741D-AADB-464E-A23C-177C8B2F958E}"/>
            </a:ext>
          </a:extLst>
        </xdr:cNvPr>
        <xdr:cNvCxnSpPr>
          <a:stCxn id="9" idx="3"/>
          <a:endCxn id="10" idx="1"/>
        </xdr:cNvCxnSpPr>
      </xdr:nvCxnSpPr>
      <xdr:spPr>
        <a:xfrm>
          <a:off x="3535680" y="1962150"/>
          <a:ext cx="20574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9</xdr:row>
      <xdr:rowOff>168275</xdr:rowOff>
    </xdr:from>
    <xdr:to>
      <xdr:col>9</xdr:col>
      <xdr:colOff>76200</xdr:colOff>
      <xdr:row>11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B775075D-3DEA-4B1D-9EED-80AAE1B72C08}"/>
            </a:ext>
          </a:extLst>
        </xdr:cNvPr>
        <xdr:cNvSpPr/>
      </xdr:nvSpPr>
      <xdr:spPr>
        <a:xfrm>
          <a:off x="3526155" y="1844675"/>
          <a:ext cx="291465" cy="23685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5E8BC192-B7D4-40B0-9C99-64D0F08D0CD5}"/>
            </a:ext>
          </a:extLst>
        </xdr:cNvPr>
        <xdr:cNvSpPr/>
      </xdr:nvSpPr>
      <xdr:spPr>
        <a:xfrm>
          <a:off x="2964180" y="2049780"/>
          <a:ext cx="57150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7FA5E1BD-4A0F-4AE2-9F62-CAD8E4D1E517}"/>
            </a:ext>
          </a:extLst>
        </xdr:cNvPr>
        <xdr:cNvSpPr/>
      </xdr:nvSpPr>
      <xdr:spPr>
        <a:xfrm>
          <a:off x="3741420" y="2049780"/>
          <a:ext cx="41148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5DBE2086-76BA-4EAB-B339-8A750329A46B}"/>
            </a:ext>
          </a:extLst>
        </xdr:cNvPr>
        <xdr:cNvCxnSpPr>
          <a:stCxn id="13" idx="3"/>
          <a:endCxn id="14" idx="1"/>
        </xdr:cNvCxnSpPr>
      </xdr:nvCxnSpPr>
      <xdr:spPr>
        <a:xfrm>
          <a:off x="3535680" y="2145030"/>
          <a:ext cx="20574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10</xdr:row>
      <xdr:rowOff>158750</xdr:rowOff>
    </xdr:from>
    <xdr:to>
      <xdr:col>9</xdr:col>
      <xdr:colOff>76200</xdr:colOff>
      <xdr:row>12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39733C83-67A2-40E2-9A93-58E420DE4E0A}"/>
            </a:ext>
          </a:extLst>
        </xdr:cNvPr>
        <xdr:cNvSpPr/>
      </xdr:nvSpPr>
      <xdr:spPr>
        <a:xfrm>
          <a:off x="3526155" y="2025650"/>
          <a:ext cx="291465" cy="23876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23F53523-ED5D-4CFA-BDB9-CE3741DEB55E}"/>
            </a:ext>
          </a:extLst>
        </xdr:cNvPr>
        <xdr:cNvSpPr/>
      </xdr:nvSpPr>
      <xdr:spPr>
        <a:xfrm>
          <a:off x="1524000" y="746760"/>
          <a:ext cx="1226820" cy="18288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50E7F35B-AA74-4818-8042-F5CB89D445EB}"/>
            </a:ext>
          </a:extLst>
        </xdr:cNvPr>
        <xdr:cNvSpPr/>
      </xdr:nvSpPr>
      <xdr:spPr>
        <a:xfrm>
          <a:off x="2964180" y="1120140"/>
          <a:ext cx="571500" cy="18288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222250</xdr:colOff>
      <xdr:row>5</xdr:row>
      <xdr:rowOff>120650</xdr:rowOff>
    </xdr:from>
    <xdr:to>
      <xdr:col>7</xdr:col>
      <xdr:colOff>215214</xdr:colOff>
      <xdr:row>6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AAFBD806-D6C3-49FF-A800-CA12FD902BFB}"/>
            </a:ext>
          </a:extLst>
        </xdr:cNvPr>
        <xdr:cNvSpPr/>
      </xdr:nvSpPr>
      <xdr:spPr>
        <a:xfrm>
          <a:off x="2965450" y="1050290"/>
          <a:ext cx="213944" cy="117475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41FA664-F698-4564-A4E3-702B48D45705}"/>
            </a:ext>
          </a:extLst>
        </xdr:cNvPr>
        <xdr:cNvSpPr/>
      </xdr:nvSpPr>
      <xdr:spPr>
        <a:xfrm>
          <a:off x="2964180" y="1485900"/>
          <a:ext cx="571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C29E42C2-E5D9-4D7C-AFA5-996D112B96FD}"/>
            </a:ext>
          </a:extLst>
        </xdr:cNvPr>
        <xdr:cNvSpPr/>
      </xdr:nvSpPr>
      <xdr:spPr>
        <a:xfrm>
          <a:off x="3741420" y="1485900"/>
          <a:ext cx="41148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F02A1126-4B58-4724-ACC3-26BA37112A2A}"/>
            </a:ext>
          </a:extLst>
        </xdr:cNvPr>
        <xdr:cNvCxnSpPr>
          <a:stCxn id="5" idx="3"/>
          <a:endCxn id="6" idx="1"/>
        </xdr:cNvCxnSpPr>
      </xdr:nvCxnSpPr>
      <xdr:spPr>
        <a:xfrm>
          <a:off x="3535680" y="1676400"/>
          <a:ext cx="20574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8</xdr:row>
      <xdr:rowOff>73025</xdr:rowOff>
    </xdr:from>
    <xdr:to>
      <xdr:col>9</xdr:col>
      <xdr:colOff>76200</xdr:colOff>
      <xdr:row>9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9A765E22-3776-4D0F-B19B-01E73D0FE294}"/>
            </a:ext>
          </a:extLst>
        </xdr:cNvPr>
        <xdr:cNvSpPr/>
      </xdr:nvSpPr>
      <xdr:spPr>
        <a:xfrm>
          <a:off x="3526155" y="1558925"/>
          <a:ext cx="291465" cy="24447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9FBC20F4-1AA0-4C6C-99F9-C9A3C6C0210F}"/>
            </a:ext>
          </a:extLst>
        </xdr:cNvPr>
        <xdr:cNvSpPr/>
      </xdr:nvSpPr>
      <xdr:spPr>
        <a:xfrm>
          <a:off x="2964180" y="1866900"/>
          <a:ext cx="57150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4B5F878-B3B6-4CDA-A728-983FADAEB68C}"/>
            </a:ext>
          </a:extLst>
        </xdr:cNvPr>
        <xdr:cNvSpPr/>
      </xdr:nvSpPr>
      <xdr:spPr>
        <a:xfrm>
          <a:off x="3741420" y="1866900"/>
          <a:ext cx="41148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DEA86E1F-EE8A-4F65-A94C-4D3D9E82FD21}"/>
            </a:ext>
          </a:extLst>
        </xdr:cNvPr>
        <xdr:cNvCxnSpPr>
          <a:stCxn id="9" idx="3"/>
          <a:endCxn id="10" idx="1"/>
        </xdr:cNvCxnSpPr>
      </xdr:nvCxnSpPr>
      <xdr:spPr>
        <a:xfrm>
          <a:off x="3535680" y="1962150"/>
          <a:ext cx="20574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9</xdr:row>
      <xdr:rowOff>168275</xdr:rowOff>
    </xdr:from>
    <xdr:to>
      <xdr:col>9</xdr:col>
      <xdr:colOff>76200</xdr:colOff>
      <xdr:row>11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CBA22488-2EA9-49E0-A990-7EBDDAE88775}"/>
            </a:ext>
          </a:extLst>
        </xdr:cNvPr>
        <xdr:cNvSpPr/>
      </xdr:nvSpPr>
      <xdr:spPr>
        <a:xfrm>
          <a:off x="3526155" y="1844675"/>
          <a:ext cx="291465" cy="23685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B7535DDB-EB4A-4347-B991-997D82F4A9FF}"/>
            </a:ext>
          </a:extLst>
        </xdr:cNvPr>
        <xdr:cNvSpPr/>
      </xdr:nvSpPr>
      <xdr:spPr>
        <a:xfrm>
          <a:off x="2964180" y="2049780"/>
          <a:ext cx="57150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23540D3D-557F-4D62-8CA0-0C3160D443EB}"/>
            </a:ext>
          </a:extLst>
        </xdr:cNvPr>
        <xdr:cNvSpPr/>
      </xdr:nvSpPr>
      <xdr:spPr>
        <a:xfrm>
          <a:off x="3741420" y="2049780"/>
          <a:ext cx="41148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6D7DFDC-2072-4ED7-9AE4-24196B88E420}"/>
            </a:ext>
          </a:extLst>
        </xdr:cNvPr>
        <xdr:cNvCxnSpPr>
          <a:stCxn id="13" idx="3"/>
          <a:endCxn id="14" idx="1"/>
        </xdr:cNvCxnSpPr>
      </xdr:nvCxnSpPr>
      <xdr:spPr>
        <a:xfrm>
          <a:off x="3535680" y="2145030"/>
          <a:ext cx="20574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10</xdr:row>
      <xdr:rowOff>158750</xdr:rowOff>
    </xdr:from>
    <xdr:to>
      <xdr:col>9</xdr:col>
      <xdr:colOff>76200</xdr:colOff>
      <xdr:row>12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88328857-885F-41A9-B165-C73844226AFB}"/>
            </a:ext>
          </a:extLst>
        </xdr:cNvPr>
        <xdr:cNvSpPr/>
      </xdr:nvSpPr>
      <xdr:spPr>
        <a:xfrm>
          <a:off x="3526155" y="2025650"/>
          <a:ext cx="291465" cy="23876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5A222F6F-1E59-4C96-BCEF-62FD6032897C}"/>
            </a:ext>
          </a:extLst>
        </xdr:cNvPr>
        <xdr:cNvSpPr/>
      </xdr:nvSpPr>
      <xdr:spPr>
        <a:xfrm>
          <a:off x="1524000" y="746760"/>
          <a:ext cx="1226820" cy="18288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50CB6133-5C34-4E03-B00C-BE2D58063E0E}"/>
            </a:ext>
          </a:extLst>
        </xdr:cNvPr>
        <xdr:cNvSpPr/>
      </xdr:nvSpPr>
      <xdr:spPr>
        <a:xfrm>
          <a:off x="2964180" y="1120140"/>
          <a:ext cx="571500" cy="18288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222250</xdr:colOff>
      <xdr:row>5</xdr:row>
      <xdr:rowOff>120650</xdr:rowOff>
    </xdr:from>
    <xdr:to>
      <xdr:col>7</xdr:col>
      <xdr:colOff>215214</xdr:colOff>
      <xdr:row>6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21C6D142-5124-4413-A263-454B910BE0FE}"/>
            </a:ext>
          </a:extLst>
        </xdr:cNvPr>
        <xdr:cNvSpPr/>
      </xdr:nvSpPr>
      <xdr:spPr>
        <a:xfrm>
          <a:off x="2965450" y="1050290"/>
          <a:ext cx="213944" cy="117475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F4835B29-D760-4ED6-B6B8-BE92D481B386}"/>
            </a:ext>
          </a:extLst>
        </xdr:cNvPr>
        <xdr:cNvSpPr/>
      </xdr:nvSpPr>
      <xdr:spPr>
        <a:xfrm>
          <a:off x="2964180" y="1485900"/>
          <a:ext cx="571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B2933EE1-112E-4BEE-92DA-E4F21B9674F7}"/>
            </a:ext>
          </a:extLst>
        </xdr:cNvPr>
        <xdr:cNvSpPr/>
      </xdr:nvSpPr>
      <xdr:spPr>
        <a:xfrm>
          <a:off x="3741420" y="1485900"/>
          <a:ext cx="41148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3B16A1C4-59C0-4C5F-91D5-D9119E2D5C2E}"/>
            </a:ext>
          </a:extLst>
        </xdr:cNvPr>
        <xdr:cNvCxnSpPr>
          <a:stCxn id="5" idx="3"/>
          <a:endCxn id="6" idx="1"/>
        </xdr:cNvCxnSpPr>
      </xdr:nvCxnSpPr>
      <xdr:spPr>
        <a:xfrm>
          <a:off x="3535680" y="1676400"/>
          <a:ext cx="20574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8</xdr:row>
      <xdr:rowOff>73025</xdr:rowOff>
    </xdr:from>
    <xdr:to>
      <xdr:col>9</xdr:col>
      <xdr:colOff>76200</xdr:colOff>
      <xdr:row>9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F1CBAEDD-3E44-444C-9F0F-3A51B11AF494}"/>
            </a:ext>
          </a:extLst>
        </xdr:cNvPr>
        <xdr:cNvSpPr/>
      </xdr:nvSpPr>
      <xdr:spPr>
        <a:xfrm>
          <a:off x="3526155" y="1558925"/>
          <a:ext cx="291465" cy="24447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F8055EB-6E19-4DC2-AF73-9DD7D7D9184E}"/>
            </a:ext>
          </a:extLst>
        </xdr:cNvPr>
        <xdr:cNvSpPr/>
      </xdr:nvSpPr>
      <xdr:spPr>
        <a:xfrm>
          <a:off x="2964180" y="1866900"/>
          <a:ext cx="57150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DC1D8A17-C3A9-4819-AD19-9F93AF6A2ED9}"/>
            </a:ext>
          </a:extLst>
        </xdr:cNvPr>
        <xdr:cNvSpPr/>
      </xdr:nvSpPr>
      <xdr:spPr>
        <a:xfrm>
          <a:off x="3741420" y="1866900"/>
          <a:ext cx="41148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EEF78712-46B8-4B1C-A780-68DDDD8B9A7D}"/>
            </a:ext>
          </a:extLst>
        </xdr:cNvPr>
        <xdr:cNvCxnSpPr>
          <a:stCxn id="9" idx="3"/>
          <a:endCxn id="10" idx="1"/>
        </xdr:cNvCxnSpPr>
      </xdr:nvCxnSpPr>
      <xdr:spPr>
        <a:xfrm>
          <a:off x="3535680" y="1962150"/>
          <a:ext cx="20574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9</xdr:row>
      <xdr:rowOff>168275</xdr:rowOff>
    </xdr:from>
    <xdr:to>
      <xdr:col>9</xdr:col>
      <xdr:colOff>76200</xdr:colOff>
      <xdr:row>11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2F949F39-D03F-44FD-BAE3-A99CA1DC8F1A}"/>
            </a:ext>
          </a:extLst>
        </xdr:cNvPr>
        <xdr:cNvSpPr/>
      </xdr:nvSpPr>
      <xdr:spPr>
        <a:xfrm>
          <a:off x="3526155" y="1844675"/>
          <a:ext cx="291465" cy="236855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B17B2C44-01CF-4D75-9AD9-5E25192DCA2D}"/>
            </a:ext>
          </a:extLst>
        </xdr:cNvPr>
        <xdr:cNvSpPr/>
      </xdr:nvSpPr>
      <xdr:spPr>
        <a:xfrm>
          <a:off x="2964180" y="2049780"/>
          <a:ext cx="57150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A05F0115-8F3E-463C-AD72-5CF7B6FD6641}"/>
            </a:ext>
          </a:extLst>
        </xdr:cNvPr>
        <xdr:cNvSpPr/>
      </xdr:nvSpPr>
      <xdr:spPr>
        <a:xfrm>
          <a:off x="3741420" y="2049780"/>
          <a:ext cx="41148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613236F5-21AD-46D4-B83B-FF333376B336}"/>
            </a:ext>
          </a:extLst>
        </xdr:cNvPr>
        <xdr:cNvCxnSpPr>
          <a:stCxn id="13" idx="3"/>
          <a:endCxn id="14" idx="1"/>
        </xdr:cNvCxnSpPr>
      </xdr:nvCxnSpPr>
      <xdr:spPr>
        <a:xfrm>
          <a:off x="3535680" y="2145030"/>
          <a:ext cx="20574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10</xdr:row>
      <xdr:rowOff>158750</xdr:rowOff>
    </xdr:from>
    <xdr:to>
      <xdr:col>9</xdr:col>
      <xdr:colOff>76200</xdr:colOff>
      <xdr:row>12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C95E9962-05FF-41D2-9ABB-33AA2DA8FC67}"/>
            </a:ext>
          </a:extLst>
        </xdr:cNvPr>
        <xdr:cNvSpPr/>
      </xdr:nvSpPr>
      <xdr:spPr>
        <a:xfrm>
          <a:off x="3526155" y="2025650"/>
          <a:ext cx="291465" cy="23876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jack/Downloads/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Step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zData"/>
  <dimension ref="A1:H7"/>
  <sheetViews>
    <sheetView workbookViewId="0">
      <selection activeCell="V8" sqref="V8"/>
    </sheetView>
  </sheetViews>
  <sheetFormatPr defaultColWidth="8.88671875" defaultRowHeight="14.4" x14ac:dyDescent="0.3"/>
  <cols>
    <col min="1" max="2" width="8.88671875" style="9"/>
    <col min="4" max="5" width="8.88671875" style="9"/>
    <col min="7" max="8" width="8.88671875" style="9"/>
  </cols>
  <sheetData>
    <row r="1" spans="1:7" x14ac:dyDescent="0.3">
      <c r="A1" s="9" t="s">
        <v>18</v>
      </c>
      <c r="B1" s="9">
        <v>-3</v>
      </c>
      <c r="D1" s="9" t="s">
        <v>25</v>
      </c>
      <c r="G1" s="9" t="s">
        <v>27</v>
      </c>
    </row>
    <row r="2" spans="1:7" x14ac:dyDescent="0.3">
      <c r="A2" s="9" t="s">
        <v>20</v>
      </c>
      <c r="B2" s="9">
        <v>-2</v>
      </c>
      <c r="D2" s="9" t="s">
        <v>26</v>
      </c>
      <c r="G2" s="9" t="s">
        <v>28</v>
      </c>
    </row>
    <row r="3" spans="1:7" x14ac:dyDescent="0.3">
      <c r="A3" s="9" t="s">
        <v>19</v>
      </c>
      <c r="B3" s="9">
        <v>-1</v>
      </c>
    </row>
    <row r="4" spans="1:7" x14ac:dyDescent="0.3">
      <c r="A4" s="9" t="s">
        <v>21</v>
      </c>
      <c r="B4" s="9">
        <v>0</v>
      </c>
    </row>
    <row r="5" spans="1:7" x14ac:dyDescent="0.3">
      <c r="A5" s="9" t="s">
        <v>22</v>
      </c>
      <c r="B5" s="9">
        <v>4</v>
      </c>
    </row>
    <row r="6" spans="1:7" x14ac:dyDescent="0.3">
      <c r="A6" s="9" t="s">
        <v>11</v>
      </c>
      <c r="B6" s="9">
        <v>5</v>
      </c>
    </row>
    <row r="7" spans="1:7" x14ac:dyDescent="0.3">
      <c r="A7" s="9" t="s">
        <v>23</v>
      </c>
      <c r="B7" s="9">
        <v>10</v>
      </c>
    </row>
  </sheetData>
  <dataConsolidate/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S1814"/>
  <sheetViews>
    <sheetView workbookViewId="0">
      <selection activeCell="I19" sqref="I19"/>
    </sheetView>
  </sheetViews>
  <sheetFormatPr defaultColWidth="8.88671875" defaultRowHeight="14.4" x14ac:dyDescent="0.3"/>
  <sheetData>
    <row r="1" spans="1:71" x14ac:dyDescent="0.3">
      <c r="A1" t="e">
        <f>ModelSheet=Data!A:Z</f>
        <v>#NAME?</v>
      </c>
      <c r="B1" t="e">
        <f>ModelSheet=Results!A:Z</f>
        <v>#NAME?</v>
      </c>
      <c r="C1" t="e">
        <f>ModelSheet=SimpleLP!A:Z</f>
        <v>#NAME?</v>
      </c>
      <c r="D1" t="e">
        <f>ModelSheet=SimpleIP!A:Z</f>
        <v>#NAME?</v>
      </c>
      <c r="E1" t="e">
        <f>ModelSheet=#REF!</f>
        <v>#NAME?</v>
      </c>
      <c r="F1" t="e">
        <f>ModelSheet=#REF!</f>
        <v>#NAME?</v>
      </c>
      <c r="G1" t="e">
        <f>ModelSheet=#REF!</f>
        <v>#NAME?</v>
      </c>
      <c r="H1" t="e">
        <f>ModelSheet=#REF!</f>
        <v>#NAME?</v>
      </c>
      <c r="I1" t="e">
        <f>ModelSheet=#REF!</f>
        <v>#NAME?</v>
      </c>
      <c r="J1" t="e">
        <f>ModelSheet=#REF!</f>
        <v>#NAME?</v>
      </c>
      <c r="K1" t="e">
        <f>ModelSheet=#REF!</f>
        <v>#NAME?</v>
      </c>
      <c r="L1" t="e">
        <f>ModelSheet=#REF!</f>
        <v>#NAME?</v>
      </c>
      <c r="M1" t="e">
        <f>ModelSheet=#REF!</f>
        <v>#NAME?</v>
      </c>
      <c r="N1" t="e">
        <f>ModelSheet=#REF!</f>
        <v>#NAME?</v>
      </c>
      <c r="O1" t="e">
        <f>ModelSheet=#REF!</f>
        <v>#NAME?</v>
      </c>
      <c r="P1" t="e">
        <f>ModelSheet=#REF!</f>
        <v>#NAME?</v>
      </c>
      <c r="Q1" t="e">
        <f>ModelSheet=#REF!</f>
        <v>#NAME?</v>
      </c>
      <c r="R1" t="e">
        <f>ModelSheet=#REF!</f>
        <v>#NAME?</v>
      </c>
      <c r="S1" t="e">
        <f>ModelSheet=#REF!</f>
        <v>#NAME?</v>
      </c>
      <c r="T1" t="e">
        <f>ModelSheet=#REF!</f>
        <v>#NAME?</v>
      </c>
      <c r="U1" t="e">
        <f>ModelSheet=#REF!</f>
        <v>#NAME?</v>
      </c>
      <c r="V1" t="e">
        <f>ModelSheet='BadName!'!A:Z</f>
        <v>#NAME?</v>
      </c>
      <c r="W1" t="e">
        <f>ModelSheet='EscapeSheetName(1)+2-1'!A:Z</f>
        <v>#NAME?</v>
      </c>
      <c r="X1" t="e">
        <f>ModelSheet=#REF!</f>
        <v>#NAME?</v>
      </c>
      <c r="Y1" t="e">
        <f>ModelSheet=#REF!</f>
        <v>#NAME?</v>
      </c>
      <c r="Z1" t="e">
        <f>ModelSheet=#REF!</f>
        <v>#NAME?</v>
      </c>
      <c r="AA1" t="e">
        <f>ModelSheet=#REF!</f>
        <v>#NAME?</v>
      </c>
      <c r="AB1" t="e">
        <f>ModelSheet=#REF!</f>
        <v>#NAME?</v>
      </c>
      <c r="AC1" t="e">
        <f>ModelSheet=#REF!</f>
        <v>#NAME?</v>
      </c>
      <c r="AD1" t="e">
        <f>ModelSheet=#REF!</f>
        <v>#NAME?</v>
      </c>
      <c r="AE1" t="e">
        <f>ModelSheet=#REF!</f>
        <v>#NAME?</v>
      </c>
      <c r="AF1" t="e">
        <f>ModelSheet=#REF!</f>
        <v>#NAME?</v>
      </c>
      <c r="AG1" t="e">
        <f>ModelSheet=#REF!</f>
        <v>#NAME?</v>
      </c>
      <c r="AH1" t="e">
        <f>ModelSheet=#REF!</f>
        <v>#NAME?</v>
      </c>
      <c r="AI1" t="e">
        <f>ModelSheet=#REF!</f>
        <v>#NAME?</v>
      </c>
      <c r="AJ1" t="e">
        <f>ModelSheet=#REF!</f>
        <v>#NAME?</v>
      </c>
      <c r="AK1" t="e">
        <f>ModelSheet=#REF!</f>
        <v>#NAME?</v>
      </c>
      <c r="AL1" t="e">
        <f>ModelSheet=#REF!</f>
        <v>#NAME?</v>
      </c>
      <c r="AM1" t="e">
        <f>ModelSheet=#REF!</f>
        <v>#NAME?</v>
      </c>
      <c r="AN1" t="e">
        <f>ModelSheet=#REF!</f>
        <v>#NAME?</v>
      </c>
      <c r="AO1" t="e">
        <f>ModelSheet=#REF!</f>
        <v>#NAME?</v>
      </c>
      <c r="AP1" t="e">
        <f>ModelSheet=#REF!</f>
        <v>#NAME?</v>
      </c>
      <c r="AQ1" t="e">
        <f>ModelSheet=#REF!</f>
        <v>#NAME?</v>
      </c>
      <c r="AR1" t="e">
        <f>ModelSheet=#REF!</f>
        <v>#NAME?</v>
      </c>
      <c r="AS1" t="e">
        <f>ModelSheet=#REF!</f>
        <v>#NAME?</v>
      </c>
      <c r="AT1" t="e">
        <f>ModelSheet=#REF!</f>
        <v>#NAME?</v>
      </c>
      <c r="AU1" t="e">
        <f>ModelSheet=#REF!</f>
        <v>#NAME?</v>
      </c>
      <c r="AV1" t="e">
        <f>ModelSheet=#REF!</f>
        <v>#NAME?</v>
      </c>
      <c r="AW1" t="e">
        <f>ModelSheet=#REF!</f>
        <v>#NAME?</v>
      </c>
      <c r="AX1" t="e">
        <f>ModelSheet=#REF!</f>
        <v>#NAME?</v>
      </c>
      <c r="AY1" t="e">
        <f>ModelSheet=#REF!</f>
        <v>#NAME?</v>
      </c>
      <c r="AZ1" t="e">
        <f>ModelSheet=#REF!</f>
        <v>#NAME?</v>
      </c>
      <c r="BA1" t="e">
        <f>ModelSheet=#REF!</f>
        <v>#NAME?</v>
      </c>
      <c r="BB1" t="e">
        <f>ModelSheet=#REF!</f>
        <v>#NAME?</v>
      </c>
      <c r="BC1" t="e">
        <f>ModelSheet=#REF!</f>
        <v>#NAME?</v>
      </c>
      <c r="BD1" t="e">
        <f>ModelSheet=#REF!</f>
        <v>#NAME?</v>
      </c>
      <c r="BE1" t="e">
        <f>ModelSheet=#REF!</f>
        <v>#NAME?</v>
      </c>
      <c r="BF1" t="e">
        <f>ModelSheet=#REF!</f>
        <v>#NAME?</v>
      </c>
      <c r="BG1" t="e">
        <f>ModelSheet=#REF!</f>
        <v>#NAME?</v>
      </c>
      <c r="BH1" t="e">
        <f>ModelSheet=#REF!</f>
        <v>#NAME?</v>
      </c>
      <c r="BI1" t="e">
        <f>ModelSheet=#REF!</f>
        <v>#NAME?</v>
      </c>
      <c r="BJ1" t="e">
        <f>ModelSheet=#REF!</f>
        <v>#NAME?</v>
      </c>
      <c r="BK1" t="e">
        <f>ModelSheet=#REF!</f>
        <v>#NAME?</v>
      </c>
      <c r="BL1" t="e">
        <f>ModelSheet=#REF!</f>
        <v>#NAME?</v>
      </c>
      <c r="BM1" t="e">
        <f>ModelSheet=#REF!</f>
        <v>#NAME?</v>
      </c>
      <c r="BN1" t="e">
        <f>ModelSheet=#REF!</f>
        <v>#NAME?</v>
      </c>
      <c r="BO1" t="e">
        <f>ModelSheet=#REF!</f>
        <v>#NAME?</v>
      </c>
      <c r="BP1" t="e">
        <f>ModelSheet=#REF!</f>
        <v>#NAME?</v>
      </c>
      <c r="BQ1" t="e">
        <f>ModelSheet=#REF!</f>
        <v>#NAME?</v>
      </c>
      <c r="BR1" t="e">
        <f>ModelSheet=#REF!</f>
        <v>#NAME?</v>
      </c>
      <c r="BS1" t="e">
        <f>ModelSheet=#REF!</f>
        <v>#NAME?</v>
      </c>
    </row>
    <row r="2" spans="1:71" x14ac:dyDescent="0.3">
      <c r="B2" t="e">
        <f t="shared" ref="B2:AG2" si="0">OpenSolver_ChosenSolver=CBC</f>
        <v>#NAME?</v>
      </c>
      <c r="C2" t="e">
        <f t="shared" si="0"/>
        <v>#NAME?</v>
      </c>
      <c r="D2" t="e">
        <f t="shared" si="0"/>
        <v>#NAME?</v>
      </c>
      <c r="E2" t="e">
        <f t="shared" si="0"/>
        <v>#NAME?</v>
      </c>
      <c r="F2" t="e">
        <f t="shared" si="0"/>
        <v>#NAME?</v>
      </c>
      <c r="G2" t="e">
        <f t="shared" si="0"/>
        <v>#NAME?</v>
      </c>
      <c r="H2" t="e">
        <f t="shared" si="0"/>
        <v>#NAME?</v>
      </c>
      <c r="I2" t="e">
        <f t="shared" si="0"/>
        <v>#NAME?</v>
      </c>
      <c r="J2" t="e">
        <f t="shared" si="0"/>
        <v>#NAME?</v>
      </c>
      <c r="K2" t="e">
        <f t="shared" si="0"/>
        <v>#NAME?</v>
      </c>
      <c r="L2" t="e">
        <f t="shared" si="0"/>
        <v>#NAME?</v>
      </c>
      <c r="M2" t="e">
        <f t="shared" si="0"/>
        <v>#NAME?</v>
      </c>
      <c r="N2" t="e">
        <f t="shared" si="0"/>
        <v>#NAME?</v>
      </c>
      <c r="O2" t="e">
        <f t="shared" si="0"/>
        <v>#NAME?</v>
      </c>
      <c r="P2" t="e">
        <f t="shared" si="0"/>
        <v>#NAME?</v>
      </c>
      <c r="Q2" t="e">
        <f t="shared" si="0"/>
        <v>#NAME?</v>
      </c>
      <c r="R2" t="e">
        <f t="shared" si="0"/>
        <v>#NAME?</v>
      </c>
      <c r="S2" t="e">
        <f t="shared" si="0"/>
        <v>#NAME?</v>
      </c>
      <c r="T2" t="e">
        <f t="shared" si="0"/>
        <v>#NAME?</v>
      </c>
      <c r="U2" t="e">
        <f t="shared" si="0"/>
        <v>#NAME?</v>
      </c>
      <c r="V2" t="e">
        <f t="shared" si="0"/>
        <v>#NAME?</v>
      </c>
      <c r="W2" t="e">
        <f t="shared" si="0"/>
        <v>#NAME?</v>
      </c>
      <c r="X2" t="e">
        <f t="shared" si="0"/>
        <v>#NAME?</v>
      </c>
      <c r="Y2" t="e">
        <f t="shared" si="0"/>
        <v>#NAME?</v>
      </c>
      <c r="Z2" t="e">
        <f t="shared" si="0"/>
        <v>#NAME?</v>
      </c>
      <c r="AA2" t="e">
        <f t="shared" si="0"/>
        <v>#NAME?</v>
      </c>
      <c r="AB2" t="e">
        <f t="shared" si="0"/>
        <v>#NAME?</v>
      </c>
      <c r="AC2" t="e">
        <f t="shared" si="0"/>
        <v>#NAME?</v>
      </c>
      <c r="AD2" t="e">
        <f t="shared" si="0"/>
        <v>#NAME?</v>
      </c>
      <c r="AE2" t="e">
        <f t="shared" si="0"/>
        <v>#NAME?</v>
      </c>
      <c r="AF2" t="e">
        <f t="shared" si="0"/>
        <v>#NAME?</v>
      </c>
      <c r="AG2" t="e">
        <f t="shared" si="0"/>
        <v>#NAME?</v>
      </c>
      <c r="AH2" t="e">
        <f t="shared" ref="AH2:BA2" si="1">OpenSolver_ChosenSolver=CBC</f>
        <v>#NAME?</v>
      </c>
      <c r="AI2" t="e">
        <f t="shared" si="1"/>
        <v>#NAME?</v>
      </c>
      <c r="AJ2" t="e">
        <f t="shared" si="1"/>
        <v>#NAME?</v>
      </c>
      <c r="AK2" t="e">
        <f t="shared" si="1"/>
        <v>#NAME?</v>
      </c>
      <c r="AL2" t="e">
        <f t="shared" si="1"/>
        <v>#NAME?</v>
      </c>
      <c r="AM2" t="e">
        <f t="shared" si="1"/>
        <v>#NAME?</v>
      </c>
      <c r="AN2" t="e">
        <f t="shared" si="1"/>
        <v>#NAME?</v>
      </c>
      <c r="AO2" t="e">
        <f t="shared" si="1"/>
        <v>#NAME?</v>
      </c>
      <c r="AP2" t="e">
        <f t="shared" si="1"/>
        <v>#NAME?</v>
      </c>
      <c r="AQ2" t="e">
        <f t="shared" si="1"/>
        <v>#NAME?</v>
      </c>
      <c r="AR2" t="e">
        <f t="shared" si="1"/>
        <v>#NAME?</v>
      </c>
      <c r="AS2" t="e">
        <f t="shared" si="1"/>
        <v>#NAME?</v>
      </c>
      <c r="AT2" t="e">
        <f t="shared" si="1"/>
        <v>#NAME?</v>
      </c>
      <c r="AU2" t="e">
        <f t="shared" si="1"/>
        <v>#NAME?</v>
      </c>
      <c r="AV2" t="e">
        <f t="shared" si="1"/>
        <v>#NAME?</v>
      </c>
      <c r="AW2" t="e">
        <f t="shared" si="1"/>
        <v>#NAME?</v>
      </c>
      <c r="AX2" t="e">
        <f t="shared" si="1"/>
        <v>#NAME?</v>
      </c>
      <c r="AY2" t="e">
        <f t="shared" si="1"/>
        <v>#NAME?</v>
      </c>
      <c r="AZ2" t="e">
        <f t="shared" si="1"/>
        <v>#NAME?</v>
      </c>
      <c r="BA2" t="e">
        <f t="shared" si="1"/>
        <v>#NAME?</v>
      </c>
      <c r="BB2" t="e">
        <f>OpenSolver_CBCParameters=#REF!</f>
        <v>#NAME?</v>
      </c>
      <c r="BC2" t="e">
        <f t="shared" ref="BC2:BQ2" si="2">OpenSolver_ChosenSolver=CBC</f>
        <v>#NAME?</v>
      </c>
      <c r="BD2" t="e">
        <f t="shared" si="2"/>
        <v>#NAME?</v>
      </c>
      <c r="BE2" t="e">
        <f t="shared" si="2"/>
        <v>#NAME?</v>
      </c>
      <c r="BF2" t="e">
        <f t="shared" si="2"/>
        <v>#NAME?</v>
      </c>
      <c r="BG2" t="e">
        <f t="shared" si="2"/>
        <v>#NAME?</v>
      </c>
      <c r="BH2" t="e">
        <f t="shared" si="2"/>
        <v>#NAME?</v>
      </c>
      <c r="BI2" t="e">
        <f t="shared" si="2"/>
        <v>#NAME?</v>
      </c>
      <c r="BJ2" t="e">
        <f t="shared" si="2"/>
        <v>#NAME?</v>
      </c>
      <c r="BK2" t="e">
        <f t="shared" si="2"/>
        <v>#NAME?</v>
      </c>
      <c r="BL2" t="e">
        <f t="shared" si="2"/>
        <v>#NAME?</v>
      </c>
      <c r="BM2" t="e">
        <f t="shared" si="2"/>
        <v>#NAME?</v>
      </c>
      <c r="BN2" t="e">
        <f t="shared" si="2"/>
        <v>#NAME?</v>
      </c>
      <c r="BO2" t="e">
        <f t="shared" si="2"/>
        <v>#NAME?</v>
      </c>
      <c r="BP2" t="e">
        <f t="shared" si="2"/>
        <v>#NAME?</v>
      </c>
      <c r="BQ2" t="e">
        <f t="shared" si="2"/>
        <v>#NAME?</v>
      </c>
    </row>
    <row r="3" spans="1:71" x14ac:dyDescent="0.3">
      <c r="B3" t="e">
        <f>OpenSolver_LinearityCheck=1</f>
        <v>#NAME?</v>
      </c>
      <c r="C3" t="e">
        <f>OpenSolver_DualsNewSheet=0</f>
        <v>#NAME?</v>
      </c>
      <c r="D3" t="e">
        <f>OpenSolver_DualsNewSheet=0</f>
        <v>#NAME?</v>
      </c>
      <c r="E3" t="e">
        <f>OpenSolver_DualsNewSheet=0</f>
        <v>#NAME?</v>
      </c>
      <c r="F3" t="e">
        <f>OpenSolver_DualsNewSheet=0</f>
        <v>#NAME?</v>
      </c>
      <c r="G3" t="e">
        <f>OpenSolver_DualsNewSheet=0</f>
        <v>#NAME?</v>
      </c>
      <c r="H3" t="e">
        <f t="shared" ref="H3:M3" si="3">OpenSolver_LinearityCheck=1</f>
        <v>#NAME?</v>
      </c>
      <c r="I3" t="e">
        <f t="shared" si="3"/>
        <v>#NAME?</v>
      </c>
      <c r="J3" t="e">
        <f t="shared" si="3"/>
        <v>#NAME?</v>
      </c>
      <c r="K3" t="e">
        <f t="shared" si="3"/>
        <v>#NAME?</v>
      </c>
      <c r="L3" t="e">
        <f t="shared" si="3"/>
        <v>#NAME?</v>
      </c>
      <c r="M3" t="e">
        <f t="shared" si="3"/>
        <v>#NAME?</v>
      </c>
      <c r="N3" t="e">
        <f>OpenSolver_DualsNewSheet=0</f>
        <v>#NAME?</v>
      </c>
      <c r="O3" t="e">
        <f>OpenSolver_LinearityCheck=1</f>
        <v>#NAME?</v>
      </c>
      <c r="P3" t="e">
        <f>OpenSolver_DualsNewSheet=0</f>
        <v>#NAME?</v>
      </c>
      <c r="Q3" t="e">
        <f>OpenSolver_DualsNewSheet=0</f>
        <v>#NAME?</v>
      </c>
      <c r="R3" t="e">
        <f>OpenSolver_LinearityCheck=1</f>
        <v>#NAME?</v>
      </c>
      <c r="S3" t="e">
        <f>OpenSolver_DualsNewSheet=0</f>
        <v>#NAME?</v>
      </c>
      <c r="T3" t="e">
        <f>OpenSolver_DualsNewSheet=0</f>
        <v>#NAME?</v>
      </c>
      <c r="U3" t="e">
        <f>OpenSolver_LinearityCheck=1</f>
        <v>#NAME?</v>
      </c>
      <c r="V3" t="e">
        <f>OpenSolver_LinearityCheck=1</f>
        <v>#NAME?</v>
      </c>
      <c r="W3" t="e">
        <f>OpenSolver_DualsNewSheet=0</f>
        <v>#NAME?</v>
      </c>
      <c r="X3" t="e">
        <f>OpenSolver_LinearityCheck=1</f>
        <v>#NAME?</v>
      </c>
      <c r="Y3" t="e">
        <f>OpenSolver_LinearityCheck=1</f>
        <v>#NAME?</v>
      </c>
      <c r="Z3" t="e">
        <f>OpenSolver_LinearityCheck=1</f>
        <v>#NAME?</v>
      </c>
      <c r="AA3" t="e">
        <f>OpenSolver_DualsNewSheet=0</f>
        <v>#NAME?</v>
      </c>
      <c r="AB3" t="e">
        <f>OpenSolver_DualsNewSheet=0</f>
        <v>#NAME?</v>
      </c>
      <c r="AC3" t="e">
        <f>OpenSolver_LinearityCheck=1</f>
        <v>#NAME?</v>
      </c>
      <c r="AD3" t="e">
        <f t="shared" ref="AD3:AW3" si="4">OpenSolver_DualsNewSheet=0</f>
        <v>#NAME?</v>
      </c>
      <c r="AE3" t="e">
        <f t="shared" si="4"/>
        <v>#NAME?</v>
      </c>
      <c r="AF3" t="e">
        <f t="shared" si="4"/>
        <v>#NAME?</v>
      </c>
      <c r="AG3" t="e">
        <f t="shared" si="4"/>
        <v>#NAME?</v>
      </c>
      <c r="AH3" t="e">
        <f t="shared" si="4"/>
        <v>#NAME?</v>
      </c>
      <c r="AI3" t="e">
        <f t="shared" si="4"/>
        <v>#NAME?</v>
      </c>
      <c r="AJ3" t="e">
        <f t="shared" si="4"/>
        <v>#NAME?</v>
      </c>
      <c r="AK3" t="e">
        <f t="shared" si="4"/>
        <v>#NAME?</v>
      </c>
      <c r="AL3" t="e">
        <f t="shared" si="4"/>
        <v>#NAME?</v>
      </c>
      <c r="AM3" t="e">
        <f t="shared" si="4"/>
        <v>#NAME?</v>
      </c>
      <c r="AN3" t="e">
        <f t="shared" si="4"/>
        <v>#NAME?</v>
      </c>
      <c r="AO3" t="e">
        <f t="shared" si="4"/>
        <v>#NAME?</v>
      </c>
      <c r="AP3" t="e">
        <f t="shared" si="4"/>
        <v>#NAME?</v>
      </c>
      <c r="AQ3" t="e">
        <f t="shared" si="4"/>
        <v>#NAME?</v>
      </c>
      <c r="AR3" t="e">
        <f t="shared" si="4"/>
        <v>#NAME?</v>
      </c>
      <c r="AS3" t="e">
        <f t="shared" si="4"/>
        <v>#NAME?</v>
      </c>
      <c r="AT3" t="e">
        <f t="shared" si="4"/>
        <v>#NAME?</v>
      </c>
      <c r="AU3" t="e">
        <f t="shared" si="4"/>
        <v>#NAME?</v>
      </c>
      <c r="AV3" t="e">
        <f t="shared" si="4"/>
        <v>#NAME?</v>
      </c>
      <c r="AW3" t="e">
        <f t="shared" si="4"/>
        <v>#NAME?</v>
      </c>
      <c r="AX3" t="e">
        <f>OpenSolver_DualsNewSheet=1</f>
        <v>#NAME?</v>
      </c>
      <c r="AY3" t="e">
        <f>OpenSolver_DualsNewSheet=0</f>
        <v>#NAME?</v>
      </c>
      <c r="AZ3" t="e">
        <f>OpenSolver_DualsNewSheet=0</f>
        <v>#NAME?</v>
      </c>
      <c r="BA3" t="e">
        <f>OpenSolver_DualsNewSheet=0</f>
        <v>#NAME?</v>
      </c>
      <c r="BB3" t="e">
        <f>OpenSolver_ChosenSolver=CBC</f>
        <v>#NAME?</v>
      </c>
      <c r="BC3" t="e">
        <f>OpenSolver_Duals=#REF!</f>
        <v>#NAME?</v>
      </c>
      <c r="BD3" t="e">
        <f>OpenSolver_DualsNewSheet=1</f>
        <v>#NAME?</v>
      </c>
      <c r="BE3" t="e">
        <f t="shared" ref="BE3:BN3" si="5">OpenSolver_LinearityCheck=1</f>
        <v>#NAME?</v>
      </c>
      <c r="BF3" t="e">
        <f t="shared" si="5"/>
        <v>#NAME?</v>
      </c>
      <c r="BG3" t="e">
        <f t="shared" si="5"/>
        <v>#NAME?</v>
      </c>
      <c r="BH3" t="e">
        <f t="shared" si="5"/>
        <v>#NAME?</v>
      </c>
      <c r="BI3" t="e">
        <f t="shared" si="5"/>
        <v>#NAME?</v>
      </c>
      <c r="BJ3" t="e">
        <f t="shared" si="5"/>
        <v>#NAME?</v>
      </c>
      <c r="BK3" t="e">
        <f t="shared" si="5"/>
        <v>#NAME?</v>
      </c>
      <c r="BL3" t="e">
        <f t="shared" si="5"/>
        <v>#NAME?</v>
      </c>
      <c r="BM3" t="e">
        <f t="shared" si="5"/>
        <v>#NAME?</v>
      </c>
      <c r="BN3" t="e">
        <f t="shared" si="5"/>
        <v>#NAME?</v>
      </c>
      <c r="BO3" t="e">
        <f>solver_adj=#REF!</f>
        <v>#NAME?</v>
      </c>
      <c r="BP3" t="e">
        <f>OpenSolver_LinearityCheck=1</f>
        <v>#NAME?</v>
      </c>
      <c r="BQ3" t="e">
        <f>OpenSolver_LinearityCheck=1</f>
        <v>#NAME?</v>
      </c>
    </row>
    <row r="4" spans="1:71" x14ac:dyDescent="0.3">
      <c r="C4" t="e">
        <f>OpenSolver_LinearityCheck=1</f>
        <v>#NAME?</v>
      </c>
      <c r="D4" t="e">
        <f>OpenSolver_LinearityCheck=1</f>
        <v>#NAME?</v>
      </c>
      <c r="E4" t="e">
        <f>OpenSolver_LinearityCheck=1</f>
        <v>#NAME?</v>
      </c>
      <c r="F4" t="e">
        <f>OpenSolver_LinearityCheck=1</f>
        <v>#NAME?</v>
      </c>
      <c r="G4" t="e">
        <f>OpenSolver_LinearityCheck=1</f>
        <v>#NAME?</v>
      </c>
      <c r="H4" t="e">
        <f>solver_adj=#REF!</f>
        <v>#NAME?</v>
      </c>
      <c r="I4" t="e">
        <f>solver_adj=#REF!</f>
        <v>#NAME?</v>
      </c>
      <c r="J4" t="e">
        <f>solver_adj=#REF!</f>
        <v>#NAME?</v>
      </c>
      <c r="K4" t="e">
        <f>solver_adj=#REF!</f>
        <v>#NAME?</v>
      </c>
      <c r="L4" t="e">
        <f>solver_adj=#REF!</f>
        <v>#NAME?</v>
      </c>
      <c r="M4" t="e">
        <f>solver_adj=#REF!</f>
        <v>#NAME?</v>
      </c>
      <c r="N4" t="e">
        <f>OpenSolver_LinearityCheck=1</f>
        <v>#NAME?</v>
      </c>
      <c r="O4" t="e">
        <f>solver_adj=#REF!</f>
        <v>#NAME?</v>
      </c>
      <c r="P4" t="e">
        <f>OpenSolver_LinearityCheck=1</f>
        <v>#NAME?</v>
      </c>
      <c r="Q4" t="e">
        <f>OpenSolver_LinearityCheck=1</f>
        <v>#NAME?</v>
      </c>
      <c r="R4" t="e">
        <f>solver_adj=#REF!</f>
        <v>#NAME?</v>
      </c>
      <c r="S4" t="e">
        <f>OpenSolver_LinearityCheck=1</f>
        <v>#NAME?</v>
      </c>
      <c r="T4" t="e">
        <f>OpenSolver_LinearityCheck=1</f>
        <v>#NAME?</v>
      </c>
      <c r="U4" t="e">
        <f>solver_adj=#REF!,#REF!,#REF!</f>
        <v>#NAME?</v>
      </c>
      <c r="V4" t="e">
        <f>solver_adj='BadName!'!$D$5:$F$5</f>
        <v>#NAME?</v>
      </c>
      <c r="W4" t="e">
        <f>OpenSolver_LinearityCheck=1</f>
        <v>#NAME?</v>
      </c>
      <c r="X4" t="e">
        <f>solver_adj=#REF!</f>
        <v>#NAME?</v>
      </c>
      <c r="Y4" t="e">
        <f>solver_adj=#REF!</f>
        <v>#NAME?</v>
      </c>
      <c r="Z4" t="e">
        <f>solver_adj=#REF!</f>
        <v>#NAME?</v>
      </c>
      <c r="AA4" t="e">
        <f>OpenSolver_LinearityCheck=1</f>
        <v>#NAME?</v>
      </c>
      <c r="AB4" t="e">
        <f>OpenSolver_LinearityCheck=1</f>
        <v>#NAME?</v>
      </c>
      <c r="AC4" t="e">
        <f>solver_adj=#REF!</f>
        <v>#NAME?</v>
      </c>
      <c r="AD4" t="e">
        <f t="shared" ref="AD4:BA4" si="6">OpenSolver_LinearityCheck=1</f>
        <v>#NAME?</v>
      </c>
      <c r="AE4" t="e">
        <f t="shared" si="6"/>
        <v>#NAME?</v>
      </c>
      <c r="AF4" t="e">
        <f t="shared" si="6"/>
        <v>#NAME?</v>
      </c>
      <c r="AG4" t="e">
        <f t="shared" si="6"/>
        <v>#NAME?</v>
      </c>
      <c r="AH4" t="e">
        <f t="shared" si="6"/>
        <v>#NAME?</v>
      </c>
      <c r="AI4" t="e">
        <f t="shared" si="6"/>
        <v>#NAME?</v>
      </c>
      <c r="AJ4" t="e">
        <f t="shared" si="6"/>
        <v>#NAME?</v>
      </c>
      <c r="AK4" t="e">
        <f t="shared" si="6"/>
        <v>#NAME?</v>
      </c>
      <c r="AL4" t="e">
        <f t="shared" si="6"/>
        <v>#NAME?</v>
      </c>
      <c r="AM4" t="e">
        <f t="shared" si="6"/>
        <v>#NAME?</v>
      </c>
      <c r="AN4" t="e">
        <f t="shared" si="6"/>
        <v>#NAME?</v>
      </c>
      <c r="AO4" t="e">
        <f t="shared" si="6"/>
        <v>#NAME?</v>
      </c>
      <c r="AP4" t="e">
        <f t="shared" si="6"/>
        <v>#NAME?</v>
      </c>
      <c r="AQ4" t="e">
        <f t="shared" si="6"/>
        <v>#NAME?</v>
      </c>
      <c r="AR4" t="e">
        <f t="shared" si="6"/>
        <v>#NAME?</v>
      </c>
      <c r="AS4" t="e">
        <f t="shared" si="6"/>
        <v>#NAME?</v>
      </c>
      <c r="AT4" t="e">
        <f t="shared" si="6"/>
        <v>#NAME?</v>
      </c>
      <c r="AU4" t="e">
        <f t="shared" si="6"/>
        <v>#NAME?</v>
      </c>
      <c r="AV4" t="e">
        <f t="shared" si="6"/>
        <v>#NAME?</v>
      </c>
      <c r="AW4" t="e">
        <f t="shared" si="6"/>
        <v>#NAME?</v>
      </c>
      <c r="AX4" t="e">
        <f t="shared" si="6"/>
        <v>#NAME?</v>
      </c>
      <c r="AY4" t="e">
        <f t="shared" si="6"/>
        <v>#NAME?</v>
      </c>
      <c r="AZ4" t="e">
        <f t="shared" si="6"/>
        <v>#NAME?</v>
      </c>
      <c r="BA4" t="e">
        <f t="shared" si="6"/>
        <v>#NAME?</v>
      </c>
      <c r="BB4" t="e">
        <f>OpenSolver_DualsNewSheet=0</f>
        <v>#NAME?</v>
      </c>
      <c r="BC4" t="e">
        <f>OpenSolver_DualsNewSheet=1</f>
        <v>#NAME?</v>
      </c>
      <c r="BD4" t="e">
        <f>OpenSolver_LinearityCheck=1</f>
        <v>#NAME?</v>
      </c>
      <c r="BE4" t="e">
        <f>solver_adj=#REF!</f>
        <v>#NAME?</v>
      </c>
      <c r="BF4" t="e">
        <f>solver_adj=#REF!</f>
        <v>#NAME?</v>
      </c>
      <c r="BG4" t="e">
        <f>solver_adj=#REF!</f>
        <v>#NAME?</v>
      </c>
      <c r="BH4" t="e">
        <f>solver_adj=#REF!</f>
        <v>#NAME?</v>
      </c>
      <c r="BI4" t="e">
        <f>solver_adj=#REF!</f>
        <v>#NAME?</v>
      </c>
      <c r="BJ4" t="e">
        <f>solver_adj=#REF!</f>
        <v>#NAME?</v>
      </c>
      <c r="BK4" t="e">
        <f>solver_adj=#REF!</f>
        <v>#NAME?</v>
      </c>
      <c r="BL4" t="e">
        <f>solver_adj=#REF!</f>
        <v>#NAME?</v>
      </c>
      <c r="BM4" t="e">
        <f>solver_adj=#REF!</f>
        <v>#NAME?</v>
      </c>
      <c r="BN4" t="e">
        <f>solver_adj=#REF!</f>
        <v>#NAME?</v>
      </c>
      <c r="BO4" t="e">
        <f>solver_opt=#REF!</f>
        <v>#NAME?</v>
      </c>
      <c r="BP4" t="e">
        <f>solver_adj=#REF!</f>
        <v>#NAME?</v>
      </c>
      <c r="BQ4" t="e">
        <f>solver_adj=#REF!</f>
        <v>#NAME?</v>
      </c>
    </row>
    <row r="5" spans="1:71" x14ac:dyDescent="0.3">
      <c r="C5" t="e">
        <f>solver_adj=SimpleLP!$D$4:$F$4</f>
        <v>#NAME?</v>
      </c>
      <c r="D5" t="e">
        <f>solver_adj=SimpleIP!$E$5:$E$7</f>
        <v>#NAME?</v>
      </c>
      <c r="E5" t="e">
        <f>solver_adj=#REF!,#REF!</f>
        <v>#NAME?</v>
      </c>
      <c r="F5" t="e">
        <f>solver_adj=#REF!</f>
        <v>#NAME?</v>
      </c>
      <c r="G5" t="e">
        <f>solver_adj=#REF!</f>
        <v>#NAME?</v>
      </c>
      <c r="H5" t="e">
        <f>solver_itr=999999999</f>
        <v>#NAME?</v>
      </c>
      <c r="I5" t="e">
        <f>solver_itr=999999999</f>
        <v>#NAME?</v>
      </c>
      <c r="J5" t="e">
        <f>solver_itr=999999999</f>
        <v>#NAME?</v>
      </c>
      <c r="K5" t="e">
        <f>solver_lhs1=#REF!</f>
        <v>#NAME?</v>
      </c>
      <c r="L5" t="e">
        <f>solver_lhs1=#REF!</f>
        <v>#NAME?</v>
      </c>
      <c r="M5" t="e">
        <f>solver_lhs1=#REF!</f>
        <v>#NAME?</v>
      </c>
      <c r="N5" t="e">
        <f>solver_adj=#REF!</f>
        <v>#NAME?</v>
      </c>
      <c r="O5" t="e">
        <f>solver_lhs1=#REF!</f>
        <v>#NAME?</v>
      </c>
      <c r="P5" t="e">
        <f>solver_adj=#REF!</f>
        <v>#NAME?</v>
      </c>
      <c r="Q5" t="e">
        <f>solver_adj=#REF!</f>
        <v>#NAME?</v>
      </c>
      <c r="R5" t="e">
        <f>solver_itr=999999999</f>
        <v>#NAME?</v>
      </c>
      <c r="S5" t="e">
        <f>solver_adj=#REF!</f>
        <v>#NAME?</v>
      </c>
      <c r="T5" t="e">
        <f>solver_adj=#REF!,#REF!,#REF!</f>
        <v>#NAME?</v>
      </c>
      <c r="U5" t="e">
        <f>solver_itr=999999999</f>
        <v>#NAME?</v>
      </c>
      <c r="V5" t="e">
        <f>solver_lhs1='BadName!'!$H$12</f>
        <v>#NAME?</v>
      </c>
      <c r="W5" t="e">
        <f>solver_adj='EscapeSheetName(1)+2-1'!$D$4:$F$4</f>
        <v>#NAME?</v>
      </c>
      <c r="X5" t="e">
        <f>solver_itr=999999999</f>
        <v>#NAME?</v>
      </c>
      <c r="Y5" t="e">
        <f>solver_lhs1=#REF!</f>
        <v>#NAME?</v>
      </c>
      <c r="Z5" t="e">
        <f>solver_itr=999999999</f>
        <v>#NAME?</v>
      </c>
      <c r="AA5" t="e">
        <f>solver_adj=#REF!</f>
        <v>#NAME?</v>
      </c>
      <c r="AB5" t="e">
        <f>solver_adj=#REF!</f>
        <v>#NAME?</v>
      </c>
      <c r="AC5" t="e">
        <f>solver_lhs1=#REF!</f>
        <v>#NAME?</v>
      </c>
      <c r="AD5" t="e">
        <f>solver_adj=#REF!</f>
        <v>#NAME?</v>
      </c>
      <c r="AE5" t="e">
        <f>solver_adj=#REF!</f>
        <v>#NAME?</v>
      </c>
      <c r="AF5" t="e">
        <f>solver_adj=#REF!</f>
        <v>#NAME?</v>
      </c>
      <c r="AG5" t="e">
        <f>solver_adj=#REF!</f>
        <v>#NAME?</v>
      </c>
      <c r="AH5" t="e">
        <f>solver_adj=#REF!</f>
        <v>#NAME?</v>
      </c>
      <c r="AI5" t="e">
        <f>solver_adj=#REF!</f>
        <v>#NAME?</v>
      </c>
      <c r="AJ5" t="e">
        <f>solver_adj=#REF!</f>
        <v>#NAME?</v>
      </c>
      <c r="AK5" t="e">
        <f>solver_adj=#REF!</f>
        <v>#NAME?</v>
      </c>
      <c r="AL5" t="e">
        <f>solver_adj=#REF!</f>
        <v>#NAME?</v>
      </c>
      <c r="AM5" t="e">
        <f>solver_adj=#REF!</f>
        <v>#NAME?</v>
      </c>
      <c r="AN5" t="e">
        <f>solver_adj=#REF!</f>
        <v>#NAME?</v>
      </c>
      <c r="AO5" t="e">
        <f>solver_adj=#REF!</f>
        <v>#NAME?</v>
      </c>
      <c r="AP5" t="e">
        <f>solver_adj=#REF!</f>
        <v>#NAME?</v>
      </c>
      <c r="AQ5" t="e">
        <f>solver_adj=#REF!</f>
        <v>#NAME?</v>
      </c>
      <c r="AR5" t="e">
        <f>solver_adj=#REF!</f>
        <v>#NAME?</v>
      </c>
      <c r="AS5" t="e">
        <f>solver_adj=#REF!</f>
        <v>#NAME?</v>
      </c>
      <c r="AT5" t="e">
        <f>solver_adj=#REF!,#REF!,#REF!</f>
        <v>#NAME?</v>
      </c>
      <c r="AU5" t="e">
        <f>solver_adj=#REF!</f>
        <v>#NAME?</v>
      </c>
      <c r="AV5" t="e">
        <f>solver_adj=#REF!</f>
        <v>#NAME?</v>
      </c>
      <c r="AW5" t="e">
        <f>solver_adj=#REF!</f>
        <v>#NAME?</v>
      </c>
      <c r="AX5" t="e">
        <f>OpenSolver_UpdateSensitivity=1</f>
        <v>#NAME?</v>
      </c>
      <c r="AY5" t="e">
        <f>solver_adj=#REF!</f>
        <v>#NAME?</v>
      </c>
      <c r="AZ5" t="e">
        <f>solver_adj=#REF!</f>
        <v>#NAME?</v>
      </c>
      <c r="BA5" t="e">
        <f>solver_adj=#REF!</f>
        <v>#NAME?</v>
      </c>
      <c r="BB5" t="e">
        <f>OpenSolver_LinearityCheck=1</f>
        <v>#NAME?</v>
      </c>
      <c r="BC5" t="e">
        <f>OpenSolver_LinearityCheck=1</f>
        <v>#NAME?</v>
      </c>
      <c r="BD5" t="e">
        <f>OpenSolver_UpdateSensitivity=1</f>
        <v>#NAME?</v>
      </c>
      <c r="BE5" t="e">
        <f t="shared" ref="BE5:BN5" si="7">solver_itr=999999999</f>
        <v>#NAME?</v>
      </c>
      <c r="BF5" t="e">
        <f t="shared" si="7"/>
        <v>#NAME?</v>
      </c>
      <c r="BG5" t="e">
        <f t="shared" si="7"/>
        <v>#NAME?</v>
      </c>
      <c r="BH5" t="e">
        <f t="shared" si="7"/>
        <v>#NAME?</v>
      </c>
      <c r="BI5" t="e">
        <f t="shared" si="7"/>
        <v>#NAME?</v>
      </c>
      <c r="BJ5" t="e">
        <f t="shared" si="7"/>
        <v>#NAME?</v>
      </c>
      <c r="BK5" t="e">
        <f t="shared" si="7"/>
        <v>#NAME?</v>
      </c>
      <c r="BL5" t="e">
        <f t="shared" si="7"/>
        <v>#NAME?</v>
      </c>
      <c r="BM5" t="e">
        <f t="shared" si="7"/>
        <v>#NAME?</v>
      </c>
      <c r="BN5" t="e">
        <f t="shared" si="7"/>
        <v>#NAME?</v>
      </c>
      <c r="BP5" t="e">
        <f>solver_itr=999999999</f>
        <v>#NAME?</v>
      </c>
      <c r="BQ5" t="e">
        <f>solver_itr=999999999</f>
        <v>#NAME?</v>
      </c>
    </row>
    <row r="6" spans="1:71" x14ac:dyDescent="0.3">
      <c r="C6" t="e">
        <f>solver_itr=999999999</f>
        <v>#NAME?</v>
      </c>
      <c r="D6" t="e">
        <f>solver_itr=999999999</f>
        <v>#NAME?</v>
      </c>
      <c r="E6" t="e">
        <f>solver_itr=999999999</f>
        <v>#NAME?</v>
      </c>
      <c r="F6" t="e">
        <f>solver_itr=999999999</f>
        <v>#NAME?</v>
      </c>
      <c r="G6" t="e">
        <f>solver_itr=999999999</f>
        <v>#NAME?</v>
      </c>
      <c r="H6" t="e">
        <f>solver_lhs1=#REF!</f>
        <v>#NAME?</v>
      </c>
      <c r="I6" t="e">
        <f>solver_lhs1=#REF!</f>
        <v>#NAME?</v>
      </c>
      <c r="J6" t="e">
        <f>solver_lhs1=#REF!</f>
        <v>#NAME?</v>
      </c>
      <c r="K6" t="e">
        <f>solver_lhs2=#REF!</f>
        <v>#NAME?</v>
      </c>
      <c r="L6" t="e">
        <f>solver_lhs2=#REF!</f>
        <v>#NAME?</v>
      </c>
      <c r="M6" t="e">
        <f>solver_lhs2=#REF!</f>
        <v>#NAME?</v>
      </c>
      <c r="N6" t="e">
        <f>solver_itr=999999999</f>
        <v>#NAME?</v>
      </c>
      <c r="O6" t="e">
        <f>solver_lhs2=#REF!</f>
        <v>#NAME?</v>
      </c>
      <c r="P6" t="e">
        <f>solver_itr=999999999</f>
        <v>#NAME?</v>
      </c>
      <c r="Q6" t="e">
        <f>solver_itr=999999999</f>
        <v>#NAME?</v>
      </c>
      <c r="R6" t="e">
        <f>solver_lhs1=#REF!</f>
        <v>#NAME?</v>
      </c>
      <c r="S6" t="e">
        <f>solver_itr=999999999</f>
        <v>#NAME?</v>
      </c>
      <c r="T6" t="e">
        <f>solver_itr=999999999</f>
        <v>#NAME?</v>
      </c>
      <c r="U6" t="e">
        <f>solver_lhs1=#REF!</f>
        <v>#NAME?</v>
      </c>
      <c r="V6" t="e">
        <f>solver_num=1</f>
        <v>#NAME?</v>
      </c>
      <c r="W6" t="e">
        <f>solver_itr=999999999</f>
        <v>#NAME?</v>
      </c>
      <c r="X6" t="e">
        <f>solver_lhs1=#REF!</f>
        <v>#NAME?</v>
      </c>
      <c r="Y6" t="e">
        <f>solver_lhs2=#REF!</f>
        <v>#NAME?</v>
      </c>
      <c r="Z6" t="e">
        <f>solver_lhs1=#REF!</f>
        <v>#NAME?</v>
      </c>
      <c r="AA6" t="e">
        <f>solver_itr=999999999</f>
        <v>#NAME?</v>
      </c>
      <c r="AB6" t="e">
        <f>solver_itr=999999999</f>
        <v>#NAME?</v>
      </c>
      <c r="AC6" t="e">
        <f>solver_lhs2=#REF!</f>
        <v>#NAME?</v>
      </c>
      <c r="AD6" t="e">
        <f t="shared" ref="AD6:AW6" si="8">solver_itr=999999999</f>
        <v>#NAME?</v>
      </c>
      <c r="AE6" t="e">
        <f t="shared" si="8"/>
        <v>#NAME?</v>
      </c>
      <c r="AF6" t="e">
        <f t="shared" si="8"/>
        <v>#NAME?</v>
      </c>
      <c r="AG6" t="e">
        <f t="shared" si="8"/>
        <v>#NAME?</v>
      </c>
      <c r="AH6" t="e">
        <f t="shared" si="8"/>
        <v>#NAME?</v>
      </c>
      <c r="AI6" t="e">
        <f t="shared" si="8"/>
        <v>#NAME?</v>
      </c>
      <c r="AJ6" t="e">
        <f t="shared" si="8"/>
        <v>#NAME?</v>
      </c>
      <c r="AK6" t="e">
        <f t="shared" si="8"/>
        <v>#NAME?</v>
      </c>
      <c r="AL6" t="e">
        <f t="shared" si="8"/>
        <v>#NAME?</v>
      </c>
      <c r="AM6" t="e">
        <f t="shared" si="8"/>
        <v>#NAME?</v>
      </c>
      <c r="AN6" t="e">
        <f t="shared" si="8"/>
        <v>#NAME?</v>
      </c>
      <c r="AO6" t="e">
        <f t="shared" si="8"/>
        <v>#NAME?</v>
      </c>
      <c r="AP6" t="e">
        <f t="shared" si="8"/>
        <v>#NAME?</v>
      </c>
      <c r="AQ6" t="e">
        <f t="shared" si="8"/>
        <v>#NAME?</v>
      </c>
      <c r="AR6" t="e">
        <f t="shared" si="8"/>
        <v>#NAME?</v>
      </c>
      <c r="AS6" t="e">
        <f t="shared" si="8"/>
        <v>#NAME?</v>
      </c>
      <c r="AT6" t="e">
        <f t="shared" si="8"/>
        <v>#NAME?</v>
      </c>
      <c r="AU6" t="e">
        <f t="shared" si="8"/>
        <v>#NAME?</v>
      </c>
      <c r="AV6" t="e">
        <f t="shared" si="8"/>
        <v>#NAME?</v>
      </c>
      <c r="AW6" t="e">
        <f t="shared" si="8"/>
        <v>#NAME?</v>
      </c>
      <c r="AX6" t="e">
        <f>solver_adj=#REF!</f>
        <v>#NAME?</v>
      </c>
      <c r="AY6" t="e">
        <f>solver_itr=999999999</f>
        <v>#NAME?</v>
      </c>
      <c r="AZ6" t="e">
        <f>solver_itr=999999999</f>
        <v>#NAME?</v>
      </c>
      <c r="BA6" t="e">
        <f>solver_itr=999999999</f>
        <v>#NAME?</v>
      </c>
      <c r="BB6" t="e">
        <f>solver_adj=#REF!</f>
        <v>#NAME?</v>
      </c>
      <c r="BC6" t="e">
        <f>OpenSolver_UpdateSensitivity=1</f>
        <v>#NAME?</v>
      </c>
      <c r="BD6" t="e">
        <f>solver_adj=#REF!,#REF!</f>
        <v>#NAME?</v>
      </c>
      <c r="BE6" t="e">
        <f>solver_lhs1=#REF!</f>
        <v>#NAME?</v>
      </c>
      <c r="BF6" t="e">
        <f>solver_lhs1=#REF!</f>
        <v>#NAME?</v>
      </c>
      <c r="BG6" t="e">
        <f>solver_lhs1=#REF!</f>
        <v>#NAME?</v>
      </c>
      <c r="BH6" t="e">
        <f>solver_lhs1=#REF!</f>
        <v>#NAME?</v>
      </c>
      <c r="BI6" t="e">
        <f>solver_lhs1=#REF!</f>
        <v>#NAME?</v>
      </c>
      <c r="BJ6" t="e">
        <f>solver_lhs1=#REF!</f>
        <v>#NAME?</v>
      </c>
      <c r="BK6" t="e">
        <f>solver_lhs1=#REF!</f>
        <v>#NAME?</v>
      </c>
      <c r="BL6" t="e">
        <f>solver_lhs1=#REF!</f>
        <v>#NAME?</v>
      </c>
      <c r="BM6" t="e">
        <f>solver_lhs1=#REF!</f>
        <v>#NAME?</v>
      </c>
      <c r="BN6" t="e">
        <f>solver_lhs1=#REF!</f>
        <v>#NAME?</v>
      </c>
      <c r="BP6" t="e">
        <f>solver_neg=1</f>
        <v>#NAME?</v>
      </c>
      <c r="BQ6" t="e">
        <f>solver_lhs1=#REF!</f>
        <v>#NAME?</v>
      </c>
    </row>
    <row r="7" spans="1:71" x14ac:dyDescent="0.3">
      <c r="C7" t="e">
        <f>solver_lhs1=SimpleLP!$H$8:$H$9</f>
        <v>#NAME?</v>
      </c>
      <c r="D7" t="e">
        <f>solver_lhs1=SimpleIP!$D$10</f>
        <v>#NAME?</v>
      </c>
      <c r="E7" t="e">
        <f>solver_lhs1=#REF!</f>
        <v>#NAME?</v>
      </c>
      <c r="F7" t="e">
        <f>solver_lhs1=#REF!</f>
        <v>#NAME?</v>
      </c>
      <c r="G7" t="e">
        <f>solver_lhs1=#REF!</f>
        <v>#NAME?</v>
      </c>
      <c r="H7" t="e">
        <f>solver_lhs2=#REF!</f>
        <v>#NAME?</v>
      </c>
      <c r="I7" t="e">
        <f>solver_lhs2=#REF!</f>
        <v>#NAME?</v>
      </c>
      <c r="J7" t="e">
        <f>solver_lhs2=#REF!</f>
        <v>#NAME?</v>
      </c>
      <c r="K7" t="e">
        <f>solver_lhs3=#REF!</f>
        <v>#NAME?</v>
      </c>
      <c r="L7" t="e">
        <f>solver_lhs3=#REF!</f>
        <v>#NAME?</v>
      </c>
      <c r="M7" t="e">
        <f>solver_lhs3=#REF!</f>
        <v>#NAME?</v>
      </c>
      <c r="N7" t="e">
        <f>solver_lhs1=#REF!</f>
        <v>#NAME?</v>
      </c>
      <c r="O7" t="e">
        <f>solver_lhs3=#REF!</f>
        <v>#NAME?</v>
      </c>
      <c r="P7" t="e">
        <f>solver_lhs1=#REF!</f>
        <v>#NAME?</v>
      </c>
      <c r="Q7" t="e">
        <f>solver_lhs1=#REF!</f>
        <v>#NAME?</v>
      </c>
      <c r="R7" t="e">
        <f>solver_lhs2=#REF!</f>
        <v>#NAME?</v>
      </c>
      <c r="S7" t="e">
        <f>solver_lhs1=#REF!</f>
        <v>#NAME?</v>
      </c>
      <c r="T7" t="e">
        <f>solver_lhs1=#REF!</f>
        <v>#NAME?</v>
      </c>
      <c r="U7" t="e">
        <f>solver_lhs2=#REF!</f>
        <v>#NAME?</v>
      </c>
      <c r="V7" t="e">
        <f>solver_opt='BadName!'!$H$7</f>
        <v>#NAME?</v>
      </c>
      <c r="W7" t="e">
        <f>solver_lhs1='EscapeSheetName(1)+2-1'!$H$8:$H$9</f>
        <v>#NAME?</v>
      </c>
      <c r="X7" t="e">
        <f>solver_lhs2=#REF!</f>
        <v>#NAME?</v>
      </c>
      <c r="Y7" t="e">
        <f>solver_lhs3=#REF!</f>
        <v>#NAME?</v>
      </c>
      <c r="Z7" t="e">
        <f>solver_lhs2=#REF!</f>
        <v>#NAME?</v>
      </c>
      <c r="AA7" t="e">
        <f>solver_lhs1=#REF!</f>
        <v>#NAME?</v>
      </c>
      <c r="AB7" t="e">
        <f>solver_lhs1=#REF!</f>
        <v>#NAME?</v>
      </c>
      <c r="AC7" t="e">
        <f>solver_lhs3=#REF!</f>
        <v>#NAME?</v>
      </c>
      <c r="AD7" t="e">
        <f>solver_lhs1=#REF!</f>
        <v>#NAME?</v>
      </c>
      <c r="AE7" t="e">
        <f>solver_lhs1=#REF!</f>
        <v>#NAME?</v>
      </c>
      <c r="AF7" t="e">
        <f>solver_lhs1=#REF!</f>
        <v>#NAME?</v>
      </c>
      <c r="AG7" t="e">
        <f>solver_lhs1=#REF!</f>
        <v>#NAME?</v>
      </c>
      <c r="AH7" t="e">
        <f>solver_lhs1=#REF!</f>
        <v>#NAME?</v>
      </c>
      <c r="AI7" t="e">
        <f>solver_lhs1=#REF!</f>
        <v>#NAME?</v>
      </c>
      <c r="AJ7" t="e">
        <f>solver_lhs1=#REF!</f>
        <v>#NAME?</v>
      </c>
      <c r="AK7" t="e">
        <f>solver_lhs1=#REF!</f>
        <v>#NAME?</v>
      </c>
      <c r="AL7" t="e">
        <f>solver_lhs1=#REF!</f>
        <v>#NAME?</v>
      </c>
      <c r="AM7" t="e">
        <f>solver_lhs1=#REF!</f>
        <v>#NAME?</v>
      </c>
      <c r="AN7" t="e">
        <f>solver_lhs1=#REF!</f>
        <v>#NAME?</v>
      </c>
      <c r="AO7" t="e">
        <f>solver_lhs1=#REF!</f>
        <v>#NAME?</v>
      </c>
      <c r="AP7" t="e">
        <f>solver_lhs1=#REF!</f>
        <v>#NAME?</v>
      </c>
      <c r="AQ7" t="e">
        <f>solver_lhs1=#REF!</f>
        <v>#NAME?</v>
      </c>
      <c r="AR7" t="e">
        <f>solver_lhs1=#REF!</f>
        <v>#NAME?</v>
      </c>
      <c r="AS7" t="e">
        <f>solver_lhs1=#REF!</f>
        <v>#NAME?</v>
      </c>
      <c r="AT7" t="e">
        <f>solver_lhs1=#REF!</f>
        <v>#NAME?</v>
      </c>
      <c r="AU7" t="e">
        <f>solver_lhs1=#REF!</f>
        <v>#NAME?</v>
      </c>
      <c r="AV7" t="e">
        <f>solver_lhs1=#REF!</f>
        <v>#NAME?</v>
      </c>
      <c r="AW7" t="e">
        <f>solver_lhs1=#REF!</f>
        <v>#NAME?</v>
      </c>
      <c r="AX7" t="e">
        <f>solver_itr=999999999</f>
        <v>#NAME?</v>
      </c>
      <c r="AY7" t="e">
        <f>solver_lhs1=#REF!</f>
        <v>#NAME?</v>
      </c>
      <c r="AZ7" t="e">
        <f>solver_lhs1=#REF!</f>
        <v>#NAME?</v>
      </c>
      <c r="BA7" t="e">
        <f>solver_lhs1=#REF!</f>
        <v>#NAME?</v>
      </c>
      <c r="BB7" t="e">
        <f>solver_itr=9999999</f>
        <v>#NAME?</v>
      </c>
      <c r="BC7" t="e">
        <f>solver_adj=#REF!</f>
        <v>#NAME?</v>
      </c>
      <c r="BD7" t="e">
        <f>solver_itr=999999999</f>
        <v>#NAME?</v>
      </c>
      <c r="BE7" t="e">
        <f>solver_lhs2=#REF!</f>
        <v>#NAME?</v>
      </c>
      <c r="BF7" t="e">
        <f>solver_lhs10=#REF!</f>
        <v>#NAME?</v>
      </c>
      <c r="BG7" t="e">
        <f>solver_lhs2=#REF!</f>
        <v>#NAME?</v>
      </c>
      <c r="BH7" t="e">
        <f>solver_lhs2=#REF!</f>
        <v>#NAME?</v>
      </c>
      <c r="BI7" t="e">
        <f>solver_lhs2=#REF!</f>
        <v>#NAME?</v>
      </c>
      <c r="BJ7" t="e">
        <f>solver_neg=1</f>
        <v>#NAME?</v>
      </c>
      <c r="BK7" t="e">
        <f>solver_lhs2=#REF!</f>
        <v>#NAME?</v>
      </c>
      <c r="BL7" t="e">
        <f>solver_lhs2=#REF!</f>
        <v>#NAME?</v>
      </c>
      <c r="BM7" t="e">
        <f>solver_neg=1</f>
        <v>#NAME?</v>
      </c>
      <c r="BN7" t="e">
        <f>solver_lhs2=#REF!</f>
        <v>#NAME?</v>
      </c>
      <c r="BP7" t="e">
        <f>solver_num=0</f>
        <v>#NAME?</v>
      </c>
      <c r="BQ7" t="e">
        <f>solver_lhs2=#REF!</f>
        <v>#NAME?</v>
      </c>
    </row>
    <row r="8" spans="1:71" x14ac:dyDescent="0.3">
      <c r="C8" t="e">
        <f>solver_lhs2=SimpleLP!$H$10</f>
        <v>#NAME?</v>
      </c>
      <c r="D8" t="e">
        <f>solver_lhs2=SimpleIP!$E$5:$E$7</f>
        <v>#NAME?</v>
      </c>
      <c r="E8" t="e">
        <f>solver_lhs2=#REF!</f>
        <v>#NAME?</v>
      </c>
      <c r="F8" t="e">
        <f>solver_lhs2=#REF!</f>
        <v>#NAME?</v>
      </c>
      <c r="G8" t="e">
        <f>solver_lhs2=#REF!</f>
        <v>#NAME?</v>
      </c>
      <c r="H8" t="e">
        <f>solver_lhs3=#REF!</f>
        <v>#NAME?</v>
      </c>
      <c r="I8" t="e">
        <f>solver_lhs3=#REF!</f>
        <v>#NAME?</v>
      </c>
      <c r="J8" t="e">
        <f>solver_lhs3=#REF!</f>
        <v>#NAME?</v>
      </c>
      <c r="K8" t="e">
        <f>solver_num=3</f>
        <v>#NAME?</v>
      </c>
      <c r="L8" t="e">
        <f>solver_num=3</f>
        <v>#NAME?</v>
      </c>
      <c r="M8" t="e">
        <f>solver_num=3</f>
        <v>#NAME?</v>
      </c>
      <c r="N8" t="e">
        <f>solver_lhs2=#REF!</f>
        <v>#NAME?</v>
      </c>
      <c r="O8" t="e">
        <f>solver_num=3</f>
        <v>#NAME?</v>
      </c>
      <c r="P8" t="e">
        <f>solver_lhs2=#REF!</f>
        <v>#NAME?</v>
      </c>
      <c r="Q8" t="e">
        <f>solver_lhs2=#REF!</f>
        <v>#NAME?</v>
      </c>
      <c r="R8" t="e">
        <f>solver_lhs3=#REF!</f>
        <v>#NAME?</v>
      </c>
      <c r="S8" t="e">
        <f>solver_lhs2=#REF!</f>
        <v>#NAME?</v>
      </c>
      <c r="T8" t="e">
        <f>solver_lhs2=#REF!</f>
        <v>#NAME?</v>
      </c>
      <c r="U8" t="e">
        <f>solver_lhs3=#REF!</f>
        <v>#NAME?</v>
      </c>
      <c r="V8" t="e">
        <f>solver_rel1=1</f>
        <v>#NAME?</v>
      </c>
      <c r="W8" t="e">
        <f>solver_lhs2='EscapeSheetName(1)+2-1'!$H$10</f>
        <v>#NAME?</v>
      </c>
      <c r="X8" t="e">
        <f>solver_lhs3=#REF!</f>
        <v>#NAME?</v>
      </c>
      <c r="Y8" t="e">
        <f>solver_num=3</f>
        <v>#NAME?</v>
      </c>
      <c r="Z8" t="e">
        <f>solver_lhs3=#REF!</f>
        <v>#NAME?</v>
      </c>
      <c r="AA8" t="e">
        <f>solver_lhs2=#REF!</f>
        <v>#NAME?</v>
      </c>
      <c r="AB8" t="e">
        <f>solver_lhs2=#REF!</f>
        <v>#NAME?</v>
      </c>
      <c r="AC8" t="e">
        <f>solver_num=3</f>
        <v>#NAME?</v>
      </c>
      <c r="AD8" t="e">
        <f>solver_lhs2=#REF!</f>
        <v>#NAME?</v>
      </c>
      <c r="AE8" t="e">
        <f>solver_lhs2=#REF!</f>
        <v>#NAME?</v>
      </c>
      <c r="AF8" t="e">
        <f>solver_lhs2=#REF!</f>
        <v>#NAME?</v>
      </c>
      <c r="AG8" t="e">
        <f>solver_lhs2=#REF!</f>
        <v>#NAME?</v>
      </c>
      <c r="AH8" t="e">
        <f>solver_lhs2=#REF!</f>
        <v>#NAME?</v>
      </c>
      <c r="AI8" t="e">
        <f>solver_lhs2=#REF!</f>
        <v>#NAME?</v>
      </c>
      <c r="AJ8" t="e">
        <f>solver_lhs2=#REF!</f>
        <v>#NAME?</v>
      </c>
      <c r="AK8" t="e">
        <f>solver_lhs2=#REF!</f>
        <v>#NAME?</v>
      </c>
      <c r="AL8" t="e">
        <f>solver_lhs2=#REF!</f>
        <v>#NAME?</v>
      </c>
      <c r="AM8" t="e">
        <f>solver_lhs2=#REF!</f>
        <v>#NAME?</v>
      </c>
      <c r="AN8" t="e">
        <f>solver_lhs2=#REF!</f>
        <v>#NAME?</v>
      </c>
      <c r="AO8" t="e">
        <f>solver_neg=1</f>
        <v>#NAME?</v>
      </c>
      <c r="AP8" t="e">
        <f>solver_lhs2=#REF!</f>
        <v>#NAME?</v>
      </c>
      <c r="AQ8" t="e">
        <f>solver_lhs2=#REF!</f>
        <v>#NAME?</v>
      </c>
      <c r="AR8" t="e">
        <f>solver_lhs2=#REF!</f>
        <v>#NAME?</v>
      </c>
      <c r="AS8" t="e">
        <f>solver_lhs2=#REF!</f>
        <v>#NAME?</v>
      </c>
      <c r="AT8" t="e">
        <f>solver_lhs2=#REF!</f>
        <v>#NAME?</v>
      </c>
      <c r="AU8" t="e">
        <f>solver_lhs2=#REF!</f>
        <v>#NAME?</v>
      </c>
      <c r="AV8" t="e">
        <f>solver_lhs2=#REF!</f>
        <v>#NAME?</v>
      </c>
      <c r="AW8" t="e">
        <f>solver_lhs2=#REF!</f>
        <v>#NAME?</v>
      </c>
      <c r="AX8" t="e">
        <f>solver_lhs1=#REF!</f>
        <v>#NAME?</v>
      </c>
      <c r="AY8" t="e">
        <f>solver_lhs2=#REF!</f>
        <v>#NAME?</v>
      </c>
      <c r="AZ8" t="e">
        <f>solver_lhs2=#REF!</f>
        <v>#NAME?</v>
      </c>
      <c r="BA8" t="e">
        <f>solver_lhs2=#REF!</f>
        <v>#NAME?</v>
      </c>
      <c r="BB8" t="e">
        <f>solver_lhs1=#REF!</f>
        <v>#NAME?</v>
      </c>
      <c r="BC8" t="e">
        <f>solver_itr=999999999</f>
        <v>#NAME?</v>
      </c>
      <c r="BD8" t="e">
        <f>solver_lhs1=#REF!</f>
        <v>#NAME?</v>
      </c>
      <c r="BE8" t="e">
        <f>solver_lhs3=#REF!</f>
        <v>#NAME?</v>
      </c>
      <c r="BF8" t="e">
        <f>solver_lhs100=#REF!</f>
        <v>#NAME?</v>
      </c>
      <c r="BG8" t="e">
        <f>solver_lhs3=#REF!</f>
        <v>#NAME?</v>
      </c>
      <c r="BH8" t="e">
        <f>solver_lhs3=#REF!</f>
        <v>#NAME?</v>
      </c>
      <c r="BI8" t="e">
        <f>solver_neg=1</f>
        <v>#NAME?</v>
      </c>
      <c r="BJ8" t="e">
        <f>solver_num=1</f>
        <v>#NAME?</v>
      </c>
      <c r="BK8" t="e">
        <f>solver_neg=1</f>
        <v>#NAME?</v>
      </c>
      <c r="BL8" t="e">
        <f>solver_lhs3=#REF!</f>
        <v>#NAME?</v>
      </c>
      <c r="BM8" t="e">
        <f>solver_num=1</f>
        <v>#NAME?</v>
      </c>
      <c r="BN8" t="e">
        <f>solver_neg=1</f>
        <v>#NAME?</v>
      </c>
      <c r="BP8" t="e">
        <f>solver_opt=#REF!</f>
        <v>#NAME?</v>
      </c>
      <c r="BQ8" t="e">
        <f>solver_lhs3=#REF!</f>
        <v>#NAME?</v>
      </c>
    </row>
    <row r="9" spans="1:71" x14ac:dyDescent="0.3">
      <c r="C9" t="e">
        <f>solver_lhs3=SimpleLP!$H$11</f>
        <v>#NAME?</v>
      </c>
      <c r="D9" t="e">
        <f>solver_neg=1</f>
        <v>#NAME?</v>
      </c>
      <c r="E9" t="e">
        <f>solver_lhs3=#REF!</f>
        <v>#NAME?</v>
      </c>
      <c r="F9" t="e">
        <f>solver_lhs3=#REF!</f>
        <v>#NAME?</v>
      </c>
      <c r="G9" t="e">
        <f>solver_lhs3=#REF!</f>
        <v>#NAME?</v>
      </c>
      <c r="H9" t="e">
        <f>solver_neg=1</f>
        <v>#NAME?</v>
      </c>
      <c r="I9" t="e">
        <f>solver_neg=1</f>
        <v>#NAME?</v>
      </c>
      <c r="J9" t="e">
        <f>solver_neg=1</f>
        <v>#NAME?</v>
      </c>
      <c r="K9" t="e">
        <f>solver_opt=#REF!</f>
        <v>#NAME?</v>
      </c>
      <c r="L9" t="e">
        <f>solver_opt=#REF!</f>
        <v>#NAME?</v>
      </c>
      <c r="M9" t="e">
        <f>solver_opt=#REF!</f>
        <v>#NAME?</v>
      </c>
      <c r="N9" t="e">
        <f>solver_lhs3=#REF!</f>
        <v>#NAME?</v>
      </c>
      <c r="O9" t="e">
        <f>solver_opt=#REF!</f>
        <v>#NAME?</v>
      </c>
      <c r="P9" t="e">
        <f>solver_lhs3=#REF!</f>
        <v>#NAME?</v>
      </c>
      <c r="Q9" t="e">
        <f>solver_lhs3=#REF!</f>
        <v>#NAME?</v>
      </c>
      <c r="R9" t="e">
        <f>solver_neg=1</f>
        <v>#NAME?</v>
      </c>
      <c r="S9" t="e">
        <f>solver_lhs3=#REF!</f>
        <v>#NAME?</v>
      </c>
      <c r="T9" t="e">
        <f>solver_lhs3=#REF!</f>
        <v>#NAME?</v>
      </c>
      <c r="U9" t="e">
        <f>solver_lhs4=#REF!</f>
        <v>#NAME?</v>
      </c>
      <c r="V9" t="e">
        <f>solver_rhs1='BadName!'!$J$12</f>
        <v>#NAME?</v>
      </c>
      <c r="W9" t="e">
        <f>solver_lhs3='EscapeSheetName(1)+2-1'!$H$11</f>
        <v>#NAME?</v>
      </c>
      <c r="X9" t="e">
        <f>solver_lhs4=#REF!</f>
        <v>#NAME?</v>
      </c>
      <c r="Y9" t="e">
        <f>solver_opt=#REF!</f>
        <v>#NAME?</v>
      </c>
      <c r="Z9" t="e">
        <f>solver_neg=1</f>
        <v>#NAME?</v>
      </c>
      <c r="AA9" t="e">
        <f>solver_lhs3=#REF!</f>
        <v>#NAME?</v>
      </c>
      <c r="AB9" t="e">
        <f>solver_lhs3=#REF!</f>
        <v>#NAME?</v>
      </c>
      <c r="AC9" t="e">
        <f>solver_opt=#REF!</f>
        <v>#NAME?</v>
      </c>
      <c r="AD9" t="e">
        <f>solver_lhs3=#REF!</f>
        <v>#NAME?</v>
      </c>
      <c r="AE9" t="e">
        <f>solver_neg=1</f>
        <v>#NAME?</v>
      </c>
      <c r="AF9" t="e">
        <f>solver_neg=1</f>
        <v>#NAME?</v>
      </c>
      <c r="AG9" t="e">
        <f>solver_lhs3=#REF!</f>
        <v>#NAME?</v>
      </c>
      <c r="AH9" t="e">
        <f>solver_lhs3=#REF!</f>
        <v>#NAME?</v>
      </c>
      <c r="AI9" t="e">
        <f>solver_lhs3=#REF!</f>
        <v>#NAME?</v>
      </c>
      <c r="AJ9" t="e">
        <f>solver_neg=1</f>
        <v>#NAME?</v>
      </c>
      <c r="AK9" t="e">
        <f>solver_neg=1</f>
        <v>#NAME?</v>
      </c>
      <c r="AL9" t="e">
        <f>solver_neg=1</f>
        <v>#NAME?</v>
      </c>
      <c r="AM9" t="e">
        <f>solver_neg=1</f>
        <v>#NAME?</v>
      </c>
      <c r="AN9" t="e">
        <f>solver_neg=1</f>
        <v>#NAME?</v>
      </c>
      <c r="AO9" t="e">
        <f>solver_num=1</f>
        <v>#NAME?</v>
      </c>
      <c r="AP9" t="e">
        <f>solver_neg=1</f>
        <v>#NAME?</v>
      </c>
      <c r="AQ9" t="e">
        <f>solver_neg=1</f>
        <v>#NAME?</v>
      </c>
      <c r="AR9" t="e">
        <f>solver_neg=1</f>
        <v>#NAME?</v>
      </c>
      <c r="AS9" t="e">
        <f>solver_lhs3=#REF!</f>
        <v>#NAME?</v>
      </c>
      <c r="AT9" t="e">
        <f>solver_lhs3=#REF!</f>
        <v>#NAME?</v>
      </c>
      <c r="AU9" t="e">
        <f>solver_lhs3=#REF!</f>
        <v>#NAME?</v>
      </c>
      <c r="AV9" t="e">
        <f>solver_lhs3=#REF!</f>
        <v>#NAME?</v>
      </c>
      <c r="AW9" t="e">
        <f>solver_lhs3=#REF!</f>
        <v>#NAME?</v>
      </c>
      <c r="AX9" t="e">
        <f>solver_lhs2=#REF!</f>
        <v>#NAME?</v>
      </c>
      <c r="AY9" t="e">
        <f>solver_lhs3=#REF!</f>
        <v>#NAME?</v>
      </c>
      <c r="AZ9" t="e">
        <f>solver_lhs3=#REF!</f>
        <v>#NAME?</v>
      </c>
      <c r="BA9" t="e">
        <f>solver_neg=1</f>
        <v>#NAME?</v>
      </c>
      <c r="BB9" t="e">
        <f>solver_lhs2=#REF!</f>
        <v>#NAME?</v>
      </c>
      <c r="BC9" t="e">
        <f>solver_lhs1=#REF!</f>
        <v>#NAME?</v>
      </c>
      <c r="BD9" t="e">
        <f>solver_lhs2=#REF!</f>
        <v>#NAME?</v>
      </c>
      <c r="BE9" t="e">
        <f>solver_neg=1</f>
        <v>#NAME?</v>
      </c>
      <c r="BF9" t="e">
        <f>solver_lhs101=#REF!</f>
        <v>#NAME?</v>
      </c>
      <c r="BG9" t="e">
        <f>solver_neg=1</f>
        <v>#NAME?</v>
      </c>
      <c r="BH9" t="e">
        <f>solver_neg=1</f>
        <v>#NAME?</v>
      </c>
      <c r="BI9" t="e">
        <f>solver_num=2</f>
        <v>#NAME?</v>
      </c>
      <c r="BJ9" t="e">
        <f>solver_opt=#REF!</f>
        <v>#NAME?</v>
      </c>
      <c r="BK9" t="e">
        <f>solver_num=2</f>
        <v>#NAME?</v>
      </c>
      <c r="BL9" t="e">
        <f>solver_lhs4=#REF!</f>
        <v>#NAME?</v>
      </c>
      <c r="BM9" t="e">
        <f>solver_opt=#REF!</f>
        <v>#NAME?</v>
      </c>
      <c r="BN9" t="e">
        <f>solver_num=2</f>
        <v>#NAME?</v>
      </c>
      <c r="BP9" t="e">
        <f>solver_rlx=0</f>
        <v>#NAME?</v>
      </c>
      <c r="BQ9" t="e">
        <f>solver_lhs4=#REF!</f>
        <v>#NAME?</v>
      </c>
    </row>
    <row r="10" spans="1:71" x14ac:dyDescent="0.3">
      <c r="C10" t="e">
        <f>solver_neg=1</f>
        <v>#NAME?</v>
      </c>
      <c r="D10" t="e">
        <f>solver_num=2</f>
        <v>#NAME?</v>
      </c>
      <c r="E10" t="e">
        <f>solver_neg=1</f>
        <v>#NAME?</v>
      </c>
      <c r="F10" t="e">
        <f>solver_neg=1</f>
        <v>#NAME?</v>
      </c>
      <c r="G10" t="e">
        <f>solver_neg=1</f>
        <v>#NAME?</v>
      </c>
      <c r="H10" t="e">
        <f>solver_num=3</f>
        <v>#NAME?</v>
      </c>
      <c r="I10" t="e">
        <f>solver_num=3</f>
        <v>#NAME?</v>
      </c>
      <c r="J10" t="e">
        <f>solver_num=3</f>
        <v>#NAME?</v>
      </c>
      <c r="K10" t="e">
        <f>solver_rel1=1</f>
        <v>#NAME?</v>
      </c>
      <c r="L10" t="e">
        <f>solver_rel1=1</f>
        <v>#NAME?</v>
      </c>
      <c r="M10" t="e">
        <f>solver_rel1=1</f>
        <v>#NAME?</v>
      </c>
      <c r="N10" t="e">
        <f>solver_neg=1</f>
        <v>#NAME?</v>
      </c>
      <c r="O10" t="e">
        <f>solver_rel1=1</f>
        <v>#NAME?</v>
      </c>
      <c r="P10" t="e">
        <f>solver_neg=1</f>
        <v>#NAME?</v>
      </c>
      <c r="Q10" t="e">
        <f>solver_neg=1</f>
        <v>#NAME?</v>
      </c>
      <c r="R10" t="e">
        <f>solver_num=3</f>
        <v>#NAME?</v>
      </c>
      <c r="S10" t="e">
        <f>solver_lhs4=#REF!</f>
        <v>#NAME?</v>
      </c>
      <c r="T10" t="e">
        <f>solver_lhs4=#REF!</f>
        <v>#NAME?</v>
      </c>
      <c r="U10" t="e">
        <f>solver_lhs5=#REF!</f>
        <v>#NAME?</v>
      </c>
      <c r="W10" t="e">
        <f>solver_neg=1</f>
        <v>#NAME?</v>
      </c>
      <c r="X10" t="e">
        <f>solver_neg=1</f>
        <v>#NAME?</v>
      </c>
      <c r="Y10" t="e">
        <f>solver_rel1=1</f>
        <v>#NAME?</v>
      </c>
      <c r="Z10" t="e">
        <f>solver_num=3</f>
        <v>#NAME?</v>
      </c>
      <c r="AA10" t="e">
        <f>solver_neg=1</f>
        <v>#NAME?</v>
      </c>
      <c r="AB10" t="e">
        <f>solver_neg=0</f>
        <v>#NAME?</v>
      </c>
      <c r="AC10" t="e">
        <f>solver_rel1=1</f>
        <v>#NAME?</v>
      </c>
      <c r="AD10" t="e">
        <f>solver_lhs4=#REF!</f>
        <v>#NAME?</v>
      </c>
      <c r="AE10" t="e">
        <f>solver_num=2</f>
        <v>#NAME?</v>
      </c>
      <c r="AF10" t="e">
        <f>solver_num=2</f>
        <v>#NAME?</v>
      </c>
      <c r="AG10" t="e">
        <f>solver_neg=1</f>
        <v>#NAME?</v>
      </c>
      <c r="AH10" t="e">
        <f>solver_lhs4=#REF!</f>
        <v>#NAME?</v>
      </c>
      <c r="AI10" t="e">
        <f>solver_lhs4=#REF!</f>
        <v>#NAME?</v>
      </c>
      <c r="AJ10" t="e">
        <f>solver_num=2</f>
        <v>#NAME?</v>
      </c>
      <c r="AK10" t="e">
        <f>solver_num=2</f>
        <v>#NAME?</v>
      </c>
      <c r="AL10" t="e">
        <f>solver_num=2</f>
        <v>#NAME?</v>
      </c>
      <c r="AM10" t="e">
        <f>solver_num=2</f>
        <v>#NAME?</v>
      </c>
      <c r="AN10" t="e">
        <f>solver_num=2</f>
        <v>#NAME?</v>
      </c>
      <c r="AO10" t="e">
        <f>solver_opt=#REF!</f>
        <v>#NAME?</v>
      </c>
      <c r="AP10" t="e">
        <f>solver_num=2</f>
        <v>#NAME?</v>
      </c>
      <c r="AQ10" t="e">
        <f>solver_num=2</f>
        <v>#NAME?</v>
      </c>
      <c r="AR10" t="e">
        <f>solver_num=2</f>
        <v>#NAME?</v>
      </c>
      <c r="AS10" t="e">
        <f>solver_neg=1</f>
        <v>#NAME?</v>
      </c>
      <c r="AT10" t="e">
        <f>solver_lhs4=#REF!</f>
        <v>#NAME?</v>
      </c>
      <c r="AU10" t="e">
        <f>solver_lhs4=#REF!</f>
        <v>#NAME?</v>
      </c>
      <c r="AV10" t="e">
        <f>solver_neg=1</f>
        <v>#NAME?</v>
      </c>
      <c r="AW10" t="e">
        <f>solver_neg=1</f>
        <v>#NAME?</v>
      </c>
      <c r="AX10" t="e">
        <f>solver_lhs3=#REF!</f>
        <v>#NAME?</v>
      </c>
      <c r="AY10" t="e">
        <f>solver_neg=1</f>
        <v>#NAME?</v>
      </c>
      <c r="AZ10" t="e">
        <f>solver_lhs4=#REF!</f>
        <v>#NAME?</v>
      </c>
      <c r="BA10" t="e">
        <f>solver_num=2</f>
        <v>#NAME?</v>
      </c>
      <c r="BB10" t="e">
        <f>solver_lhs3=#REF!</f>
        <v>#NAME?</v>
      </c>
      <c r="BC10" t="e">
        <f>solver_lhs2=#REF!</f>
        <v>#NAME?</v>
      </c>
      <c r="BD10" t="e">
        <f>solver_lhs3=#REF!</f>
        <v>#NAME?</v>
      </c>
      <c r="BE10" t="e">
        <f>solver_num=3</f>
        <v>#NAME?</v>
      </c>
      <c r="BF10" t="e">
        <f>solver_lhs102=#REF!</f>
        <v>#NAME?</v>
      </c>
      <c r="BG10" t="e">
        <f>solver_num=3</f>
        <v>#NAME?</v>
      </c>
      <c r="BH10" t="e">
        <f>solver_num=3</f>
        <v>#NAME?</v>
      </c>
      <c r="BI10" t="e">
        <f>solver_opt=#REF!</f>
        <v>#NAME?</v>
      </c>
      <c r="BJ10" t="e">
        <f>solver_rel1=1</f>
        <v>#NAME?</v>
      </c>
      <c r="BK10" t="e">
        <f>solver_opt=#REF!</f>
        <v>#NAME?</v>
      </c>
      <c r="BL10" t="e">
        <f>solver_lhs5=#REF!</f>
        <v>#NAME?</v>
      </c>
      <c r="BM10" t="e">
        <f>solver_rel1=3</f>
        <v>#NAME?</v>
      </c>
      <c r="BN10" t="e">
        <f>solver_opt=#REF!</f>
        <v>#NAME?</v>
      </c>
      <c r="BP10" t="e">
        <f>solver_sho=0</f>
        <v>#NAME?</v>
      </c>
      <c r="BQ10" t="e">
        <f>solver_neg=1</f>
        <v>#NAME?</v>
      </c>
    </row>
    <row r="11" spans="1:71" x14ac:dyDescent="0.3">
      <c r="C11" t="e">
        <f>solver_num=3</f>
        <v>#NAME?</v>
      </c>
      <c r="D11" t="e">
        <f>solver_opt=SimpleIP!$E$10</f>
        <v>#NAME?</v>
      </c>
      <c r="E11" t="e">
        <f>solver_num=3</f>
        <v>#NAME?</v>
      </c>
      <c r="F11" t="e">
        <f>solver_num=3</f>
        <v>#NAME?</v>
      </c>
      <c r="G11" t="e">
        <f>solver_num=3</f>
        <v>#NAME?</v>
      </c>
      <c r="H11" t="e">
        <f>solver_opt=#REF!</f>
        <v>#NAME?</v>
      </c>
      <c r="I11" t="e">
        <f>solver_opt=#REF!</f>
        <v>#NAME?</v>
      </c>
      <c r="J11" t="e">
        <f>solver_opt=#REF!</f>
        <v>#NAME?</v>
      </c>
      <c r="K11" t="e">
        <f>solver_rel2=3</f>
        <v>#NAME?</v>
      </c>
      <c r="L11" t="e">
        <f>solver_rel2=3</f>
        <v>#NAME?</v>
      </c>
      <c r="M11" t="e">
        <f>solver_rel2=3</f>
        <v>#NAME?</v>
      </c>
      <c r="N11" t="e">
        <f>solver_num=3</f>
        <v>#NAME?</v>
      </c>
      <c r="O11" t="e">
        <f>solver_rel2=3</f>
        <v>#NAME?</v>
      </c>
      <c r="P11" t="e">
        <f>solver_num=3</f>
        <v>#NAME?</v>
      </c>
      <c r="Q11" t="e">
        <f>solver_num=3</f>
        <v>#NAME?</v>
      </c>
      <c r="R11" t="e">
        <f>solver_opt=#REF!</f>
        <v>#NAME?</v>
      </c>
      <c r="S11" t="e">
        <f>solver_lhs5=#REF!</f>
        <v>#NAME?</v>
      </c>
      <c r="T11" t="e">
        <f>solver_lhs5=#REF!</f>
        <v>#NAME?</v>
      </c>
      <c r="U11" t="e">
        <f>solver_lhs6=#REF!</f>
        <v>#NAME?</v>
      </c>
      <c r="W11" t="e">
        <f>solver_num=3</f>
        <v>#NAME?</v>
      </c>
      <c r="X11" t="e">
        <f>solver_num=4</f>
        <v>#NAME?</v>
      </c>
      <c r="Y11" t="e">
        <f>solver_rel2=3</f>
        <v>#NAME?</v>
      </c>
      <c r="Z11" t="e">
        <f>solver_opt=#REF!</f>
        <v>#NAME?</v>
      </c>
      <c r="AA11" t="e">
        <f>solver_num=3</f>
        <v>#NAME?</v>
      </c>
      <c r="AB11" t="e">
        <f>solver_num=3</f>
        <v>#NAME?</v>
      </c>
      <c r="AC11" t="e">
        <f>solver_rel2=3</f>
        <v>#NAME?</v>
      </c>
      <c r="AD11" t="e">
        <f>solver_lhs5=#REF!</f>
        <v>#NAME?</v>
      </c>
      <c r="AE11" t="e">
        <f>solver_opt=#REF!</f>
        <v>#NAME?</v>
      </c>
      <c r="AF11" t="e">
        <f>solver_opt=#REF!</f>
        <v>#NAME?</v>
      </c>
      <c r="AG11" t="e">
        <f>solver_num=3</f>
        <v>#NAME?</v>
      </c>
      <c r="AH11" t="e">
        <f>solver_neg=1</f>
        <v>#NAME?</v>
      </c>
      <c r="AI11" t="e">
        <f>solver_neg=1</f>
        <v>#NAME?</v>
      </c>
      <c r="AJ11" t="e">
        <f>solver_opt=#REF!</f>
        <v>#NAME?</v>
      </c>
      <c r="AK11" t="e">
        <f>solver_opt=#REF!</f>
        <v>#NAME?</v>
      </c>
      <c r="AL11" t="e">
        <f>solver_opt=#REF!</f>
        <v>#NAME?</v>
      </c>
      <c r="AM11" t="e">
        <f>solver_opt=#REF!</f>
        <v>#NAME?</v>
      </c>
      <c r="AN11" t="e">
        <f>solver_opt=#REF!</f>
        <v>#NAME?</v>
      </c>
      <c r="AO11" t="e">
        <f>solver_rel1=3</f>
        <v>#NAME?</v>
      </c>
      <c r="AP11" t="e">
        <f>solver_opt=#REF!</f>
        <v>#NAME?</v>
      </c>
      <c r="AQ11" t="e">
        <f>solver_opt=#REF!</f>
        <v>#NAME?</v>
      </c>
      <c r="AR11" t="e">
        <f>solver_opt=#REF!</f>
        <v>#NAME?</v>
      </c>
      <c r="AS11" t="e">
        <f>solver_num=3</f>
        <v>#NAME?</v>
      </c>
      <c r="AT11" t="e">
        <f>solver_lhs5=#REF!</f>
        <v>#NAME?</v>
      </c>
      <c r="AU11" t="e">
        <f>solver_neg=1</f>
        <v>#NAME?</v>
      </c>
      <c r="AV11" t="e">
        <f>solver_num=3</f>
        <v>#NAME?</v>
      </c>
      <c r="AW11" t="e">
        <f>solver_num=3</f>
        <v>#NAME?</v>
      </c>
      <c r="AX11" t="e">
        <f>solver_neg=1</f>
        <v>#NAME?</v>
      </c>
      <c r="AY11" t="e">
        <f>solver_num=3</f>
        <v>#NAME?</v>
      </c>
      <c r="AZ11" t="e">
        <f>solver_neg=1</f>
        <v>#NAME?</v>
      </c>
      <c r="BA11" t="e">
        <f>solver_opt=#REF!</f>
        <v>#NAME?</v>
      </c>
      <c r="BB11" t="e">
        <f>solver_neg=0</f>
        <v>#NAME?</v>
      </c>
      <c r="BC11" t="e">
        <f>solver_lhs3=#REF!</f>
        <v>#NAME?</v>
      </c>
      <c r="BD11" t="e">
        <f>solver_lhs4=#REF!</f>
        <v>#NAME?</v>
      </c>
      <c r="BE11" t="e">
        <f>solver_opt=#REF!</f>
        <v>#NAME?</v>
      </c>
      <c r="BF11" t="e">
        <f>solver_lhs103=#REF!</f>
        <v>#NAME?</v>
      </c>
      <c r="BG11" t="e">
        <f>solver_opt=#REF!</f>
        <v>#NAME?</v>
      </c>
      <c r="BH11" t="e">
        <f>solver_opt=#REF!</f>
        <v>#NAME?</v>
      </c>
      <c r="BI11" t="e">
        <f>solver_rel1=1</f>
        <v>#NAME?</v>
      </c>
      <c r="BJ11" t="e">
        <f>solver_rhs1=#REF!</f>
        <v>#NAME?</v>
      </c>
      <c r="BK11" t="e">
        <f>solver_rel1=3</f>
        <v>#NAME?</v>
      </c>
      <c r="BL11" t="e">
        <f>solver_neg=1</f>
        <v>#NAME?</v>
      </c>
      <c r="BM11" t="e">
        <f>solver_rhs1=#REF!</f>
        <v>#NAME?</v>
      </c>
      <c r="BN11" t="e">
        <f>solver_rel1=3</f>
        <v>#NAME?</v>
      </c>
      <c r="BP11" t="e">
        <f>solver_tim=999999999</f>
        <v>#NAME?</v>
      </c>
      <c r="BQ11" t="e">
        <f>solver_num=4</f>
        <v>#NAME?</v>
      </c>
    </row>
    <row r="12" spans="1:71" x14ac:dyDescent="0.3">
      <c r="C12" t="e">
        <f>solver_opt=SimpleLP!$H$6</f>
        <v>#NAME?</v>
      </c>
      <c r="D12" t="e">
        <f>solver_rel1=1</f>
        <v>#NAME?</v>
      </c>
      <c r="E12" t="e">
        <f>solver_opt=#REF!</f>
        <v>#NAME?</v>
      </c>
      <c r="F12" t="e">
        <f>solver_opt=#REF!</f>
        <v>#NAME?</v>
      </c>
      <c r="G12" t="e">
        <f>solver_opt=#REF!</f>
        <v>#NAME?</v>
      </c>
      <c r="H12" t="e">
        <f>solver_rel1=1</f>
        <v>#NAME?</v>
      </c>
      <c r="I12" t="e">
        <f>solver_rel1=1</f>
        <v>#NAME?</v>
      </c>
      <c r="J12" t="e">
        <f>solver_rel1=1</f>
        <v>#NAME?</v>
      </c>
      <c r="K12" t="e">
        <f>solver_rel3=2</f>
        <v>#NAME?</v>
      </c>
      <c r="L12" t="e">
        <f>solver_rel3=2</f>
        <v>#NAME?</v>
      </c>
      <c r="M12" t="e">
        <f>solver_rel3=2</f>
        <v>#NAME?</v>
      </c>
      <c r="N12" t="e">
        <f>solver_opt=#REF!</f>
        <v>#NAME?</v>
      </c>
      <c r="O12" t="e">
        <f>solver_rel3=2</f>
        <v>#NAME?</v>
      </c>
      <c r="P12" t="e">
        <f>solver_opt=#REF!</f>
        <v>#NAME?</v>
      </c>
      <c r="Q12" t="e">
        <f>solver_opt=#REF!</f>
        <v>#NAME?</v>
      </c>
      <c r="R12" t="e">
        <f>solver_rel1=1</f>
        <v>#NAME?</v>
      </c>
      <c r="S12" t="e">
        <f>solver_neg=1</f>
        <v>#NAME?</v>
      </c>
      <c r="T12" t="e">
        <f>solver_lhs6=#REF!</f>
        <v>#NAME?</v>
      </c>
      <c r="U12" t="e">
        <f>solver_lhs7=#REF!</f>
        <v>#NAME?</v>
      </c>
      <c r="W12" t="e">
        <f>solver_opt='EscapeSheetName(1)+2-1'!$H$6</f>
        <v>#NAME?</v>
      </c>
      <c r="X12" t="e">
        <f>solver_opt=#REF!</f>
        <v>#NAME?</v>
      </c>
      <c r="Y12" t="e">
        <f>solver_rel3=1</f>
        <v>#NAME?</v>
      </c>
      <c r="Z12" t="e">
        <f>solver_rel1=1</f>
        <v>#NAME?</v>
      </c>
      <c r="AA12" t="e">
        <f>solver_opt=#REF!</f>
        <v>#NAME?</v>
      </c>
      <c r="AB12" t="e">
        <f>solver_opt=#REF!</f>
        <v>#NAME?</v>
      </c>
      <c r="AC12" t="e">
        <f>solver_rel3=2</f>
        <v>#NAME?</v>
      </c>
      <c r="AD12" t="e">
        <f>solver_neg=1</f>
        <v>#NAME?</v>
      </c>
      <c r="AE12" t="e">
        <f>solver_rel1=3</f>
        <v>#NAME?</v>
      </c>
      <c r="AF12" t="e">
        <f>solver_rel1=3</f>
        <v>#NAME?</v>
      </c>
      <c r="AG12" t="e">
        <f>solver_opt=#REF!</f>
        <v>#NAME?</v>
      </c>
      <c r="AH12" t="e">
        <f>solver_num=4</f>
        <v>#NAME?</v>
      </c>
      <c r="AI12" t="e">
        <f>solver_num=4</f>
        <v>#NAME?</v>
      </c>
      <c r="AJ12" t="e">
        <f>solver_rel1=3</f>
        <v>#NAME?</v>
      </c>
      <c r="AK12" t="e">
        <f>solver_rel1=3</f>
        <v>#NAME?</v>
      </c>
      <c r="AL12" t="e">
        <f>solver_rel1=3</f>
        <v>#NAME?</v>
      </c>
      <c r="AM12" t="e">
        <f>solver_rel1=3</f>
        <v>#NAME?</v>
      </c>
      <c r="AN12" t="e">
        <f>solver_rel1=3</f>
        <v>#NAME?</v>
      </c>
      <c r="AO12" t="e">
        <f>solver_rhs1=#REF!</f>
        <v>#NAME?</v>
      </c>
      <c r="AP12" t="e">
        <f>solver_rel1=3</f>
        <v>#NAME?</v>
      </c>
      <c r="AQ12" t="e">
        <f>solver_rel1=3</f>
        <v>#NAME?</v>
      </c>
      <c r="AR12" t="e">
        <f>solver_rel1=3</f>
        <v>#NAME?</v>
      </c>
      <c r="AS12" t="e">
        <f>solver_opt=#REF!</f>
        <v>#NAME?</v>
      </c>
      <c r="AT12" t="e">
        <f>solver_lhs6=#REF!</f>
        <v>#NAME?</v>
      </c>
      <c r="AU12" t="e">
        <f>solver_num=4</f>
        <v>#NAME?</v>
      </c>
      <c r="AV12" t="e">
        <f>solver_opt=#REF!</f>
        <v>#NAME?</v>
      </c>
      <c r="AW12" t="e">
        <f>solver_rel1=1</f>
        <v>#NAME?</v>
      </c>
      <c r="AX12" t="e">
        <f>solver_num=3</f>
        <v>#NAME?</v>
      </c>
      <c r="AY12" t="e">
        <f>solver_opt=#REF!</f>
        <v>#NAME?</v>
      </c>
      <c r="AZ12" t="e">
        <f>solver_num=4</f>
        <v>#NAME?</v>
      </c>
      <c r="BA12" t="e">
        <f>solver_rel1=1</f>
        <v>#NAME?</v>
      </c>
      <c r="BB12" t="e">
        <f>solver_num=3</f>
        <v>#NAME?</v>
      </c>
      <c r="BC12" t="e">
        <f>solver_lhs4=#REF!</f>
        <v>#NAME?</v>
      </c>
      <c r="BD12" t="e">
        <f>solver_neg=0</f>
        <v>#NAME?</v>
      </c>
      <c r="BE12" t="e">
        <f>solver_rel1=1</f>
        <v>#NAME?</v>
      </c>
      <c r="BF12" t="e">
        <f>solver_lhs104=#REF!</f>
        <v>#NAME?</v>
      </c>
      <c r="BG12" t="e">
        <f>solver_rel1=1</f>
        <v>#NAME?</v>
      </c>
      <c r="BH12" t="e">
        <f>solver_pre=0.001</f>
        <v>#NAME?</v>
      </c>
      <c r="BI12" t="e">
        <f>solver_rel2=4</f>
        <v>#NAME?</v>
      </c>
      <c r="BJ12" t="e">
        <f>solver_rlx=0</f>
        <v>#NAME?</v>
      </c>
      <c r="BK12" t="e">
        <f>solver_rel2=5</f>
        <v>#NAME?</v>
      </c>
      <c r="BL12" t="e">
        <f>solver_num=5</f>
        <v>#NAME?</v>
      </c>
      <c r="BM12" t="e">
        <f>solver_rlx=0</f>
        <v>#NAME?</v>
      </c>
      <c r="BN12" t="e">
        <f>solver_rel2=1</f>
        <v>#NAME?</v>
      </c>
      <c r="BP12" t="e">
        <f>solver_tol=0.05</f>
        <v>#NAME?</v>
      </c>
      <c r="BQ12" t="e">
        <f>solver_opt=#REF!</f>
        <v>#NAME?</v>
      </c>
    </row>
    <row r="13" spans="1:71" x14ac:dyDescent="0.3">
      <c r="C13" t="e">
        <f>solver_rel1=1</f>
        <v>#NAME?</v>
      </c>
      <c r="D13" t="e">
        <f>solver_rel2=5</f>
        <v>#NAME?</v>
      </c>
      <c r="E13" t="e">
        <f>solver_rel1=1</f>
        <v>#NAME?</v>
      </c>
      <c r="F13" t="e">
        <f>solver_rel1=1</f>
        <v>#NAME?</v>
      </c>
      <c r="G13" t="e">
        <f>solver_rel1=1</f>
        <v>#NAME?</v>
      </c>
      <c r="H13" t="e">
        <f>solver_rel2=3</f>
        <v>#NAME?</v>
      </c>
      <c r="I13" t="e">
        <f>solver_rel2=3</f>
        <v>#NAME?</v>
      </c>
      <c r="J13" t="e">
        <f>solver_rel2=3</f>
        <v>#NAME?</v>
      </c>
      <c r="K13" t="e">
        <f>solver_rhs1=#REF!</f>
        <v>#NAME?</v>
      </c>
      <c r="L13" t="e">
        <f>solver_rhs1=#REF!</f>
        <v>#NAME?</v>
      </c>
      <c r="M13" t="e">
        <f>solver_rhs1=#REF!</f>
        <v>#NAME?</v>
      </c>
      <c r="N13" t="e">
        <f>solver_rel1=1</f>
        <v>#NAME?</v>
      </c>
      <c r="O13" t="e">
        <f>solver_rhs1=#REF!</f>
        <v>#NAME?</v>
      </c>
      <c r="P13" t="e">
        <f>solver_rel1=1</f>
        <v>#NAME?</v>
      </c>
      <c r="Q13" t="e">
        <f>solver_rel1=1</f>
        <v>#NAME?</v>
      </c>
      <c r="R13" t="e">
        <f>solver_rel2=3</f>
        <v>#NAME?</v>
      </c>
      <c r="S13" t="e">
        <f>solver_num=5</f>
        <v>#NAME?</v>
      </c>
      <c r="T13" t="e">
        <f>solver_lhs7=#REF!</f>
        <v>#NAME?</v>
      </c>
      <c r="U13" t="e">
        <f>solver_lhs8=#REF!</f>
        <v>#NAME?</v>
      </c>
      <c r="W13" t="e">
        <f>solver_rel1=1</f>
        <v>#NAME?</v>
      </c>
      <c r="X13" t="e">
        <f>solver_rel1=1</f>
        <v>#NAME?</v>
      </c>
      <c r="Y13" t="e">
        <f>solver_rhs1=#REF!</f>
        <v>#NAME?</v>
      </c>
      <c r="Z13" t="e">
        <f>solver_rel2=3</f>
        <v>#NAME?</v>
      </c>
      <c r="AA13" t="e">
        <f>solver_rel1=1</f>
        <v>#NAME?</v>
      </c>
      <c r="AB13" t="e">
        <f>solver_rel1=1</f>
        <v>#NAME?</v>
      </c>
      <c r="AC13" t="e">
        <f>solver_rhs1=#REF!</f>
        <v>#NAME?</v>
      </c>
      <c r="AD13" t="e">
        <f>solver_num=5</f>
        <v>#NAME?</v>
      </c>
      <c r="AE13" t="e">
        <f>solver_rel2=3</f>
        <v>#NAME?</v>
      </c>
      <c r="AF13" t="e">
        <f>solver_rel2=3</f>
        <v>#NAME?</v>
      </c>
      <c r="AG13" t="e">
        <f>solver_rel1=3</f>
        <v>#NAME?</v>
      </c>
      <c r="AH13" t="e">
        <f>solver_opt=#REF!</f>
        <v>#NAME?</v>
      </c>
      <c r="AI13" t="e">
        <f>solver_opt=#REF!</f>
        <v>#NAME?</v>
      </c>
      <c r="AJ13" t="e">
        <f>solver_rel2=3</f>
        <v>#NAME?</v>
      </c>
      <c r="AK13" t="e">
        <f>solver_rel2=3</f>
        <v>#NAME?</v>
      </c>
      <c r="AL13" t="e">
        <f>solver_rel2=3</f>
        <v>#NAME?</v>
      </c>
      <c r="AM13" t="e">
        <f>solver_rel2=3</f>
        <v>#NAME?</v>
      </c>
      <c r="AN13" t="e">
        <f>solver_rel2=3</f>
        <v>#NAME?</v>
      </c>
      <c r="AO13" t="e">
        <f>solver_rlx=0</f>
        <v>#NAME?</v>
      </c>
      <c r="AP13" t="e">
        <f>solver_rel2=3</f>
        <v>#NAME?</v>
      </c>
      <c r="AQ13" t="e">
        <f>solver_rel2=3</f>
        <v>#NAME?</v>
      </c>
      <c r="AR13" t="e">
        <f>solver_rel2=1</f>
        <v>#NAME?</v>
      </c>
      <c r="AS13" t="e">
        <f>solver_rel1=2</f>
        <v>#NAME?</v>
      </c>
      <c r="AT13" t="e">
        <f>solver_lhs7=#REF!</f>
        <v>#NAME?</v>
      </c>
      <c r="AU13" t="e">
        <f>solver_opt=#REF!</f>
        <v>#NAME?</v>
      </c>
      <c r="AV13" t="e">
        <f>solver_rel1=1</f>
        <v>#NAME?</v>
      </c>
      <c r="AW13" t="e">
        <f>solver_rel2=3</f>
        <v>#NAME?</v>
      </c>
      <c r="AX13" t="e">
        <f>solver_opt=#REF!</f>
        <v>#NAME?</v>
      </c>
      <c r="AY13" t="e">
        <f>solver_rel1=2</f>
        <v>#NAME?</v>
      </c>
      <c r="AZ13" t="e">
        <f>solver_opt=#REF!</f>
        <v>#NAME?</v>
      </c>
      <c r="BA13" t="e">
        <f>solver_rel2=3</f>
        <v>#NAME?</v>
      </c>
      <c r="BB13" t="e">
        <f>solver_opt=#REF!</f>
        <v>#NAME?</v>
      </c>
      <c r="BC13" t="e">
        <f>solver_neg=1</f>
        <v>#NAME?</v>
      </c>
      <c r="BD13" t="e">
        <f>solver_num=4</f>
        <v>#NAME?</v>
      </c>
      <c r="BE13" t="e">
        <f>solver_rel2=3</f>
        <v>#NAME?</v>
      </c>
      <c r="BF13" t="e">
        <f>solver_lhs105=#REF!</f>
        <v>#NAME?</v>
      </c>
      <c r="BG13" t="e">
        <f>solver_rel2=3</f>
        <v>#NAME?</v>
      </c>
      <c r="BH13" t="e">
        <f>solver_rel1=1</f>
        <v>#NAME?</v>
      </c>
      <c r="BI13" t="e">
        <f>solver_rhs1=#REF!</f>
        <v>#NAME?</v>
      </c>
      <c r="BJ13" t="e">
        <f>solver_sho=0</f>
        <v>#NAME?</v>
      </c>
      <c r="BK13" t="e">
        <f>solver_rhs1=#REF!</f>
        <v>#NAME?</v>
      </c>
      <c r="BL13" t="e">
        <f>solver_opt=#REF!</f>
        <v>#NAME?</v>
      </c>
      <c r="BM13" t="e">
        <f>solver_sho=0</f>
        <v>#NAME?</v>
      </c>
      <c r="BN13" t="e">
        <f>solver_rhs1=#REF!</f>
        <v>#NAME?</v>
      </c>
      <c r="BP13" t="e">
        <f>solver_typ=2</f>
        <v>#NAME?</v>
      </c>
      <c r="BQ13" t="e">
        <f>solver_rel1=3</f>
        <v>#NAME?</v>
      </c>
    </row>
    <row r="14" spans="1:71" x14ac:dyDescent="0.3">
      <c r="C14" t="e">
        <f>solver_rel2=3</f>
        <v>#NAME?</v>
      </c>
      <c r="D14" t="e">
        <f>solver_rhs1=SimpleIP!$C$10</f>
        <v>#NAME?</v>
      </c>
      <c r="E14" t="e">
        <f>solver_rel2=3</f>
        <v>#NAME?</v>
      </c>
      <c r="F14" t="e">
        <f>solver_rel2=3</f>
        <v>#NAME?</v>
      </c>
      <c r="G14" t="e">
        <f>solver_rel2=3</f>
        <v>#NAME?</v>
      </c>
      <c r="H14" t="e">
        <f>solver_rel3=2</f>
        <v>#NAME?</v>
      </c>
      <c r="I14" t="e">
        <f>solver_rel3=2</f>
        <v>#NAME?</v>
      </c>
      <c r="J14" t="e">
        <f>solver_rel3=2</f>
        <v>#NAME?</v>
      </c>
      <c r="K14" t="e">
        <f>solver_rhs2=#REF!</f>
        <v>#NAME?</v>
      </c>
      <c r="L14" t="e">
        <f>solver_rhs2=#REF!</f>
        <v>#NAME?</v>
      </c>
      <c r="M14" t="e">
        <f>solver_rhs2=#REF!</f>
        <v>#NAME?</v>
      </c>
      <c r="N14" t="e">
        <f>solver_rel2=3</f>
        <v>#NAME?</v>
      </c>
      <c r="O14" t="e">
        <f>solver_rhs2=#REF!</f>
        <v>#NAME?</v>
      </c>
      <c r="P14" t="e">
        <f>solver_rel2=3</f>
        <v>#NAME?</v>
      </c>
      <c r="Q14" t="e">
        <f>solver_rel2=3</f>
        <v>#NAME?</v>
      </c>
      <c r="R14" t="e">
        <f>solver_rel3=2</f>
        <v>#NAME?</v>
      </c>
      <c r="S14" t="e">
        <f>solver_opt=#REF!</f>
        <v>#NAME?</v>
      </c>
      <c r="T14" t="e">
        <f>solver_lhs8=#REF!</f>
        <v>#NAME?</v>
      </c>
      <c r="U14" t="e">
        <f>solver_lhs9=#REF!</f>
        <v>#NAME?</v>
      </c>
      <c r="W14" t="e">
        <f>solver_rel2=3</f>
        <v>#NAME?</v>
      </c>
      <c r="X14" t="e">
        <f>solver_rel2=3</f>
        <v>#NAME?</v>
      </c>
      <c r="Y14" t="e">
        <f>solver_rhs2=#REF!</f>
        <v>#NAME?</v>
      </c>
      <c r="Z14" t="e">
        <f>solver_rel3=2</f>
        <v>#NAME?</v>
      </c>
      <c r="AA14" t="e">
        <f>solver_rel2=3</f>
        <v>#NAME?</v>
      </c>
      <c r="AB14" t="e">
        <f>solver_rel2=3</f>
        <v>#NAME?</v>
      </c>
      <c r="AC14" t="e">
        <f>solver_rhs2=#REF!</f>
        <v>#NAME?</v>
      </c>
      <c r="AD14" t="e">
        <f>solver_opt=#REF!</f>
        <v>#NAME?</v>
      </c>
      <c r="AE14" t="e">
        <f>solver_rhs1=#REF!</f>
        <v>#NAME?</v>
      </c>
      <c r="AF14" t="e">
        <f>solver_rhs1=#REF!</f>
        <v>#NAME?</v>
      </c>
      <c r="AG14" t="e">
        <f>solver_rel2=3</f>
        <v>#NAME?</v>
      </c>
      <c r="AH14" t="e">
        <f>solver_rel1=3</f>
        <v>#NAME?</v>
      </c>
      <c r="AI14" t="e">
        <f>solver_rel1=3</f>
        <v>#NAME?</v>
      </c>
      <c r="AJ14" t="e">
        <f>solver_rhs1=#REF!</f>
        <v>#NAME?</v>
      </c>
      <c r="AK14" t="e">
        <f>solver_rhs1=#REF!</f>
        <v>#NAME?</v>
      </c>
      <c r="AL14" t="e">
        <f>solver_rhs1=#REF!</f>
        <v>#NAME?</v>
      </c>
      <c r="AM14" t="e">
        <f>solver_rhs1=#REF!</f>
        <v>#NAME?</v>
      </c>
      <c r="AN14" t="e">
        <f>solver_rhs1=#REF!</f>
        <v>#NAME?</v>
      </c>
      <c r="AO14" t="e">
        <f>solver_sho=0</f>
        <v>#NAME?</v>
      </c>
      <c r="AP14" t="e">
        <f>solver_rhs1=#REF!</f>
        <v>#NAME?</v>
      </c>
      <c r="AQ14" t="e">
        <f>solver_rhs1=#REF!</f>
        <v>#NAME?</v>
      </c>
      <c r="AR14" t="e">
        <f>solver_rhs1=#REF!</f>
        <v>#NAME?</v>
      </c>
      <c r="AS14" t="e">
        <f>solver_rel2=3</f>
        <v>#NAME?</v>
      </c>
      <c r="AT14" t="e">
        <f>solver_neg=1</f>
        <v>#NAME?</v>
      </c>
      <c r="AU14" t="e">
        <f>solver_rel1=1</f>
        <v>#NAME?</v>
      </c>
      <c r="AV14" t="e">
        <f>solver_rel2=3</f>
        <v>#NAME?</v>
      </c>
      <c r="AW14" t="e">
        <f>solver_rel3=2</f>
        <v>#NAME?</v>
      </c>
      <c r="AX14" t="e">
        <f>solver_rel1=2</f>
        <v>#NAME?</v>
      </c>
      <c r="AY14" t="e">
        <f>solver_rel2=3</f>
        <v>#NAME?</v>
      </c>
      <c r="AZ14" t="e">
        <f>solver_rel1=1</f>
        <v>#NAME?</v>
      </c>
      <c r="BA14" t="e">
        <f>solver_rhs1=#REF!</f>
        <v>#NAME?</v>
      </c>
      <c r="BB14" t="e">
        <f>solver_rel1=1</f>
        <v>#NAME?</v>
      </c>
      <c r="BC14" t="e">
        <f>solver_num=4</f>
        <v>#NAME?</v>
      </c>
      <c r="BD14" t="e">
        <f>solver_opt=#REF!</f>
        <v>#NAME?</v>
      </c>
      <c r="BE14" t="e">
        <f>solver_rel3=2</f>
        <v>#NAME?</v>
      </c>
      <c r="BF14" t="e">
        <f>solver_lhs106=#REF!</f>
        <v>#NAME?</v>
      </c>
      <c r="BG14" t="e">
        <f>solver_rel3=2</f>
        <v>#NAME?</v>
      </c>
      <c r="BH14" t="e">
        <f>solver_rel2=3</f>
        <v>#NAME?</v>
      </c>
      <c r="BI14" t="e">
        <f>solver_rhs2=integer</f>
        <v>#NAME?</v>
      </c>
      <c r="BJ14" t="e">
        <f>solver_tim=999999999</f>
        <v>#NAME?</v>
      </c>
      <c r="BK14" t="e">
        <f>solver_rhs2=binary</f>
        <v>#NAME?</v>
      </c>
      <c r="BL14" t="e">
        <f>solver_rel1=3</f>
        <v>#NAME?</v>
      </c>
      <c r="BM14" t="e">
        <f>solver_tim=999999999</f>
        <v>#NAME?</v>
      </c>
      <c r="BN14" t="e">
        <f>solver_rhs2=#REF!</f>
        <v>#NAME?</v>
      </c>
      <c r="BP14" t="e">
        <f>solver_val=0</f>
        <v>#NAME?</v>
      </c>
      <c r="BQ14" t="e">
        <f>solver_rel2=1</f>
        <v>#NAME?</v>
      </c>
    </row>
    <row r="15" spans="1:71" x14ac:dyDescent="0.3">
      <c r="C15" t="e">
        <f>solver_rel3=2</f>
        <v>#NAME?</v>
      </c>
      <c r="D15" t="e">
        <f>solver_rhs2=binary</f>
        <v>#NAME?</v>
      </c>
      <c r="E15" t="e">
        <f>solver_rel3=2</f>
        <v>#NAME?</v>
      </c>
      <c r="F15" t="e">
        <f>solver_rel3=2</f>
        <v>#NAME?</v>
      </c>
      <c r="G15" t="e">
        <f>solver_rel3=2</f>
        <v>#NAME?</v>
      </c>
      <c r="H15" t="e">
        <f>solver_rhs1=#REF!</f>
        <v>#NAME?</v>
      </c>
      <c r="I15" t="e">
        <f>solver_rhs1=#REF!</f>
        <v>#NAME?</v>
      </c>
      <c r="J15" t="e">
        <f>solver_rhs1=#REF!</f>
        <v>#NAME?</v>
      </c>
      <c r="K15" t="e">
        <f>solver_rhs3=#REF!</f>
        <v>#NAME?</v>
      </c>
      <c r="L15" t="e">
        <f>solver_rhs3=#REF!</f>
        <v>#NAME?</v>
      </c>
      <c r="M15" t="e">
        <f>solver_rhs3=#REF!</f>
        <v>#NAME?</v>
      </c>
      <c r="N15" t="e">
        <f>solver_rel3=2</f>
        <v>#NAME?</v>
      </c>
      <c r="O15" t="e">
        <f>solver_rhs3=#REF!</f>
        <v>#NAME?</v>
      </c>
      <c r="P15" t="e">
        <f>solver_rel3=2</f>
        <v>#NAME?</v>
      </c>
      <c r="Q15" t="e">
        <f>solver_rel3=2</f>
        <v>#NAME?</v>
      </c>
      <c r="R15" t="e">
        <f>solver_rhs1=#REF!</f>
        <v>#NAME?</v>
      </c>
      <c r="S15" t="e">
        <f>solver_rel1=1</f>
        <v>#NAME?</v>
      </c>
      <c r="T15" t="e">
        <f>solver_neg=1</f>
        <v>#NAME?</v>
      </c>
      <c r="U15" t="e">
        <f>solver_neg=1</f>
        <v>#NAME?</v>
      </c>
      <c r="W15" t="e">
        <f>solver_rel3=2</f>
        <v>#NAME?</v>
      </c>
      <c r="X15" t="e">
        <f>solver_rel3=1</f>
        <v>#NAME?</v>
      </c>
      <c r="Y15" t="e">
        <f>solver_rhs3=#REF!</f>
        <v>#NAME?</v>
      </c>
      <c r="Z15" t="e">
        <f>solver_rhs1=#REF!</f>
        <v>#NAME?</v>
      </c>
      <c r="AA15" t="e">
        <f>solver_rel3=3</f>
        <v>#NAME?</v>
      </c>
      <c r="AB15" t="e">
        <f>solver_rel3=2</f>
        <v>#NAME?</v>
      </c>
      <c r="AC15" t="e">
        <f>solver_rhs3=#REF!</f>
        <v>#NAME?</v>
      </c>
      <c r="AD15" t="e">
        <f>solver_rel1=1</f>
        <v>#NAME?</v>
      </c>
      <c r="AE15" t="e">
        <f>solver_rhs2=#REF!</f>
        <v>#NAME?</v>
      </c>
      <c r="AF15" t="e">
        <f>solver_rhs2=-2</f>
        <v>#NAME?</v>
      </c>
      <c r="AG15" t="e">
        <f>solver_rel3=5</f>
        <v>#NAME?</v>
      </c>
      <c r="AH15" t="e">
        <f>solver_rel2=3</f>
        <v>#NAME?</v>
      </c>
      <c r="AI15" t="e">
        <f>solver_rel2=3</f>
        <v>#NAME?</v>
      </c>
      <c r="AJ15" t="e">
        <f>solver_rhs2=#REF!</f>
        <v>#NAME?</v>
      </c>
      <c r="AK15" t="e">
        <f>solver_rhs2=#REF!</f>
        <v>#NAME?</v>
      </c>
      <c r="AL15" t="e">
        <f>solver_rhs2=#REF!</f>
        <v>#NAME?</v>
      </c>
      <c r="AM15" t="e">
        <f>solver_rhs2=#REF!</f>
        <v>#NAME?</v>
      </c>
      <c r="AN15" t="e">
        <f>solver_rhs2=#REF!</f>
        <v>#NAME?</v>
      </c>
      <c r="AO15" t="e">
        <f>solver_tim=999999999</f>
        <v>#NAME?</v>
      </c>
      <c r="AP15" t="e">
        <f>solver_rhs2=-10</f>
        <v>#NAME?</v>
      </c>
      <c r="AQ15" t="e">
        <f>solver_rhs2=-10*2</f>
        <v>#NAME?</v>
      </c>
      <c r="AR15" t="e">
        <f>solver_rhs2=#REF!</f>
        <v>#NAME?</v>
      </c>
      <c r="AS15" t="e">
        <f>solver_rel3=1</f>
        <v>#NAME?</v>
      </c>
      <c r="AT15" t="e">
        <f>solver_num=7</f>
        <v>#NAME?</v>
      </c>
      <c r="AU15" t="e">
        <f>solver_rel2=3</f>
        <v>#NAME?</v>
      </c>
      <c r="AV15" t="e">
        <f>solver_rel3=2</f>
        <v>#NAME?</v>
      </c>
      <c r="AW15" t="e">
        <f>solver_rhs1=#REF!</f>
        <v>#NAME?</v>
      </c>
      <c r="AX15" t="e">
        <f>solver_rel2=3</f>
        <v>#NAME?</v>
      </c>
      <c r="AY15" t="e">
        <f>solver_rel3=1</f>
        <v>#NAME?</v>
      </c>
      <c r="AZ15" t="e">
        <f>solver_rel2=3</f>
        <v>#NAME?</v>
      </c>
      <c r="BA15" t="e">
        <f>solver_rhs2=#REF!</f>
        <v>#NAME?</v>
      </c>
      <c r="BB15" t="e">
        <f>solver_rel2=3</f>
        <v>#NAME?</v>
      </c>
      <c r="BC15" t="e">
        <f>solver_opt=#REF!</f>
        <v>#NAME?</v>
      </c>
      <c r="BD15" t="e">
        <f>solver_pre=0.0001</f>
        <v>#NAME?</v>
      </c>
      <c r="BE15" t="e">
        <f>solver_rhs1=#REF!</f>
        <v>#NAME?</v>
      </c>
      <c r="BF15" t="e">
        <f>solver_lhs107=#REF!</f>
        <v>#NAME?</v>
      </c>
      <c r="BG15" t="e">
        <f>solver_rhs1=#REF!</f>
        <v>#NAME?</v>
      </c>
      <c r="BH15" t="e">
        <f>solver_rel3=1</f>
        <v>#NAME?</v>
      </c>
      <c r="BI15" t="e">
        <f>solver_rlx=0</f>
        <v>#NAME?</v>
      </c>
      <c r="BJ15" t="e">
        <f>solver_tol=0.05</f>
        <v>#NAME?</v>
      </c>
      <c r="BK15" t="e">
        <f>solver_rlx=0</f>
        <v>#NAME?</v>
      </c>
      <c r="BL15" t="e">
        <f>solver_rel2=1</f>
        <v>#NAME?</v>
      </c>
      <c r="BM15" t="e">
        <f>solver_tol=0.05</f>
        <v>#NAME?</v>
      </c>
      <c r="BN15" t="e">
        <f>solver_rlx=0</f>
        <v>#NAME?</v>
      </c>
      <c r="BQ15" t="e">
        <f>solver_rel3=3</f>
        <v>#NAME?</v>
      </c>
    </row>
    <row r="16" spans="1:71" x14ac:dyDescent="0.3">
      <c r="C16" t="e">
        <f>solver_rhs1=SimpleLP!$J$8:$J$9</f>
        <v>#NAME?</v>
      </c>
      <c r="D16" t="e">
        <f>solver_rlx=0</f>
        <v>#NAME?</v>
      </c>
      <c r="E16" t="e">
        <f>solver_rhs1=#REF!</f>
        <v>#NAME?</v>
      </c>
      <c r="F16" t="e">
        <f>solver_rhs1=#REF!</f>
        <v>#NAME?</v>
      </c>
      <c r="G16" t="e">
        <f>solver_rhs1=#REF!</f>
        <v>#NAME?</v>
      </c>
      <c r="H16" t="e">
        <f>solver_rhs2=#REF!</f>
        <v>#NAME?</v>
      </c>
      <c r="I16" t="e">
        <f>solver_rhs2=#REF!</f>
        <v>#NAME?</v>
      </c>
      <c r="J16" t="e">
        <f>solver_rhs2=#REF!</f>
        <v>#NAME?</v>
      </c>
      <c r="K16" t="e">
        <f>solver_typ=2</f>
        <v>#NAME?</v>
      </c>
      <c r="L16" t="e">
        <f>solver_typ=2</f>
        <v>#NAME?</v>
      </c>
      <c r="N16" t="e">
        <f>solver_rhs1=#REF!</f>
        <v>#NAME?</v>
      </c>
      <c r="P16" t="e">
        <f>solver_rhs1=#REF!</f>
        <v>#NAME?</v>
      </c>
      <c r="Q16" t="e">
        <f>solver_rhs1=#REF!</f>
        <v>#NAME?</v>
      </c>
      <c r="R16" t="e">
        <f>solver_rhs2=#REF!</f>
        <v>#NAME?</v>
      </c>
      <c r="S16" t="e">
        <f>solver_rel2=3</f>
        <v>#NAME?</v>
      </c>
      <c r="T16" t="e">
        <f>solver_num=8</f>
        <v>#NAME?</v>
      </c>
      <c r="U16" t="e">
        <f>solver_num=9</f>
        <v>#NAME?</v>
      </c>
      <c r="W16" t="e">
        <f>solver_rhs1='EscapeSheetName(1)+2-1'!$J$8:$J$9</f>
        <v>#NAME?</v>
      </c>
      <c r="X16" t="e">
        <f>solver_rel4=1</f>
        <v>#NAME?</v>
      </c>
      <c r="Y16" t="e">
        <f>solver_typ=2</f>
        <v>#NAME?</v>
      </c>
      <c r="Z16" t="e">
        <f>solver_rhs2=#REF!</f>
        <v>#NAME?</v>
      </c>
      <c r="AA16" t="e">
        <f>solver_rhs1=#REF!</f>
        <v>#NAME?</v>
      </c>
      <c r="AB16" t="e">
        <f>solver_rhs1=#REF!</f>
        <v>#NAME?</v>
      </c>
      <c r="AD16" t="e">
        <f>solver_rel2=3</f>
        <v>#NAME?</v>
      </c>
      <c r="AE16" t="e">
        <f>solver_rlx=0</f>
        <v>#NAME?</v>
      </c>
      <c r="AF16" t="e">
        <f>solver_rlx=0</f>
        <v>#NAME?</v>
      </c>
      <c r="AG16" t="e">
        <f>solver_rhs1=#REF!</f>
        <v>#NAME?</v>
      </c>
      <c r="AH16" t="e">
        <f>solver_rel3=5</f>
        <v>#NAME?</v>
      </c>
      <c r="AI16" t="e">
        <f>solver_rel3=5</f>
        <v>#NAME?</v>
      </c>
      <c r="AJ16" t="e">
        <f>solver_rlx=0</f>
        <v>#NAME?</v>
      </c>
      <c r="AK16" t="e">
        <f>solver_rlx=0</f>
        <v>#NAME?</v>
      </c>
      <c r="AL16" t="e">
        <f>solver_rlx=0</f>
        <v>#NAME?</v>
      </c>
      <c r="AM16" t="e">
        <f>solver_rlx=0</f>
        <v>#NAME?</v>
      </c>
      <c r="AN16" t="e">
        <f>solver_rlx=0</f>
        <v>#NAME?</v>
      </c>
      <c r="AO16" t="e">
        <f>solver_tol=0.05</f>
        <v>#NAME?</v>
      </c>
      <c r="AP16" t="e">
        <f>solver_rlx=0</f>
        <v>#NAME?</v>
      </c>
      <c r="AQ16" t="e">
        <f>solver_rlx=0</f>
        <v>#NAME?</v>
      </c>
      <c r="AR16" t="e">
        <f>solver_rlx=0</f>
        <v>#NAME?</v>
      </c>
      <c r="AS16" t="e">
        <f>solver_rhs1=#REF!</f>
        <v>#NAME?</v>
      </c>
      <c r="AT16" t="e">
        <f>solver_opt=#REF!</f>
        <v>#NAME?</v>
      </c>
      <c r="AU16" t="e">
        <f>solver_rel3=1</f>
        <v>#NAME?</v>
      </c>
      <c r="AV16" t="e">
        <f>solver_rhs1=#REF!</f>
        <v>#NAME?</v>
      </c>
      <c r="AW16" t="e">
        <f>solver_rhs2=#REF!</f>
        <v>#NAME?</v>
      </c>
      <c r="AX16" t="e">
        <f>solver_rel3=1</f>
        <v>#NAME?</v>
      </c>
      <c r="AY16" t="e">
        <f>solver_rhs1=#REF!</f>
        <v>#NAME?</v>
      </c>
      <c r="AZ16" t="e">
        <f>solver_rel3=1</f>
        <v>#NAME?</v>
      </c>
      <c r="BA16" t="e">
        <f>solver_rlx=0</f>
        <v>#NAME?</v>
      </c>
      <c r="BB16" t="e">
        <f>solver_rel3=2</f>
        <v>#NAME?</v>
      </c>
      <c r="BC16" t="e">
        <f>solver_rel1=1</f>
        <v>#NAME?</v>
      </c>
      <c r="BD16" t="e">
        <f>solver_rel1=1</f>
        <v>#NAME?</v>
      </c>
      <c r="BE16" t="e">
        <f>solver_rhs2=#REF!</f>
        <v>#NAME?</v>
      </c>
      <c r="BF16" t="e">
        <f>solver_lhs108=#REF!</f>
        <v>#NAME?</v>
      </c>
      <c r="BG16" t="e">
        <f>solver_rhs2=#REF!</f>
        <v>#NAME?</v>
      </c>
      <c r="BH16" t="e">
        <f>solver_rhs1=#REF!</f>
        <v>#NAME?</v>
      </c>
      <c r="BI16" t="e">
        <f>solver_sho=0</f>
        <v>#NAME?</v>
      </c>
      <c r="BJ16" t="e">
        <f>solver_typ=2</f>
        <v>#NAME?</v>
      </c>
      <c r="BK16" t="e">
        <f>solver_sho=0</f>
        <v>#NAME?</v>
      </c>
      <c r="BL16" t="e">
        <f>solver_rel3=3</f>
        <v>#NAME?</v>
      </c>
      <c r="BM16" t="e">
        <f>solver_typ=2</f>
        <v>#NAME?</v>
      </c>
      <c r="BN16" t="e">
        <f>solver_sho=0</f>
        <v>#NAME?</v>
      </c>
      <c r="BQ16" t="e">
        <f>solver_rel4=1</f>
        <v>#NAME?</v>
      </c>
    </row>
    <row r="17" spans="3:69" x14ac:dyDescent="0.3">
      <c r="C17" t="e">
        <f>solver_rhs2=SimpleLP!$J$10</f>
        <v>#NAME?</v>
      </c>
      <c r="D17" t="e">
        <f>solver_sho=0</f>
        <v>#NAME?</v>
      </c>
      <c r="E17" t="e">
        <f>solver_rhs2=#REF!</f>
        <v>#NAME?</v>
      </c>
      <c r="F17" t="e">
        <f>solver_rhs2=#REF!</f>
        <v>#NAME?</v>
      </c>
      <c r="G17" t="e">
        <f>solver_rhs2=#REF!</f>
        <v>#NAME?</v>
      </c>
      <c r="H17" t="e">
        <f>solver_rhs3=#REF!</f>
        <v>#NAME?</v>
      </c>
      <c r="I17" t="e">
        <f>solver_rhs3=#REF!</f>
        <v>#NAME?</v>
      </c>
      <c r="J17" t="e">
        <f>solver_rhs3=#REF!</f>
        <v>#NAME?</v>
      </c>
      <c r="K17" t="e">
        <f>solver_val=0</f>
        <v>#NAME?</v>
      </c>
      <c r="L17" t="e">
        <f>solver_val=0</f>
        <v>#NAME?</v>
      </c>
      <c r="N17" t="e">
        <f>solver_rhs2=#REF!</f>
        <v>#NAME?</v>
      </c>
      <c r="P17" t="e">
        <f>solver_rhs2=#REF!</f>
        <v>#NAME?</v>
      </c>
      <c r="Q17" t="e">
        <f>solver_rhs2=#REF!</f>
        <v>#NAME?</v>
      </c>
      <c r="R17" t="e">
        <f>solver_rhs3=#REF!</f>
        <v>#NAME?</v>
      </c>
      <c r="S17" t="e">
        <f>solver_rel3=1</f>
        <v>#NAME?</v>
      </c>
      <c r="T17" t="e">
        <f>solver_opt=#REF!</f>
        <v>#NAME?</v>
      </c>
      <c r="U17" t="e">
        <f>solver_opt=#REF!</f>
        <v>#NAME?</v>
      </c>
      <c r="W17" t="e">
        <f>solver_rhs2='EscapeSheetName(1)+2-1'!$J$10</f>
        <v>#NAME?</v>
      </c>
      <c r="X17" t="e">
        <f>solver_rhs1=#REF!</f>
        <v>#NAME?</v>
      </c>
      <c r="Y17" t="e">
        <f>solver_val=0</f>
        <v>#NAME?</v>
      </c>
      <c r="Z17" t="e">
        <f>solver_rhs3=#REF!</f>
        <v>#NAME?</v>
      </c>
      <c r="AA17" t="e">
        <f>solver_rhs2=#REF!</f>
        <v>#NAME?</v>
      </c>
      <c r="AB17" t="e">
        <f>solver_rhs2=#REF!</f>
        <v>#NAME?</v>
      </c>
      <c r="AD17" t="e">
        <f>solver_rel3=2</f>
        <v>#NAME?</v>
      </c>
      <c r="AE17" t="e">
        <f>solver_sho=0</f>
        <v>#NAME?</v>
      </c>
      <c r="AF17" t="e">
        <f>solver_sho=0</f>
        <v>#NAME?</v>
      </c>
      <c r="AG17" t="e">
        <f>solver_rhs2=#REF!</f>
        <v>#NAME?</v>
      </c>
      <c r="AH17" t="e">
        <f>solver_rel4=4</f>
        <v>#NAME?</v>
      </c>
      <c r="AI17" t="e">
        <f>solver_rel4=4</f>
        <v>#NAME?</v>
      </c>
      <c r="AJ17" t="e">
        <f>solver_sho=0</f>
        <v>#NAME?</v>
      </c>
      <c r="AK17" t="e">
        <f>solver_sho=0</f>
        <v>#NAME?</v>
      </c>
      <c r="AL17" t="e">
        <f>solver_sho=0</f>
        <v>#NAME?</v>
      </c>
      <c r="AM17" t="e">
        <f>solver_sho=0</f>
        <v>#NAME?</v>
      </c>
      <c r="AN17" t="e">
        <f>solver_sho=0</f>
        <v>#NAME?</v>
      </c>
      <c r="AO17" t="e">
        <f>solver_typ=2</f>
        <v>#NAME?</v>
      </c>
      <c r="AP17" t="e">
        <f>solver_sho=0</f>
        <v>#NAME?</v>
      </c>
      <c r="AQ17" t="e">
        <f>solver_sho=0</f>
        <v>#NAME?</v>
      </c>
      <c r="AR17" t="e">
        <f>solver_sho=0</f>
        <v>#NAME?</v>
      </c>
      <c r="AS17" t="e">
        <f>solver_rhs2=#REF!</f>
        <v>#NAME?</v>
      </c>
      <c r="AT17" t="e">
        <f>solver_rel1=1</f>
        <v>#NAME?</v>
      </c>
      <c r="AU17" t="e">
        <f>solver_rel4=1</f>
        <v>#NAME?</v>
      </c>
      <c r="AV17" t="e">
        <f>solver_rhs2=#REF!</f>
        <v>#NAME?</v>
      </c>
      <c r="AW17" t="e">
        <f>solver_rhs3=#REF!</f>
        <v>#NAME?</v>
      </c>
      <c r="AX17" t="e">
        <f>solver_rhs1=#REF!</f>
        <v>#NAME?</v>
      </c>
      <c r="AY17" t="e">
        <f>solver_rhs2=#REF!</f>
        <v>#NAME?</v>
      </c>
      <c r="AZ17" t="e">
        <f>solver_rel4=2</f>
        <v>#NAME?</v>
      </c>
      <c r="BA17" t="e">
        <f>solver_sho=0</f>
        <v>#NAME?</v>
      </c>
      <c r="BB17" t="e">
        <f>solver_rhs1=#REF!</f>
        <v>#NAME?</v>
      </c>
      <c r="BC17" t="e">
        <f>solver_rel2=3</f>
        <v>#NAME?</v>
      </c>
      <c r="BD17" t="e">
        <f>solver_rel2=2</f>
        <v>#NAME?</v>
      </c>
      <c r="BE17" t="e">
        <f>solver_rhs3=#REF!</f>
        <v>#NAME?</v>
      </c>
      <c r="BF17" t="e">
        <f>solver_lhs109=#REF!</f>
        <v>#NAME?</v>
      </c>
      <c r="BG17" t="e">
        <f>solver_rhs3=#REF!</f>
        <v>#NAME?</v>
      </c>
      <c r="BH17" t="e">
        <f>solver_rhs2=#REF!</f>
        <v>#NAME?</v>
      </c>
      <c r="BI17" t="e">
        <f>solver_tim=999999999</f>
        <v>#NAME?</v>
      </c>
      <c r="BJ17" t="e">
        <f>solver_val=0</f>
        <v>#NAME?</v>
      </c>
      <c r="BK17" t="e">
        <f>solver_tim=999999999</f>
        <v>#NAME?</v>
      </c>
      <c r="BL17" t="e">
        <f>solver_rel4=1</f>
        <v>#NAME?</v>
      </c>
      <c r="BM17" t="e">
        <f>solver_val=0</f>
        <v>#NAME?</v>
      </c>
      <c r="BN17" t="e">
        <f>solver_tim=999999999</f>
        <v>#NAME?</v>
      </c>
      <c r="BQ17" t="e">
        <f>solver_rhs1=0</f>
        <v>#NAME?</v>
      </c>
    </row>
    <row r="18" spans="3:69" x14ac:dyDescent="0.3">
      <c r="C18" t="e">
        <f>solver_rhs3=SimpleLP!$J$11</f>
        <v>#NAME?</v>
      </c>
      <c r="D18" t="e">
        <f>solver_tim=999999999</f>
        <v>#NAME?</v>
      </c>
      <c r="E18" t="e">
        <f>solver_rhs3=#REF!</f>
        <v>#NAME?</v>
      </c>
      <c r="F18" t="e">
        <f>solver_rhs3=#REF!</f>
        <v>#NAME?</v>
      </c>
      <c r="G18" t="e">
        <f>solver_rhs3=#REF!</f>
        <v>#NAME?</v>
      </c>
      <c r="H18" t="e">
        <f>solver_rlx=0</f>
        <v>#NAME?</v>
      </c>
      <c r="I18" t="e">
        <f>solver_rlx=0</f>
        <v>#NAME?</v>
      </c>
      <c r="J18" t="e">
        <f>solver_rlx=0</f>
        <v>#NAME?</v>
      </c>
      <c r="N18" t="e">
        <f>solver_rhs3=#REF!</f>
        <v>#NAME?</v>
      </c>
      <c r="P18" t="e">
        <f>solver_rhs3=#REF!</f>
        <v>#NAME?</v>
      </c>
      <c r="Q18" t="e">
        <f>solver_rhs3=#REF!</f>
        <v>#NAME?</v>
      </c>
      <c r="R18" t="e">
        <f>solver_rlx=0</f>
        <v>#NAME?</v>
      </c>
      <c r="S18" t="e">
        <f>solver_rel4=5</f>
        <v>#NAME?</v>
      </c>
      <c r="T18" t="e">
        <f>solver_rel1=1</f>
        <v>#NAME?</v>
      </c>
      <c r="U18" t="e">
        <f>solver_rel1=1</f>
        <v>#NAME?</v>
      </c>
      <c r="W18" t="e">
        <f>solver_rhs3='EscapeSheetName(1)+2-1'!$J$11</f>
        <v>#NAME?</v>
      </c>
      <c r="X18" t="e">
        <f>solver_rhs2=#REF!</f>
        <v>#NAME?</v>
      </c>
      <c r="Z18" t="e">
        <f>solver_rlx=0</f>
        <v>#NAME?</v>
      </c>
      <c r="AA18" t="e">
        <f>solver_rhs3=#REF!</f>
        <v>#NAME?</v>
      </c>
      <c r="AB18" t="e">
        <f>solver_rhs3=#REF!</f>
        <v>#NAME?</v>
      </c>
      <c r="AD18" t="e">
        <f>solver_rel4=3</f>
        <v>#NAME?</v>
      </c>
      <c r="AE18" t="e">
        <f>solver_tim=999999999</f>
        <v>#NAME?</v>
      </c>
      <c r="AF18" t="e">
        <f>solver_tim=999999999</f>
        <v>#NAME?</v>
      </c>
      <c r="AG18" t="e">
        <f>solver_rhs3=binary</f>
        <v>#NAME?</v>
      </c>
      <c r="AH18" t="e">
        <f>solver_rhs1=#REF!</f>
        <v>#NAME?</v>
      </c>
      <c r="AI18" t="e">
        <f>solver_rhs1=#REF!</f>
        <v>#NAME?</v>
      </c>
      <c r="AJ18" t="e">
        <f>solver_tim=999999999</f>
        <v>#NAME?</v>
      </c>
      <c r="AK18" t="e">
        <f>solver_tim=999999999</f>
        <v>#NAME?</v>
      </c>
      <c r="AL18" t="e">
        <f>solver_tim=999999999</f>
        <v>#NAME?</v>
      </c>
      <c r="AM18" t="e">
        <f>solver_tim=999999999</f>
        <v>#NAME?</v>
      </c>
      <c r="AN18" t="e">
        <f>solver_tim=999999999</f>
        <v>#NAME?</v>
      </c>
      <c r="AO18" t="e">
        <f>solver_val=0</f>
        <v>#NAME?</v>
      </c>
      <c r="AP18" t="e">
        <f>solver_tim=999999999</f>
        <v>#NAME?</v>
      </c>
      <c r="AQ18" t="e">
        <f>solver_tim=999999999</f>
        <v>#NAME?</v>
      </c>
      <c r="AR18" t="e">
        <f>solver_tim=999999999</f>
        <v>#NAME?</v>
      </c>
      <c r="AS18" t="e">
        <f>solver_rhs3=#REF!</f>
        <v>#NAME?</v>
      </c>
      <c r="AT18" t="e">
        <f>solver_rel2=3</f>
        <v>#NAME?</v>
      </c>
      <c r="AU18" t="e">
        <f>solver_rhs1=#REF!</f>
        <v>#NAME?</v>
      </c>
      <c r="AV18" t="e">
        <f>solver_rhs3=#REF!</f>
        <v>#NAME?</v>
      </c>
      <c r="AW18" t="e">
        <f>solver_rlx=0</f>
        <v>#NAME?</v>
      </c>
      <c r="AX18" t="e">
        <f>solver_rhs2=#REF!</f>
        <v>#NAME?</v>
      </c>
      <c r="AY18" t="e">
        <f>solver_rhs3=#REF!</f>
        <v>#NAME?</v>
      </c>
      <c r="AZ18" t="e">
        <f>solver_rhs1=#REF!</f>
        <v>#NAME?</v>
      </c>
      <c r="BA18" t="e">
        <f>solver_tim=999999999</f>
        <v>#NAME?</v>
      </c>
      <c r="BB18" t="e">
        <f>solver_rhs2=#REF!</f>
        <v>#NAME?</v>
      </c>
      <c r="BC18" t="e">
        <f>solver_rel3=1</f>
        <v>#NAME?</v>
      </c>
      <c r="BD18" t="e">
        <f>solver_rel3=2</f>
        <v>#NAME?</v>
      </c>
      <c r="BE18" t="e">
        <f>solver_rlx=0</f>
        <v>#NAME?</v>
      </c>
      <c r="BF18" t="e">
        <f>solver_lhs11=#REF!</f>
        <v>#NAME?</v>
      </c>
      <c r="BG18" t="e">
        <f>solver_rlx=0</f>
        <v>#NAME?</v>
      </c>
      <c r="BH18" t="e">
        <f>solver_rhs3=#REF!</f>
        <v>#NAME?</v>
      </c>
      <c r="BI18" t="e">
        <f>solver_tol=0.05</f>
        <v>#NAME?</v>
      </c>
      <c r="BK18" t="e">
        <f>solver_tol=0.05</f>
        <v>#NAME?</v>
      </c>
      <c r="BL18" t="e">
        <f>solver_rel5=4</f>
        <v>#NAME?</v>
      </c>
      <c r="BN18" t="e">
        <f>solver_tol=0.05</f>
        <v>#NAME?</v>
      </c>
      <c r="BQ18" t="e">
        <f>solver_rhs2=90</f>
        <v>#NAME?</v>
      </c>
    </row>
    <row r="19" spans="3:69" x14ac:dyDescent="0.3">
      <c r="C19" t="e">
        <f>solver_rlx=0</f>
        <v>#NAME?</v>
      </c>
      <c r="D19" t="e">
        <f>solver_tol=0.05</f>
        <v>#NAME?</v>
      </c>
      <c r="E19" t="e">
        <f>solver_rlx=0</f>
        <v>#NAME?</v>
      </c>
      <c r="F19" t="e">
        <f>solver_rlx=0</f>
        <v>#NAME?</v>
      </c>
      <c r="G19" t="e">
        <f>solver_rlx=0</f>
        <v>#NAME?</v>
      </c>
      <c r="H19" t="e">
        <f>solver_sho=0</f>
        <v>#NAME?</v>
      </c>
      <c r="I19" t="e">
        <f>solver_sho=0</f>
        <v>#NAME?</v>
      </c>
      <c r="J19" t="e">
        <f>solver_sho=0</f>
        <v>#NAME?</v>
      </c>
      <c r="N19" t="e">
        <f>solver_rlx=0</f>
        <v>#NAME?</v>
      </c>
      <c r="P19" t="e">
        <f>solver_rlx=0</f>
        <v>#NAME?</v>
      </c>
      <c r="Q19" t="e">
        <f>solver_rlx=0</f>
        <v>#NAME?</v>
      </c>
      <c r="R19" t="e">
        <f>solver_sho=0</f>
        <v>#NAME?</v>
      </c>
      <c r="S19" t="e">
        <f>solver_rel5=4</f>
        <v>#NAME?</v>
      </c>
      <c r="T19" t="e">
        <f>solver_rel2=3</f>
        <v>#NAME?</v>
      </c>
      <c r="U19" t="e">
        <f>solver_rel2=1</f>
        <v>#NAME?</v>
      </c>
      <c r="W19" t="e">
        <f>solver_rlx=0</f>
        <v>#NAME?</v>
      </c>
      <c r="X19" t="e">
        <f>solver_rhs3=#REF!</f>
        <v>#NAME?</v>
      </c>
      <c r="Z19" t="e">
        <f>solver_sho=0</f>
        <v>#NAME?</v>
      </c>
      <c r="AA19" t="e">
        <f>solver_rlx=0</f>
        <v>#NAME?</v>
      </c>
      <c r="AB19" t="e">
        <f>solver_rlx=0</f>
        <v>#NAME?</v>
      </c>
      <c r="AD19" t="e">
        <f>solver_rel5=1</f>
        <v>#NAME?</v>
      </c>
      <c r="AE19" t="e">
        <f>solver_tol=0.05</f>
        <v>#NAME?</v>
      </c>
      <c r="AF19" t="e">
        <f>solver_tol=0.05</f>
        <v>#NAME?</v>
      </c>
      <c r="AG19" t="e">
        <f>solver_rlx=0</f>
        <v>#NAME?</v>
      </c>
      <c r="AH19" t="e">
        <f>solver_rhs2=#REF!</f>
        <v>#NAME?</v>
      </c>
      <c r="AI19" t="e">
        <f>solver_rhs2=#REF!</f>
        <v>#NAME?</v>
      </c>
      <c r="AJ19" t="e">
        <f>solver_tol=0.05</f>
        <v>#NAME?</v>
      </c>
      <c r="AK19" t="e">
        <f>solver_tol=0.05</f>
        <v>#NAME?</v>
      </c>
      <c r="AL19" t="e">
        <f>solver_tol=0.05</f>
        <v>#NAME?</v>
      </c>
      <c r="AM19" t="e">
        <f>solver_tol=0.05</f>
        <v>#NAME?</v>
      </c>
      <c r="AN19" t="e">
        <f>solver_tol=0.05</f>
        <v>#NAME?</v>
      </c>
      <c r="AP19" t="e">
        <f>solver_tol=0.05</f>
        <v>#NAME?</v>
      </c>
      <c r="AQ19" t="e">
        <f>solver_tol=0.05</f>
        <v>#NAME?</v>
      </c>
      <c r="AR19" t="e">
        <f>solver_tol=0.05</f>
        <v>#NAME?</v>
      </c>
      <c r="AS19" t="e">
        <f>solver_rlx=0</f>
        <v>#NAME?</v>
      </c>
      <c r="AT19" t="e">
        <f>solver_rel3=1</f>
        <v>#NAME?</v>
      </c>
      <c r="AU19" t="e">
        <f>solver_rhs2=#REF!</f>
        <v>#NAME?</v>
      </c>
      <c r="AV19" t="e">
        <f>solver_rlx=0</f>
        <v>#NAME?</v>
      </c>
      <c r="AW19" t="e">
        <f>solver_sho=0</f>
        <v>#NAME?</v>
      </c>
      <c r="AX19" t="e">
        <f>solver_rhs3=#REF!</f>
        <v>#NAME?</v>
      </c>
      <c r="AY19" t="e">
        <f>solver_rlx=0</f>
        <v>#NAME?</v>
      </c>
      <c r="AZ19" t="e">
        <f>solver_rhs2=#REF!</f>
        <v>#NAME?</v>
      </c>
      <c r="BA19" t="e">
        <f>solver_tol=0.05</f>
        <v>#NAME?</v>
      </c>
      <c r="BB19" t="e">
        <f>solver_rhs3=#REF!</f>
        <v>#NAME?</v>
      </c>
      <c r="BC19" t="e">
        <f>solver_rel4=2</f>
        <v>#NAME?</v>
      </c>
      <c r="BD19" t="e">
        <f>solver_rel4=3</f>
        <v>#NAME?</v>
      </c>
      <c r="BE19" t="e">
        <f>solver_sho=0</f>
        <v>#NAME?</v>
      </c>
      <c r="BF19" t="e">
        <f>solver_lhs110=#REF!</f>
        <v>#NAME?</v>
      </c>
      <c r="BG19" t="e">
        <f>solver_sho=0</f>
        <v>#NAME?</v>
      </c>
      <c r="BH19" t="e">
        <f>solver_rlx=0</f>
        <v>#NAME?</v>
      </c>
      <c r="BI19" t="e">
        <f>solver_typ=1</f>
        <v>#NAME?</v>
      </c>
      <c r="BK19" t="e">
        <f>solver_typ=2</f>
        <v>#NAME?</v>
      </c>
      <c r="BL19" t="e">
        <f>solver_rhs1=#REF!</f>
        <v>#NAME?</v>
      </c>
      <c r="BN19" t="e">
        <f>solver_typ=2</f>
        <v>#NAME?</v>
      </c>
      <c r="BQ19" t="e">
        <f>solver_rhs3=-180</f>
        <v>#NAME?</v>
      </c>
    </row>
    <row r="20" spans="3:69" x14ac:dyDescent="0.3">
      <c r="C20" t="e">
        <f>solver_sho=0</f>
        <v>#NAME?</v>
      </c>
      <c r="D20" t="e">
        <f>solver_typ=1</f>
        <v>#NAME?</v>
      </c>
      <c r="E20" t="e">
        <f>solver_sho=0</f>
        <v>#NAME?</v>
      </c>
      <c r="F20" t="e">
        <f>solver_sho=0</f>
        <v>#NAME?</v>
      </c>
      <c r="G20" t="e">
        <f>solver_sho=0</f>
        <v>#NAME?</v>
      </c>
      <c r="H20" t="e">
        <f>solver_tim=999999999</f>
        <v>#NAME?</v>
      </c>
      <c r="I20" t="e">
        <f>solver_tim=999999999</f>
        <v>#NAME?</v>
      </c>
      <c r="J20" t="e">
        <f>solver_tim=999999999</f>
        <v>#NAME?</v>
      </c>
      <c r="N20" t="e">
        <f>solver_sho=0</f>
        <v>#NAME?</v>
      </c>
      <c r="P20" t="e">
        <f>solver_sho=0</f>
        <v>#NAME?</v>
      </c>
      <c r="Q20" t="e">
        <f>solver_sho=0</f>
        <v>#NAME?</v>
      </c>
      <c r="R20" t="e">
        <f>solver_tim=999999999</f>
        <v>#NAME?</v>
      </c>
      <c r="S20" t="e">
        <f>solver_rhs1=#REF!</f>
        <v>#NAME?</v>
      </c>
      <c r="T20" t="e">
        <f>solver_rel3=1</f>
        <v>#NAME?</v>
      </c>
      <c r="U20" t="e">
        <f>solver_rel3=1</f>
        <v>#NAME?</v>
      </c>
      <c r="W20" t="e">
        <f>solver_sho=0</f>
        <v>#NAME?</v>
      </c>
      <c r="X20" t="e">
        <f>solver_rhs4=#REF!</f>
        <v>#NAME?</v>
      </c>
      <c r="Z20" t="e">
        <f>solver_tim=999999999</f>
        <v>#NAME?</v>
      </c>
      <c r="AA20" t="e">
        <f>solver_sho=0</f>
        <v>#NAME?</v>
      </c>
      <c r="AB20" t="e">
        <f>solver_sho=0</f>
        <v>#NAME?</v>
      </c>
      <c r="AD20" t="e">
        <f>solver_rhs1=#REF!</f>
        <v>#NAME?</v>
      </c>
      <c r="AE20" t="e">
        <f>solver_typ=2</f>
        <v>#NAME?</v>
      </c>
      <c r="AF20" t="e">
        <f>solver_typ=2</f>
        <v>#NAME?</v>
      </c>
      <c r="AG20" t="e">
        <f>solver_sho=0</f>
        <v>#NAME?</v>
      </c>
      <c r="AH20" t="e">
        <f>solver_rhs3=binary</f>
        <v>#NAME?</v>
      </c>
      <c r="AI20" t="e">
        <f>solver_rhs3=binary</f>
        <v>#NAME?</v>
      </c>
      <c r="AJ20" t="e">
        <f>solver_typ=2</f>
        <v>#NAME?</v>
      </c>
      <c r="AK20" t="e">
        <f>solver_typ=2</f>
        <v>#NAME?</v>
      </c>
      <c r="AL20" t="e">
        <f>solver_typ=2</f>
        <v>#NAME?</v>
      </c>
      <c r="AM20" t="e">
        <f>solver_typ=2</f>
        <v>#NAME?</v>
      </c>
      <c r="AN20" t="e">
        <f>solver_typ=2</f>
        <v>#NAME?</v>
      </c>
      <c r="AP20" t="e">
        <f>solver_typ=2</f>
        <v>#NAME?</v>
      </c>
      <c r="AQ20" t="e">
        <f>solver_typ=2</f>
        <v>#NAME?</v>
      </c>
      <c r="AR20" t="e">
        <f>solver_typ=2</f>
        <v>#NAME?</v>
      </c>
      <c r="AS20" t="e">
        <f>solver_sho=0</f>
        <v>#NAME?</v>
      </c>
      <c r="AT20" t="e">
        <f>solver_rel4=5</f>
        <v>#NAME?</v>
      </c>
      <c r="AU20" t="e">
        <f>solver_rhs3=#REF!</f>
        <v>#NAME?</v>
      </c>
      <c r="AV20" t="e">
        <f>solver_sho=0</f>
        <v>#NAME?</v>
      </c>
      <c r="AW20" t="e">
        <f>solver_tim=999999999</f>
        <v>#NAME?</v>
      </c>
      <c r="AX20" t="e">
        <f>solver_rlx=0</f>
        <v>#NAME?</v>
      </c>
      <c r="AY20" t="e">
        <f>solver_sho=0</f>
        <v>#NAME?</v>
      </c>
      <c r="AZ20" t="e">
        <f>solver_rhs3=#REF!</f>
        <v>#NAME?</v>
      </c>
      <c r="BA20" t="e">
        <f>solver_typ=2</f>
        <v>#NAME?</v>
      </c>
      <c r="BB20" t="e">
        <f>solver_rlx=0</f>
        <v>#NAME?</v>
      </c>
      <c r="BC20" t="e">
        <f>solver_rhs1=#REF!</f>
        <v>#NAME?</v>
      </c>
      <c r="BD20" t="e">
        <f>solver_rhs1=#REF!</f>
        <v>#NAME?</v>
      </c>
      <c r="BE20" t="e">
        <f>solver_tim=999999999</f>
        <v>#NAME?</v>
      </c>
      <c r="BF20" t="e">
        <f>solver_lhs111=#REF!</f>
        <v>#NAME?</v>
      </c>
      <c r="BG20" t="e">
        <f>solver_tim=999999999</f>
        <v>#NAME?</v>
      </c>
      <c r="BH20" t="e">
        <f>solver_sho=0</f>
        <v>#NAME?</v>
      </c>
      <c r="BI20" t="e">
        <f>solver_val=0</f>
        <v>#NAME?</v>
      </c>
      <c r="BK20" t="e">
        <f>solver_val=0</f>
        <v>#NAME?</v>
      </c>
      <c r="BL20" t="e">
        <f>solver_rhs2=#REF!</f>
        <v>#NAME?</v>
      </c>
      <c r="BN20" t="e">
        <f>solver_val=0</f>
        <v>#NAME?</v>
      </c>
      <c r="BQ20" t="e">
        <f>solver_rhs4=0</f>
        <v>#NAME?</v>
      </c>
    </row>
    <row r="21" spans="3:69" x14ac:dyDescent="0.3">
      <c r="C21" t="e">
        <f>solver_tim=999999999</f>
        <v>#NAME?</v>
      </c>
      <c r="D21" t="e">
        <f>solver_val=0</f>
        <v>#NAME?</v>
      </c>
      <c r="E21" t="e">
        <f>solver_tim=999999999</f>
        <v>#NAME?</v>
      </c>
      <c r="F21" t="e">
        <f>solver_tim=999999999</f>
        <v>#NAME?</v>
      </c>
      <c r="G21" t="e">
        <f>solver_tim=999999999</f>
        <v>#NAME?</v>
      </c>
      <c r="H21" t="e">
        <f>solver_tol=0.05</f>
        <v>#NAME?</v>
      </c>
      <c r="I21" t="e">
        <f>solver_tol=0.05</f>
        <v>#NAME?</v>
      </c>
      <c r="J21" t="e">
        <f>solver_tol=0.05</f>
        <v>#NAME?</v>
      </c>
      <c r="N21" t="e">
        <f>solver_tim=999999999</f>
        <v>#NAME?</v>
      </c>
      <c r="P21" t="e">
        <f>solver_tim=999999999</f>
        <v>#NAME?</v>
      </c>
      <c r="Q21" t="e">
        <f>solver_tim=999999999</f>
        <v>#NAME?</v>
      </c>
      <c r="R21" t="e">
        <f>solver_tol=0.05</f>
        <v>#NAME?</v>
      </c>
      <c r="S21" t="e">
        <f>solver_rhs2=#REF!</f>
        <v>#NAME?</v>
      </c>
      <c r="T21" t="e">
        <f>solver_rel4=5</f>
        <v>#NAME?</v>
      </c>
      <c r="U21" t="e">
        <f>solver_rel4=5</f>
        <v>#NAME?</v>
      </c>
      <c r="W21" t="e">
        <f>solver_tim=999999999</f>
        <v>#NAME?</v>
      </c>
      <c r="X21" t="e">
        <f>solver_rlx=0</f>
        <v>#NAME?</v>
      </c>
      <c r="Z21" t="e">
        <f>solver_tol=0.05</f>
        <v>#NAME?</v>
      </c>
      <c r="AA21" t="e">
        <f>solver_tim=999999999</f>
        <v>#NAME?</v>
      </c>
      <c r="AB21" t="e">
        <f>solver_tim=999999999</f>
        <v>#NAME?</v>
      </c>
      <c r="AD21" t="e">
        <f>solver_rhs2=#REF!</f>
        <v>#NAME?</v>
      </c>
      <c r="AE21" t="e">
        <f>solver_val=0</f>
        <v>#NAME?</v>
      </c>
      <c r="AF21" t="e">
        <f>solver_val=0</f>
        <v>#NAME?</v>
      </c>
      <c r="AG21" t="e">
        <f>solver_tim=999999999</f>
        <v>#NAME?</v>
      </c>
      <c r="AH21" t="e">
        <f>solver_rhs4=integer</f>
        <v>#NAME?</v>
      </c>
      <c r="AI21" t="e">
        <f>solver_rhs4=integer</f>
        <v>#NAME?</v>
      </c>
      <c r="AJ21" t="e">
        <f>solver_val=0</f>
        <v>#NAME?</v>
      </c>
      <c r="AK21" t="e">
        <f>solver_val=0</f>
        <v>#NAME?</v>
      </c>
      <c r="AL21" t="e">
        <f>solver_val=0</f>
        <v>#NAME?</v>
      </c>
      <c r="AM21" t="e">
        <f>solver_val=0</f>
        <v>#NAME?</v>
      </c>
      <c r="AN21" t="e">
        <f>solver_val=0</f>
        <v>#NAME?</v>
      </c>
      <c r="AP21" t="e">
        <f>solver_val=0</f>
        <v>#NAME?</v>
      </c>
      <c r="AQ21" t="e">
        <f>solver_val=0</f>
        <v>#NAME?</v>
      </c>
      <c r="AR21" t="e">
        <f>solver_val=0</f>
        <v>#NAME?</v>
      </c>
      <c r="AS21" t="e">
        <f>solver_tim=999999999</f>
        <v>#NAME?</v>
      </c>
      <c r="AT21" t="e">
        <f>solver_rel5=4</f>
        <v>#NAME?</v>
      </c>
      <c r="AU21" t="e">
        <f>solver_rhs4=2</f>
        <v>#NAME?</v>
      </c>
      <c r="AV21" t="e">
        <f>solver_tim=999999999</f>
        <v>#NAME?</v>
      </c>
      <c r="AW21" t="e">
        <f>solver_tol=0.05</f>
        <v>#NAME?</v>
      </c>
      <c r="AX21" t="e">
        <f>solver_sho=0</f>
        <v>#NAME?</v>
      </c>
      <c r="AY21" t="e">
        <f>solver_tim=999999999</f>
        <v>#NAME?</v>
      </c>
      <c r="AZ21" t="e">
        <f>solver_rhs4=#REF!</f>
        <v>#NAME?</v>
      </c>
      <c r="BA21" t="e">
        <f>solver_val=0</f>
        <v>#NAME?</v>
      </c>
      <c r="BB21" t="e">
        <f>solver_sho=0</f>
        <v>#NAME?</v>
      </c>
      <c r="BC21" t="e">
        <f>solver_rhs2=#REF!</f>
        <v>#NAME?</v>
      </c>
      <c r="BD21" t="e">
        <f>solver_rhs2=#REF!</f>
        <v>#NAME?</v>
      </c>
      <c r="BE21" t="e">
        <f>solver_tol=0.05</f>
        <v>#NAME?</v>
      </c>
      <c r="BF21" t="e">
        <f>solver_lhs112=#REF!</f>
        <v>#NAME?</v>
      </c>
      <c r="BG21" t="e">
        <f>solver_tol=0.05</f>
        <v>#NAME?</v>
      </c>
      <c r="BH21" t="e">
        <f>solver_tim=999999999</f>
        <v>#NAME?</v>
      </c>
      <c r="BL21" t="e">
        <f>solver_rhs3=#REF!</f>
        <v>#NAME?</v>
      </c>
      <c r="BQ21" t="e">
        <f>solver_rlx=0</f>
        <v>#NAME?</v>
      </c>
    </row>
    <row r="22" spans="3:69" x14ac:dyDescent="0.3">
      <c r="C22" t="e">
        <f>solver_tol=0.05</f>
        <v>#NAME?</v>
      </c>
      <c r="E22" t="e">
        <f>solver_tol=0.05</f>
        <v>#NAME?</v>
      </c>
      <c r="F22" t="e">
        <f>solver_tol=0.05</f>
        <v>#NAME?</v>
      </c>
      <c r="G22" t="e">
        <f>solver_tol=0.05</f>
        <v>#NAME?</v>
      </c>
      <c r="H22" t="e">
        <f>solver_typ=2</f>
        <v>#NAME?</v>
      </c>
      <c r="I22" t="e">
        <f>solver_typ=2</f>
        <v>#NAME?</v>
      </c>
      <c r="J22" t="e">
        <f>solver_typ=2</f>
        <v>#NAME?</v>
      </c>
      <c r="N22" t="e">
        <f>solver_tol=0.05</f>
        <v>#NAME?</v>
      </c>
      <c r="P22" t="e">
        <f>solver_tol=0.05</f>
        <v>#NAME?</v>
      </c>
      <c r="Q22" t="e">
        <f>solver_tol=0.05</f>
        <v>#NAME?</v>
      </c>
      <c r="R22" t="e">
        <f>solver_typ=2</f>
        <v>#NAME?</v>
      </c>
      <c r="S22" t="e">
        <f>solver_rhs3=#REF!</f>
        <v>#NAME?</v>
      </c>
      <c r="T22" t="e">
        <f>solver_rel5=4</f>
        <v>#NAME?</v>
      </c>
      <c r="U22" t="e">
        <f>solver_rel5=4</f>
        <v>#NAME?</v>
      </c>
      <c r="W22" t="e">
        <f>solver_tol=0.05</f>
        <v>#NAME?</v>
      </c>
      <c r="X22" t="e">
        <f>solver_sho=0</f>
        <v>#NAME?</v>
      </c>
      <c r="Z22" t="e">
        <f>solver_typ=2</f>
        <v>#NAME?</v>
      </c>
      <c r="AA22" t="e">
        <f>solver_tol=0.05</f>
        <v>#NAME?</v>
      </c>
      <c r="AB22" t="e">
        <f>solver_tol=0.05</f>
        <v>#NAME?</v>
      </c>
      <c r="AD22" t="e">
        <f>solver_rhs3=#REF!</f>
        <v>#NAME?</v>
      </c>
      <c r="AG22" t="e">
        <f>solver_tol=0.05</f>
        <v>#NAME?</v>
      </c>
      <c r="AH22" t="e">
        <f>solver_rlx=0</f>
        <v>#NAME?</v>
      </c>
      <c r="AI22" t="e">
        <f>solver_rlx=1</f>
        <v>#NAME?</v>
      </c>
      <c r="AS22" t="e">
        <f>solver_tol=0.05</f>
        <v>#NAME?</v>
      </c>
      <c r="AT22" t="e">
        <f>solver_rel6=1</f>
        <v>#NAME?</v>
      </c>
      <c r="AU22" t="e">
        <f>solver_rlx=0</f>
        <v>#NAME?</v>
      </c>
      <c r="AV22" t="e">
        <f>solver_tol=0.05</f>
        <v>#NAME?</v>
      </c>
      <c r="AW22" t="e">
        <f>solver_typ=2</f>
        <v>#NAME?</v>
      </c>
      <c r="AX22" t="e">
        <f>solver_tim=999999999</f>
        <v>#NAME?</v>
      </c>
      <c r="AY22" t="e">
        <f>solver_tol=0.05</f>
        <v>#NAME?</v>
      </c>
      <c r="AZ22" t="e">
        <f>solver_rlx=0</f>
        <v>#NAME?</v>
      </c>
      <c r="BB22" t="e">
        <f>solver_tim=999999999</f>
        <v>#NAME?</v>
      </c>
      <c r="BC22" t="e">
        <f>solver_rhs3=#REF!</f>
        <v>#NAME?</v>
      </c>
      <c r="BD22" t="e">
        <f>solver_rhs3=#REF!</f>
        <v>#NAME?</v>
      </c>
      <c r="BE22" t="e">
        <f>solver_typ=2</f>
        <v>#NAME?</v>
      </c>
      <c r="BF22" t="e">
        <f>solver_lhs113=#REF!</f>
        <v>#NAME?</v>
      </c>
      <c r="BG22" t="e">
        <f>solver_typ=2</f>
        <v>#NAME?</v>
      </c>
      <c r="BH22" t="e">
        <f>solver_tol=0.05</f>
        <v>#NAME?</v>
      </c>
      <c r="BL22" t="e">
        <f>solver_rhs4=#REF!</f>
        <v>#NAME?</v>
      </c>
      <c r="BQ22" t="e">
        <f>solver_sho=0</f>
        <v>#NAME?</v>
      </c>
    </row>
    <row r="23" spans="3:69" x14ac:dyDescent="0.3">
      <c r="C23" t="e">
        <f>solver_typ=2</f>
        <v>#NAME?</v>
      </c>
      <c r="E23" t="e">
        <f>solver_typ=2</f>
        <v>#NAME?</v>
      </c>
      <c r="F23" t="e">
        <f>solver_typ=2</f>
        <v>#NAME?</v>
      </c>
      <c r="G23" t="e">
        <f>solver_typ=2</f>
        <v>#NAME?</v>
      </c>
      <c r="H23" t="e">
        <f>solver_val=0</f>
        <v>#NAME?</v>
      </c>
      <c r="I23" t="e">
        <f>solver_val=0</f>
        <v>#NAME?</v>
      </c>
      <c r="J23" t="e">
        <f>solver_val=0</f>
        <v>#NAME?</v>
      </c>
      <c r="N23" t="e">
        <f>solver_typ=2</f>
        <v>#NAME?</v>
      </c>
      <c r="P23" t="e">
        <f>solver_typ=2</f>
        <v>#NAME?</v>
      </c>
      <c r="Q23" t="e">
        <f>solver_typ=2</f>
        <v>#NAME?</v>
      </c>
      <c r="R23" t="e">
        <f>solver_val=0</f>
        <v>#NAME?</v>
      </c>
      <c r="S23" t="e">
        <f>solver_rhs4=binary</f>
        <v>#NAME?</v>
      </c>
      <c r="T23" t="e">
        <f>solver_rel6=1</f>
        <v>#NAME?</v>
      </c>
      <c r="U23" t="e">
        <f>solver_rel6=1</f>
        <v>#NAME?</v>
      </c>
      <c r="W23" t="e">
        <f>solver_typ=2</f>
        <v>#NAME?</v>
      </c>
      <c r="X23" t="e">
        <f>solver_tim=999999999</f>
        <v>#NAME?</v>
      </c>
      <c r="Z23" t="e">
        <f>solver_val=0</f>
        <v>#NAME?</v>
      </c>
      <c r="AA23" t="e">
        <f>solver_typ=2</f>
        <v>#NAME?</v>
      </c>
      <c r="AB23" t="e">
        <f>solver_typ=2</f>
        <v>#NAME?</v>
      </c>
      <c r="AD23" t="e">
        <f>solver_rhs4=#REF!</f>
        <v>#NAME?</v>
      </c>
      <c r="AG23" t="e">
        <f>solver_typ=2</f>
        <v>#NAME?</v>
      </c>
      <c r="AH23" t="e">
        <f>solver_sho=0</f>
        <v>#NAME?</v>
      </c>
      <c r="AI23" t="e">
        <f>solver_sho=0</f>
        <v>#NAME?</v>
      </c>
      <c r="AS23" t="e">
        <f>solver_typ=2</f>
        <v>#NAME?</v>
      </c>
      <c r="AT23" t="e">
        <f>solver_rel7=3</f>
        <v>#NAME?</v>
      </c>
      <c r="AU23" t="e">
        <f>solver_sho=0</f>
        <v>#NAME?</v>
      </c>
      <c r="AV23" t="e">
        <f>solver_typ=2</f>
        <v>#NAME?</v>
      </c>
      <c r="AW23" t="e">
        <f>solver_val=0</f>
        <v>#NAME?</v>
      </c>
      <c r="AX23" t="e">
        <f>solver_tol=0.05</f>
        <v>#NAME?</v>
      </c>
      <c r="AY23" t="e">
        <f>solver_typ=2</f>
        <v>#NAME?</v>
      </c>
      <c r="AZ23" t="e">
        <f>solver_sho=0</f>
        <v>#NAME?</v>
      </c>
      <c r="BB23" t="e">
        <f>solver_tol=0.05</f>
        <v>#NAME?</v>
      </c>
      <c r="BC23" t="e">
        <f>solver_rhs4=#REF!</f>
        <v>#NAME?</v>
      </c>
      <c r="BD23" t="e">
        <f>solver_rhs4=0</f>
        <v>#NAME?</v>
      </c>
      <c r="BE23" t="e">
        <f>solver_val=0</f>
        <v>#NAME?</v>
      </c>
      <c r="BF23" t="e">
        <f>solver_lhs114=#REF!</f>
        <v>#NAME?</v>
      </c>
      <c r="BG23" t="e">
        <f>solver_val=0</f>
        <v>#NAME?</v>
      </c>
      <c r="BH23" t="e">
        <f>solver_typ=1</f>
        <v>#NAME?</v>
      </c>
      <c r="BL23" t="e">
        <f>solver_rhs5=integer</f>
        <v>#NAME?</v>
      </c>
      <c r="BQ23" t="e">
        <f>solver_tim=999999999</f>
        <v>#NAME?</v>
      </c>
    </row>
    <row r="24" spans="3:69" x14ac:dyDescent="0.3">
      <c r="C24" t="e">
        <f>solver_val=0</f>
        <v>#NAME?</v>
      </c>
      <c r="E24" t="e">
        <f>solver_val=0</f>
        <v>#NAME?</v>
      </c>
      <c r="F24" t="e">
        <f>solver_val=0</f>
        <v>#NAME?</v>
      </c>
      <c r="G24" t="e">
        <f>solver_val=0</f>
        <v>#NAME?</v>
      </c>
      <c r="N24" t="e">
        <f>solver_val=0</f>
        <v>#NAME?</v>
      </c>
      <c r="P24" t="e">
        <f>solver_val=0</f>
        <v>#NAME?</v>
      </c>
      <c r="Q24" t="e">
        <f>solver_val=0</f>
        <v>#NAME?</v>
      </c>
      <c r="S24" t="e">
        <f>solver_rhs5=integer</f>
        <v>#NAME?</v>
      </c>
      <c r="T24" t="e">
        <f>solver_rel7=3</f>
        <v>#NAME?</v>
      </c>
      <c r="U24" t="e">
        <f>solver_rel7=3</f>
        <v>#NAME?</v>
      </c>
      <c r="W24" t="e">
        <f>solver_val=0</f>
        <v>#NAME?</v>
      </c>
      <c r="X24" t="e">
        <f>solver_tol=0.05</f>
        <v>#NAME?</v>
      </c>
      <c r="AA24" t="e">
        <f>solver_val=0</f>
        <v>#NAME?</v>
      </c>
      <c r="AB24" t="e">
        <f>solver_val=0</f>
        <v>#NAME?</v>
      </c>
      <c r="AD24" t="e">
        <f>solver_rhs5=2</f>
        <v>#NAME?</v>
      </c>
      <c r="AG24" t="e">
        <f>solver_val=0</f>
        <v>#NAME?</v>
      </c>
      <c r="AH24" t="e">
        <f>solver_tim=999999999</f>
        <v>#NAME?</v>
      </c>
      <c r="AI24" t="e">
        <f>solver_tim=999999999</f>
        <v>#NAME?</v>
      </c>
      <c r="AS24" t="e">
        <f>solver_val=0</f>
        <v>#NAME?</v>
      </c>
      <c r="AT24" t="e">
        <f>solver_rhs1=#REF!</f>
        <v>#NAME?</v>
      </c>
      <c r="AU24" t="e">
        <f>solver_tim=999999999</f>
        <v>#NAME?</v>
      </c>
      <c r="AV24" t="e">
        <f>solver_val=0</f>
        <v>#NAME?</v>
      </c>
      <c r="AX24" t="e">
        <f>solver_typ=3</f>
        <v>#NAME?</v>
      </c>
      <c r="AY24" t="e">
        <f>solver_val=0</f>
        <v>#NAME?</v>
      </c>
      <c r="AZ24" t="e">
        <f>solver_tim=999999999</f>
        <v>#NAME?</v>
      </c>
      <c r="BB24" t="e">
        <f>solver_typ=2</f>
        <v>#NAME?</v>
      </c>
      <c r="BC24" t="e">
        <f>solver_rlx=0</f>
        <v>#NAME?</v>
      </c>
      <c r="BD24" t="e">
        <f>solver_rlx=0</f>
        <v>#NAME?</v>
      </c>
      <c r="BF24" t="e">
        <f>solver_lhs115=#REF!</f>
        <v>#NAME?</v>
      </c>
      <c r="BH24" t="e">
        <f>solver_val=0</f>
        <v>#NAME?</v>
      </c>
      <c r="BL24" t="e">
        <f>solver_rlx=0</f>
        <v>#NAME?</v>
      </c>
      <c r="BQ24" t="e">
        <f>solver_tol=0.05</f>
        <v>#NAME?</v>
      </c>
    </row>
    <row r="25" spans="3:69" x14ac:dyDescent="0.3">
      <c r="S25" t="e">
        <f>solver_rlx=0</f>
        <v>#NAME?</v>
      </c>
      <c r="T25" t="e">
        <f>solver_rel8=3</f>
        <v>#NAME?</v>
      </c>
      <c r="U25" t="e">
        <f>solver_rel8=3</f>
        <v>#NAME?</v>
      </c>
      <c r="X25" t="e">
        <f>solver_typ=2</f>
        <v>#NAME?</v>
      </c>
      <c r="AD25" t="e">
        <f>solver_rlx=0</f>
        <v>#NAME?</v>
      </c>
      <c r="AH25" t="e">
        <f>solver_tol=0.05</f>
        <v>#NAME?</v>
      </c>
      <c r="AI25" t="e">
        <f>solver_tol=0.05</f>
        <v>#NAME?</v>
      </c>
      <c r="AT25" t="e">
        <f>solver_rhs2=#REF!</f>
        <v>#NAME?</v>
      </c>
      <c r="AU25" t="e">
        <f>solver_tol=0.05</f>
        <v>#NAME?</v>
      </c>
      <c r="AX25" t="e">
        <f>solver_val=50</f>
        <v>#NAME?</v>
      </c>
      <c r="AZ25" t="e">
        <f>solver_tol=0.05</f>
        <v>#NAME?</v>
      </c>
      <c r="BB25" t="e">
        <f>solver_val=0</f>
        <v>#NAME?</v>
      </c>
      <c r="BC25" t="e">
        <f>solver_sho=0</f>
        <v>#NAME?</v>
      </c>
      <c r="BD25" t="e">
        <f>solver_sho=0</f>
        <v>#NAME?</v>
      </c>
      <c r="BF25" t="e">
        <f>solver_lhs116=#REF!</f>
        <v>#NAME?</v>
      </c>
      <c r="BL25" t="e">
        <f>solver_sho=0</f>
        <v>#NAME?</v>
      </c>
      <c r="BQ25" t="e">
        <f>solver_typ=2</f>
        <v>#NAME?</v>
      </c>
    </row>
    <row r="26" spans="3:69" x14ac:dyDescent="0.3">
      <c r="S26" t="e">
        <f>solver_sho=0</f>
        <v>#NAME?</v>
      </c>
      <c r="T26" t="e">
        <f>solver_rhs1=#REF!</f>
        <v>#NAME?</v>
      </c>
      <c r="U26" t="e">
        <f>solver_rel9=1</f>
        <v>#NAME?</v>
      </c>
      <c r="X26" t="e">
        <f>solver_val=0</f>
        <v>#NAME?</v>
      </c>
      <c r="AD26" t="e">
        <f>solver_sho=0</f>
        <v>#NAME?</v>
      </c>
      <c r="AH26" t="e">
        <f>solver_typ=2</f>
        <v>#NAME?</v>
      </c>
      <c r="AI26" t="e">
        <f>solver_typ=2</f>
        <v>#NAME?</v>
      </c>
      <c r="AT26" t="e">
        <f>solver_rhs3=#REF!</f>
        <v>#NAME?</v>
      </c>
      <c r="AU26" t="e">
        <f>solver_typ=2</f>
        <v>#NAME?</v>
      </c>
      <c r="AZ26" t="e">
        <f>solver_typ=2</f>
        <v>#NAME?</v>
      </c>
      <c r="BC26" t="e">
        <f>solver_tim=999999999</f>
        <v>#NAME?</v>
      </c>
      <c r="BD26" t="e">
        <f>solver_tim=999999999</f>
        <v>#NAME?</v>
      </c>
      <c r="BF26" t="e">
        <f>solver_lhs117=#REF!</f>
        <v>#NAME?</v>
      </c>
      <c r="BL26" t="e">
        <f>solver_tim=999999999</f>
        <v>#NAME?</v>
      </c>
      <c r="BQ26" t="e">
        <f>solver_val=0</f>
        <v>#NAME?</v>
      </c>
    </row>
    <row r="27" spans="3:69" x14ac:dyDescent="0.3">
      <c r="S27" t="e">
        <f>solver_tim=999999999</f>
        <v>#NAME?</v>
      </c>
      <c r="T27" t="e">
        <f>solver_rhs2=#REF!</f>
        <v>#NAME?</v>
      </c>
      <c r="U27" t="e">
        <f>solver_rhs1=#REF!</f>
        <v>#NAME?</v>
      </c>
      <c r="AD27" t="e">
        <f>solver_tim=999999999</f>
        <v>#NAME?</v>
      </c>
      <c r="AH27" t="e">
        <f>solver_val=0</f>
        <v>#NAME?</v>
      </c>
      <c r="AI27" t="e">
        <f>solver_val=0</f>
        <v>#NAME?</v>
      </c>
      <c r="AT27" t="e">
        <f>solver_rhs4=binary</f>
        <v>#NAME?</v>
      </c>
      <c r="AU27" t="e">
        <f>solver_val=0</f>
        <v>#NAME?</v>
      </c>
      <c r="AZ27" t="e">
        <f>solver_val=0</f>
        <v>#NAME?</v>
      </c>
      <c r="BC27" t="e">
        <f>solver_tol=0.05</f>
        <v>#NAME?</v>
      </c>
      <c r="BD27" t="e">
        <f>solver_tol=0.05</f>
        <v>#NAME?</v>
      </c>
      <c r="BF27" t="e">
        <f>solver_lhs118=#REF!</f>
        <v>#NAME?</v>
      </c>
      <c r="BL27" t="e">
        <f>solver_tol=0.01</f>
        <v>#NAME?</v>
      </c>
    </row>
    <row r="28" spans="3:69" x14ac:dyDescent="0.3">
      <c r="S28" t="e">
        <f>solver_tol=0.05</f>
        <v>#NAME?</v>
      </c>
      <c r="T28" t="e">
        <f>solver_rhs3=#REF!</f>
        <v>#NAME?</v>
      </c>
      <c r="U28" t="e">
        <f>solver_rhs2=#REF!</f>
        <v>#NAME?</v>
      </c>
      <c r="AD28" t="e">
        <f>solver_tol=0.05</f>
        <v>#NAME?</v>
      </c>
      <c r="AT28" t="e">
        <f>solver_rhs5=integer</f>
        <v>#NAME?</v>
      </c>
      <c r="BC28" t="e">
        <f>solver_typ=1</f>
        <v>#NAME?</v>
      </c>
      <c r="BD28" t="e">
        <f>solver_typ=2</f>
        <v>#NAME?</v>
      </c>
      <c r="BF28" t="e">
        <f>solver_lhs119=#REF!</f>
        <v>#NAME?</v>
      </c>
      <c r="BL28" t="e">
        <f>solver_typ=2</f>
        <v>#NAME?</v>
      </c>
    </row>
    <row r="29" spans="3:69" x14ac:dyDescent="0.3">
      <c r="S29" t="e">
        <f>solver_typ=2</f>
        <v>#NAME?</v>
      </c>
      <c r="T29" t="e">
        <f>solver_rhs4=binary</f>
        <v>#NAME?</v>
      </c>
      <c r="U29" t="e">
        <f>solver_rhs3=#REF!</f>
        <v>#NAME?</v>
      </c>
      <c r="AD29" t="e">
        <f>solver_typ=2</f>
        <v>#NAME?</v>
      </c>
      <c r="AT29" t="e">
        <f>solver_rhs6=#REF!</f>
        <v>#NAME?</v>
      </c>
      <c r="BC29" t="e">
        <f>solver_val=0</f>
        <v>#NAME?</v>
      </c>
      <c r="BD29" t="e">
        <f>solver_val=0</f>
        <v>#NAME?</v>
      </c>
      <c r="BF29" t="e">
        <f>solver_lhs12=#REF!</f>
        <v>#NAME?</v>
      </c>
      <c r="BL29" t="e">
        <f>solver_val=0</f>
        <v>#NAME?</v>
      </c>
    </row>
    <row r="30" spans="3:69" x14ac:dyDescent="0.3">
      <c r="S30" t="e">
        <f>solver_val=0</f>
        <v>#NAME?</v>
      </c>
      <c r="T30" t="e">
        <f>solver_rhs5=integer</f>
        <v>#NAME?</v>
      </c>
      <c r="U30" t="e">
        <f>solver_rhs4=binary</f>
        <v>#NAME?</v>
      </c>
      <c r="AD30" t="e">
        <f>solver_val=0</f>
        <v>#NAME?</v>
      </c>
      <c r="AT30" t="e">
        <f>solver_rhs7=#REF!</f>
        <v>#NAME?</v>
      </c>
      <c r="BF30" t="e">
        <f>solver_lhs120=#REF!</f>
        <v>#NAME?</v>
      </c>
    </row>
    <row r="31" spans="3:69" x14ac:dyDescent="0.3">
      <c r="T31" t="e">
        <f>solver_rhs6=#REF!</f>
        <v>#NAME?</v>
      </c>
      <c r="U31" t="e">
        <f>solver_rhs5=integer</f>
        <v>#NAME?</v>
      </c>
      <c r="AT31" t="e">
        <f>solver_rlx=0</f>
        <v>#NAME?</v>
      </c>
      <c r="BF31" t="e">
        <f>solver_lhs121=#REF!</f>
        <v>#NAME?</v>
      </c>
    </row>
    <row r="32" spans="3:69" x14ac:dyDescent="0.3">
      <c r="T32" t="e">
        <f>solver_rhs7=#REF!</f>
        <v>#NAME?</v>
      </c>
      <c r="U32" t="e">
        <f>solver_rhs6=#REF!</f>
        <v>#NAME?</v>
      </c>
      <c r="AT32" t="e">
        <f>solver_sho=0</f>
        <v>#NAME?</v>
      </c>
      <c r="BF32" t="e">
        <f>solver_lhs122=#REF!</f>
        <v>#NAME?</v>
      </c>
    </row>
    <row r="33" spans="20:58" x14ac:dyDescent="0.3">
      <c r="T33" t="e">
        <f>solver_rhs8=#REF!/4+#REF!</f>
        <v>#NAME?</v>
      </c>
      <c r="U33" t="e">
        <f>solver_rhs7=#REF!</f>
        <v>#NAME?</v>
      </c>
      <c r="AT33" t="e">
        <f>solver_tim=999999999</f>
        <v>#NAME?</v>
      </c>
      <c r="BF33" t="e">
        <f>solver_lhs123=#REF!</f>
        <v>#NAME?</v>
      </c>
    </row>
    <row r="34" spans="20:58" x14ac:dyDescent="0.3">
      <c r="T34" t="e">
        <f>solver_rlx=0</f>
        <v>#NAME?</v>
      </c>
      <c r="U34" t="e">
        <f>solver_rhs8=#REF!/4+#REF!</f>
        <v>#NAME?</v>
      </c>
      <c r="AT34" t="e">
        <f>solver_tol=0.05</f>
        <v>#NAME?</v>
      </c>
      <c r="BF34" t="e">
        <f>solver_lhs124=#REF!</f>
        <v>#NAME?</v>
      </c>
    </row>
    <row r="35" spans="20:58" x14ac:dyDescent="0.3">
      <c r="T35" t="e">
        <f>solver_sho=0</f>
        <v>#NAME?</v>
      </c>
      <c r="U35" t="e">
        <f>solver_rhs9=5*#REF!-1</f>
        <v>#NAME?</v>
      </c>
      <c r="AT35" t="e">
        <f>solver_typ=2</f>
        <v>#NAME?</v>
      </c>
      <c r="BF35" t="e">
        <f>solver_lhs125=#REF!</f>
        <v>#NAME?</v>
      </c>
    </row>
    <row r="36" spans="20:58" x14ac:dyDescent="0.3">
      <c r="T36" t="e">
        <f>solver_tim=999999999</f>
        <v>#NAME?</v>
      </c>
      <c r="U36" t="e">
        <f>solver_rlx=0</f>
        <v>#NAME?</v>
      </c>
      <c r="AT36" t="e">
        <f>solver_val=0</f>
        <v>#NAME?</v>
      </c>
      <c r="BF36" t="e">
        <f>solver_lhs126=#REF!</f>
        <v>#NAME?</v>
      </c>
    </row>
    <row r="37" spans="20:58" x14ac:dyDescent="0.3">
      <c r="T37" t="e">
        <f>solver_tol=0.05</f>
        <v>#NAME?</v>
      </c>
      <c r="U37" t="e">
        <f>solver_sho=0</f>
        <v>#NAME?</v>
      </c>
      <c r="BF37" t="e">
        <f>solver_lhs127=#REF!</f>
        <v>#NAME?</v>
      </c>
    </row>
    <row r="38" spans="20:58" x14ac:dyDescent="0.3">
      <c r="T38" t="e">
        <f>solver_typ=2</f>
        <v>#NAME?</v>
      </c>
      <c r="U38" t="e">
        <f>solver_tim=999999999</f>
        <v>#NAME?</v>
      </c>
      <c r="BF38" t="e">
        <f>solver_lhs128=#REF!</f>
        <v>#NAME?</v>
      </c>
    </row>
    <row r="39" spans="20:58" x14ac:dyDescent="0.3">
      <c r="T39" t="e">
        <f>solver_val=0</f>
        <v>#NAME?</v>
      </c>
      <c r="U39" t="e">
        <f>solver_tol=0.05</f>
        <v>#NAME?</v>
      </c>
      <c r="BF39" t="e">
        <f>solver_lhs129=#REF!</f>
        <v>#NAME?</v>
      </c>
    </row>
    <row r="40" spans="20:58" x14ac:dyDescent="0.3">
      <c r="U40" t="e">
        <f>solver_typ=2</f>
        <v>#NAME?</v>
      </c>
      <c r="BF40" t="e">
        <f>solver_lhs13=#REF!</f>
        <v>#NAME?</v>
      </c>
    </row>
    <row r="41" spans="20:58" x14ac:dyDescent="0.3">
      <c r="U41" t="e">
        <f>solver_val=0</f>
        <v>#NAME?</v>
      </c>
      <c r="BF41" t="e">
        <f>solver_lhs130=#REF!</f>
        <v>#NAME?</v>
      </c>
    </row>
    <row r="42" spans="20:58" x14ac:dyDescent="0.3">
      <c r="BF42" t="e">
        <f>solver_lhs131=#REF!</f>
        <v>#NAME?</v>
      </c>
    </row>
    <row r="43" spans="20:58" x14ac:dyDescent="0.3">
      <c r="BF43" t="e">
        <f>solver_lhs132=#REF!</f>
        <v>#NAME?</v>
      </c>
    </row>
    <row r="44" spans="20:58" x14ac:dyDescent="0.3">
      <c r="BF44" t="e">
        <f>solver_lhs133=#REF!</f>
        <v>#NAME?</v>
      </c>
    </row>
    <row r="45" spans="20:58" x14ac:dyDescent="0.3">
      <c r="BF45" t="e">
        <f>solver_lhs134=#REF!</f>
        <v>#NAME?</v>
      </c>
    </row>
    <row r="46" spans="20:58" x14ac:dyDescent="0.3">
      <c r="BF46" t="e">
        <f>solver_lhs135=#REF!</f>
        <v>#NAME?</v>
      </c>
    </row>
    <row r="47" spans="20:58" x14ac:dyDescent="0.3">
      <c r="BF47" t="e">
        <f>solver_lhs136=#REF!</f>
        <v>#NAME?</v>
      </c>
    </row>
    <row r="48" spans="20:58" x14ac:dyDescent="0.3">
      <c r="BF48" t="e">
        <f>solver_lhs137=#REF!</f>
        <v>#NAME?</v>
      </c>
    </row>
    <row r="49" spans="58:58" x14ac:dyDescent="0.3">
      <c r="BF49" t="e">
        <f>solver_lhs138=#REF!</f>
        <v>#NAME?</v>
      </c>
    </row>
    <row r="50" spans="58:58" x14ac:dyDescent="0.3">
      <c r="BF50" t="e">
        <f>solver_lhs139=#REF!</f>
        <v>#NAME?</v>
      </c>
    </row>
    <row r="51" spans="58:58" x14ac:dyDescent="0.3">
      <c r="BF51" t="e">
        <f>solver_lhs14=#REF!</f>
        <v>#NAME?</v>
      </c>
    </row>
    <row r="52" spans="58:58" x14ac:dyDescent="0.3">
      <c r="BF52" t="e">
        <f>solver_lhs140=#REF!</f>
        <v>#NAME?</v>
      </c>
    </row>
    <row r="53" spans="58:58" x14ac:dyDescent="0.3">
      <c r="BF53" t="e">
        <f>solver_lhs141=#REF!</f>
        <v>#NAME?</v>
      </c>
    </row>
    <row r="54" spans="58:58" x14ac:dyDescent="0.3">
      <c r="BF54" t="e">
        <f>solver_lhs142=#REF!</f>
        <v>#NAME?</v>
      </c>
    </row>
    <row r="55" spans="58:58" x14ac:dyDescent="0.3">
      <c r="BF55" t="e">
        <f>solver_lhs143=#REF!</f>
        <v>#NAME?</v>
      </c>
    </row>
    <row r="56" spans="58:58" x14ac:dyDescent="0.3">
      <c r="BF56" t="e">
        <f>solver_lhs144=#REF!</f>
        <v>#NAME?</v>
      </c>
    </row>
    <row r="57" spans="58:58" x14ac:dyDescent="0.3">
      <c r="BF57" t="e">
        <f>solver_lhs145=#REF!</f>
        <v>#NAME?</v>
      </c>
    </row>
    <row r="58" spans="58:58" x14ac:dyDescent="0.3">
      <c r="BF58" t="e">
        <f>solver_lhs146=#REF!</f>
        <v>#NAME?</v>
      </c>
    </row>
    <row r="59" spans="58:58" x14ac:dyDescent="0.3">
      <c r="BF59" t="e">
        <f>solver_lhs147=#REF!</f>
        <v>#NAME?</v>
      </c>
    </row>
    <row r="60" spans="58:58" x14ac:dyDescent="0.3">
      <c r="BF60" t="e">
        <f>solver_lhs148=#REF!</f>
        <v>#NAME?</v>
      </c>
    </row>
    <row r="61" spans="58:58" x14ac:dyDescent="0.3">
      <c r="BF61" t="e">
        <f>solver_lhs149=#REF!</f>
        <v>#NAME?</v>
      </c>
    </row>
    <row r="62" spans="58:58" x14ac:dyDescent="0.3">
      <c r="BF62" t="e">
        <f>solver_lhs15=#REF!</f>
        <v>#NAME?</v>
      </c>
    </row>
    <row r="63" spans="58:58" x14ac:dyDescent="0.3">
      <c r="BF63" t="e">
        <f>solver_lhs150=#REF!</f>
        <v>#NAME?</v>
      </c>
    </row>
    <row r="64" spans="58:58" x14ac:dyDescent="0.3">
      <c r="BF64" t="e">
        <f>solver_lhs151=#REF!</f>
        <v>#NAME?</v>
      </c>
    </row>
    <row r="65" spans="58:58" x14ac:dyDescent="0.3">
      <c r="BF65" t="e">
        <f>solver_lhs152=#REF!</f>
        <v>#NAME?</v>
      </c>
    </row>
    <row r="66" spans="58:58" x14ac:dyDescent="0.3">
      <c r="BF66" t="e">
        <f>solver_lhs153=#REF!</f>
        <v>#NAME?</v>
      </c>
    </row>
    <row r="67" spans="58:58" x14ac:dyDescent="0.3">
      <c r="BF67" t="e">
        <f>solver_lhs154=#REF!</f>
        <v>#NAME?</v>
      </c>
    </row>
    <row r="68" spans="58:58" x14ac:dyDescent="0.3">
      <c r="BF68" t="e">
        <f>solver_lhs155=#REF!</f>
        <v>#NAME?</v>
      </c>
    </row>
    <row r="69" spans="58:58" x14ac:dyDescent="0.3">
      <c r="BF69" t="e">
        <f>solver_lhs156=#REF!</f>
        <v>#NAME?</v>
      </c>
    </row>
    <row r="70" spans="58:58" x14ac:dyDescent="0.3">
      <c r="BF70" t="e">
        <f>solver_lhs157=#REF!</f>
        <v>#NAME?</v>
      </c>
    </row>
    <row r="71" spans="58:58" x14ac:dyDescent="0.3">
      <c r="BF71" t="e">
        <f>solver_lhs158=#REF!</f>
        <v>#NAME?</v>
      </c>
    </row>
    <row r="72" spans="58:58" x14ac:dyDescent="0.3">
      <c r="BF72" t="e">
        <f>solver_lhs159=#REF!</f>
        <v>#NAME?</v>
      </c>
    </row>
    <row r="73" spans="58:58" x14ac:dyDescent="0.3">
      <c r="BF73" t="e">
        <f>solver_lhs16=#REF!</f>
        <v>#NAME?</v>
      </c>
    </row>
    <row r="74" spans="58:58" x14ac:dyDescent="0.3">
      <c r="BF74" t="e">
        <f>solver_lhs160=#REF!</f>
        <v>#NAME?</v>
      </c>
    </row>
    <row r="75" spans="58:58" x14ac:dyDescent="0.3">
      <c r="BF75" t="e">
        <f>solver_lhs161=#REF!</f>
        <v>#NAME?</v>
      </c>
    </row>
    <row r="76" spans="58:58" x14ac:dyDescent="0.3">
      <c r="BF76" t="e">
        <f>solver_lhs162=#REF!</f>
        <v>#NAME?</v>
      </c>
    </row>
    <row r="77" spans="58:58" x14ac:dyDescent="0.3">
      <c r="BF77" t="e">
        <f>solver_lhs163=#REF!</f>
        <v>#NAME?</v>
      </c>
    </row>
    <row r="78" spans="58:58" x14ac:dyDescent="0.3">
      <c r="BF78" t="e">
        <f>solver_lhs164=#REF!</f>
        <v>#NAME?</v>
      </c>
    </row>
    <row r="79" spans="58:58" x14ac:dyDescent="0.3">
      <c r="BF79" t="e">
        <f>solver_lhs165=#REF!</f>
        <v>#NAME?</v>
      </c>
    </row>
    <row r="80" spans="58:58" x14ac:dyDescent="0.3">
      <c r="BF80" t="e">
        <f>solver_lhs166=#REF!</f>
        <v>#NAME?</v>
      </c>
    </row>
    <row r="81" spans="58:58" x14ac:dyDescent="0.3">
      <c r="BF81" t="e">
        <f>solver_lhs167=#REF!</f>
        <v>#NAME?</v>
      </c>
    </row>
    <row r="82" spans="58:58" x14ac:dyDescent="0.3">
      <c r="BF82" t="e">
        <f>solver_lhs168=#REF!</f>
        <v>#NAME?</v>
      </c>
    </row>
    <row r="83" spans="58:58" x14ac:dyDescent="0.3">
      <c r="BF83" t="e">
        <f>solver_lhs169=#REF!</f>
        <v>#NAME?</v>
      </c>
    </row>
    <row r="84" spans="58:58" x14ac:dyDescent="0.3">
      <c r="BF84" t="e">
        <f>solver_lhs17=#REF!</f>
        <v>#NAME?</v>
      </c>
    </row>
    <row r="85" spans="58:58" x14ac:dyDescent="0.3">
      <c r="BF85" t="e">
        <f>solver_lhs170=#REF!</f>
        <v>#NAME?</v>
      </c>
    </row>
    <row r="86" spans="58:58" x14ac:dyDescent="0.3">
      <c r="BF86" t="e">
        <f>solver_lhs171=#REF!</f>
        <v>#NAME?</v>
      </c>
    </row>
    <row r="87" spans="58:58" x14ac:dyDescent="0.3">
      <c r="BF87" t="e">
        <f>solver_lhs172=#REF!</f>
        <v>#NAME?</v>
      </c>
    </row>
    <row r="88" spans="58:58" x14ac:dyDescent="0.3">
      <c r="BF88" t="e">
        <f>solver_lhs173=#REF!</f>
        <v>#NAME?</v>
      </c>
    </row>
    <row r="89" spans="58:58" x14ac:dyDescent="0.3">
      <c r="BF89" t="e">
        <f>solver_lhs174=#REF!</f>
        <v>#NAME?</v>
      </c>
    </row>
    <row r="90" spans="58:58" x14ac:dyDescent="0.3">
      <c r="BF90" t="e">
        <f>solver_lhs175=#REF!</f>
        <v>#NAME?</v>
      </c>
    </row>
    <row r="91" spans="58:58" x14ac:dyDescent="0.3">
      <c r="BF91" t="e">
        <f>solver_lhs176=#REF!</f>
        <v>#NAME?</v>
      </c>
    </row>
    <row r="92" spans="58:58" x14ac:dyDescent="0.3">
      <c r="BF92" t="e">
        <f>solver_lhs177=#REF!</f>
        <v>#NAME?</v>
      </c>
    </row>
    <row r="93" spans="58:58" x14ac:dyDescent="0.3">
      <c r="BF93" t="e">
        <f>solver_lhs178=#REF!</f>
        <v>#NAME?</v>
      </c>
    </row>
    <row r="94" spans="58:58" x14ac:dyDescent="0.3">
      <c r="BF94" t="e">
        <f>solver_lhs179=#REF!</f>
        <v>#NAME?</v>
      </c>
    </row>
    <row r="95" spans="58:58" x14ac:dyDescent="0.3">
      <c r="BF95" t="e">
        <f>solver_lhs18=#REF!</f>
        <v>#NAME?</v>
      </c>
    </row>
    <row r="96" spans="58:58" x14ac:dyDescent="0.3">
      <c r="BF96" t="e">
        <f>solver_lhs180=#REF!</f>
        <v>#NAME?</v>
      </c>
    </row>
    <row r="97" spans="58:58" x14ac:dyDescent="0.3">
      <c r="BF97" t="e">
        <f>solver_lhs181=#REF!</f>
        <v>#NAME?</v>
      </c>
    </row>
    <row r="98" spans="58:58" x14ac:dyDescent="0.3">
      <c r="BF98" t="e">
        <f>solver_lhs182=#REF!</f>
        <v>#NAME?</v>
      </c>
    </row>
    <row r="99" spans="58:58" x14ac:dyDescent="0.3">
      <c r="BF99" t="e">
        <f>solver_lhs183=#REF!</f>
        <v>#NAME?</v>
      </c>
    </row>
    <row r="100" spans="58:58" x14ac:dyDescent="0.3">
      <c r="BF100" t="e">
        <f>solver_lhs184=#REF!</f>
        <v>#NAME?</v>
      </c>
    </row>
    <row r="101" spans="58:58" x14ac:dyDescent="0.3">
      <c r="BF101" t="e">
        <f>solver_lhs185=#REF!</f>
        <v>#NAME?</v>
      </c>
    </row>
    <row r="102" spans="58:58" x14ac:dyDescent="0.3">
      <c r="BF102" t="e">
        <f>solver_lhs186=#REF!</f>
        <v>#NAME?</v>
      </c>
    </row>
    <row r="103" spans="58:58" x14ac:dyDescent="0.3">
      <c r="BF103" t="e">
        <f>solver_lhs187=#REF!</f>
        <v>#NAME?</v>
      </c>
    </row>
    <row r="104" spans="58:58" x14ac:dyDescent="0.3">
      <c r="BF104" t="e">
        <f>solver_lhs188=#REF!</f>
        <v>#NAME?</v>
      </c>
    </row>
    <row r="105" spans="58:58" x14ac:dyDescent="0.3">
      <c r="BF105" t="e">
        <f>solver_lhs189=#REF!</f>
        <v>#NAME?</v>
      </c>
    </row>
    <row r="106" spans="58:58" x14ac:dyDescent="0.3">
      <c r="BF106" t="e">
        <f>solver_lhs19=#REF!</f>
        <v>#NAME?</v>
      </c>
    </row>
    <row r="107" spans="58:58" x14ac:dyDescent="0.3">
      <c r="BF107" t="e">
        <f>solver_lhs190=#REF!</f>
        <v>#NAME?</v>
      </c>
    </row>
    <row r="108" spans="58:58" x14ac:dyDescent="0.3">
      <c r="BF108" t="e">
        <f>solver_lhs191=#REF!</f>
        <v>#NAME?</v>
      </c>
    </row>
    <row r="109" spans="58:58" x14ac:dyDescent="0.3">
      <c r="BF109" t="e">
        <f>solver_lhs192=#REF!</f>
        <v>#NAME?</v>
      </c>
    </row>
    <row r="110" spans="58:58" x14ac:dyDescent="0.3">
      <c r="BF110" t="e">
        <f>solver_lhs193=#REF!</f>
        <v>#NAME?</v>
      </c>
    </row>
    <row r="111" spans="58:58" x14ac:dyDescent="0.3">
      <c r="BF111" t="e">
        <f>solver_lhs194=#REF!</f>
        <v>#NAME?</v>
      </c>
    </row>
    <row r="112" spans="58:58" x14ac:dyDescent="0.3">
      <c r="BF112" t="e">
        <f>solver_lhs195=#REF!</f>
        <v>#NAME?</v>
      </c>
    </row>
    <row r="113" spans="58:58" x14ac:dyDescent="0.3">
      <c r="BF113" t="e">
        <f>solver_lhs196=#REF!</f>
        <v>#NAME?</v>
      </c>
    </row>
    <row r="114" spans="58:58" x14ac:dyDescent="0.3">
      <c r="BF114" t="e">
        <f>solver_lhs197=#REF!</f>
        <v>#NAME?</v>
      </c>
    </row>
    <row r="115" spans="58:58" x14ac:dyDescent="0.3">
      <c r="BF115" t="e">
        <f>solver_lhs198=#REF!</f>
        <v>#NAME?</v>
      </c>
    </row>
    <row r="116" spans="58:58" x14ac:dyDescent="0.3">
      <c r="BF116" t="e">
        <f>solver_lhs199=#REF!</f>
        <v>#NAME?</v>
      </c>
    </row>
    <row r="117" spans="58:58" x14ac:dyDescent="0.3">
      <c r="BF117" t="e">
        <f>solver_lhs2=#REF!</f>
        <v>#NAME?</v>
      </c>
    </row>
    <row r="118" spans="58:58" x14ac:dyDescent="0.3">
      <c r="BF118" t="e">
        <f>solver_lhs20=#REF!</f>
        <v>#NAME?</v>
      </c>
    </row>
    <row r="119" spans="58:58" x14ac:dyDescent="0.3">
      <c r="BF119" t="e">
        <f>solver_lhs200=#REF!</f>
        <v>#NAME?</v>
      </c>
    </row>
    <row r="120" spans="58:58" x14ac:dyDescent="0.3">
      <c r="BF120" t="e">
        <f>solver_lhs201=#REF!</f>
        <v>#NAME?</v>
      </c>
    </row>
    <row r="121" spans="58:58" x14ac:dyDescent="0.3">
      <c r="BF121" t="e">
        <f>solver_lhs202=#REF!</f>
        <v>#NAME?</v>
      </c>
    </row>
    <row r="122" spans="58:58" x14ac:dyDescent="0.3">
      <c r="BF122" t="e">
        <f>solver_lhs203=#REF!</f>
        <v>#NAME?</v>
      </c>
    </row>
    <row r="123" spans="58:58" x14ac:dyDescent="0.3">
      <c r="BF123" t="e">
        <f>solver_lhs204=#REF!</f>
        <v>#NAME?</v>
      </c>
    </row>
    <row r="124" spans="58:58" x14ac:dyDescent="0.3">
      <c r="BF124" t="e">
        <f>solver_lhs205=#REF!</f>
        <v>#NAME?</v>
      </c>
    </row>
    <row r="125" spans="58:58" x14ac:dyDescent="0.3">
      <c r="BF125" t="e">
        <f>solver_lhs206=#REF!</f>
        <v>#NAME?</v>
      </c>
    </row>
    <row r="126" spans="58:58" x14ac:dyDescent="0.3">
      <c r="BF126" t="e">
        <f>solver_lhs207=#REF!</f>
        <v>#NAME?</v>
      </c>
    </row>
    <row r="127" spans="58:58" x14ac:dyDescent="0.3">
      <c r="BF127" t="e">
        <f>solver_lhs208=#REF!</f>
        <v>#NAME?</v>
      </c>
    </row>
    <row r="128" spans="58:58" x14ac:dyDescent="0.3">
      <c r="BF128" t="e">
        <f>solver_lhs209=#REF!</f>
        <v>#NAME?</v>
      </c>
    </row>
    <row r="129" spans="58:58" x14ac:dyDescent="0.3">
      <c r="BF129" t="e">
        <f>solver_lhs21=#REF!</f>
        <v>#NAME?</v>
      </c>
    </row>
    <row r="130" spans="58:58" x14ac:dyDescent="0.3">
      <c r="BF130" t="e">
        <f>solver_lhs210=#REF!</f>
        <v>#NAME?</v>
      </c>
    </row>
    <row r="131" spans="58:58" x14ac:dyDescent="0.3">
      <c r="BF131" t="e">
        <f>solver_lhs211=#REF!</f>
        <v>#NAME?</v>
      </c>
    </row>
    <row r="132" spans="58:58" x14ac:dyDescent="0.3">
      <c r="BF132" t="e">
        <f>solver_lhs212=#REF!</f>
        <v>#NAME?</v>
      </c>
    </row>
    <row r="133" spans="58:58" x14ac:dyDescent="0.3">
      <c r="BF133" t="e">
        <f>solver_lhs213=#REF!</f>
        <v>#NAME?</v>
      </c>
    </row>
    <row r="134" spans="58:58" x14ac:dyDescent="0.3">
      <c r="BF134" t="e">
        <f>solver_lhs214=#REF!</f>
        <v>#NAME?</v>
      </c>
    </row>
    <row r="135" spans="58:58" x14ac:dyDescent="0.3">
      <c r="BF135" t="e">
        <f>solver_lhs215=#REF!</f>
        <v>#NAME?</v>
      </c>
    </row>
    <row r="136" spans="58:58" x14ac:dyDescent="0.3">
      <c r="BF136" t="e">
        <f>solver_lhs216=#REF!</f>
        <v>#NAME?</v>
      </c>
    </row>
    <row r="137" spans="58:58" x14ac:dyDescent="0.3">
      <c r="BF137" t="e">
        <f>solver_lhs217=#REF!</f>
        <v>#NAME?</v>
      </c>
    </row>
    <row r="138" spans="58:58" x14ac:dyDescent="0.3">
      <c r="BF138" t="e">
        <f>solver_lhs218=#REF!</f>
        <v>#NAME?</v>
      </c>
    </row>
    <row r="139" spans="58:58" x14ac:dyDescent="0.3">
      <c r="BF139" t="e">
        <f>solver_lhs219=#REF!</f>
        <v>#NAME?</v>
      </c>
    </row>
    <row r="140" spans="58:58" x14ac:dyDescent="0.3">
      <c r="BF140" t="e">
        <f>solver_lhs22=#REF!</f>
        <v>#NAME?</v>
      </c>
    </row>
    <row r="141" spans="58:58" x14ac:dyDescent="0.3">
      <c r="BF141" t="e">
        <f>solver_lhs220=#REF!</f>
        <v>#NAME?</v>
      </c>
    </row>
    <row r="142" spans="58:58" x14ac:dyDescent="0.3">
      <c r="BF142" t="e">
        <f>solver_lhs221=#REF!</f>
        <v>#NAME?</v>
      </c>
    </row>
    <row r="143" spans="58:58" x14ac:dyDescent="0.3">
      <c r="BF143" t="e">
        <f>solver_lhs222=#REF!</f>
        <v>#NAME?</v>
      </c>
    </row>
    <row r="144" spans="58:58" x14ac:dyDescent="0.3">
      <c r="BF144" t="e">
        <f>solver_lhs223=#REF!</f>
        <v>#NAME?</v>
      </c>
    </row>
    <row r="145" spans="58:58" x14ac:dyDescent="0.3">
      <c r="BF145" t="e">
        <f>solver_lhs224=#REF!</f>
        <v>#NAME?</v>
      </c>
    </row>
    <row r="146" spans="58:58" x14ac:dyDescent="0.3">
      <c r="BF146" t="e">
        <f>solver_lhs225=#REF!</f>
        <v>#NAME?</v>
      </c>
    </row>
    <row r="147" spans="58:58" x14ac:dyDescent="0.3">
      <c r="BF147" t="e">
        <f>solver_lhs226=#REF!</f>
        <v>#NAME?</v>
      </c>
    </row>
    <row r="148" spans="58:58" x14ac:dyDescent="0.3">
      <c r="BF148" t="e">
        <f>solver_lhs227=#REF!</f>
        <v>#NAME?</v>
      </c>
    </row>
    <row r="149" spans="58:58" x14ac:dyDescent="0.3">
      <c r="BF149" t="e">
        <f>solver_lhs228=#REF!</f>
        <v>#NAME?</v>
      </c>
    </row>
    <row r="150" spans="58:58" x14ac:dyDescent="0.3">
      <c r="BF150" t="e">
        <f>solver_lhs229=#REF!</f>
        <v>#NAME?</v>
      </c>
    </row>
    <row r="151" spans="58:58" x14ac:dyDescent="0.3">
      <c r="BF151" t="e">
        <f>solver_lhs23=#REF!</f>
        <v>#NAME?</v>
      </c>
    </row>
    <row r="152" spans="58:58" x14ac:dyDescent="0.3">
      <c r="BF152" t="e">
        <f>solver_lhs230=#REF!</f>
        <v>#NAME?</v>
      </c>
    </row>
    <row r="153" spans="58:58" x14ac:dyDescent="0.3">
      <c r="BF153" t="e">
        <f>solver_lhs231=#REF!</f>
        <v>#NAME?</v>
      </c>
    </row>
    <row r="154" spans="58:58" x14ac:dyDescent="0.3">
      <c r="BF154" t="e">
        <f>solver_lhs232=#REF!</f>
        <v>#NAME?</v>
      </c>
    </row>
    <row r="155" spans="58:58" x14ac:dyDescent="0.3">
      <c r="BF155" t="e">
        <f>solver_lhs233=#REF!</f>
        <v>#NAME?</v>
      </c>
    </row>
    <row r="156" spans="58:58" x14ac:dyDescent="0.3">
      <c r="BF156" t="e">
        <f>solver_lhs234=#REF!</f>
        <v>#NAME?</v>
      </c>
    </row>
    <row r="157" spans="58:58" x14ac:dyDescent="0.3">
      <c r="BF157" t="e">
        <f>solver_lhs235=#REF!</f>
        <v>#NAME?</v>
      </c>
    </row>
    <row r="158" spans="58:58" x14ac:dyDescent="0.3">
      <c r="BF158" t="e">
        <f>solver_lhs236=#REF!</f>
        <v>#NAME?</v>
      </c>
    </row>
    <row r="159" spans="58:58" x14ac:dyDescent="0.3">
      <c r="BF159" t="e">
        <f>solver_lhs237=#REF!</f>
        <v>#NAME?</v>
      </c>
    </row>
    <row r="160" spans="58:58" x14ac:dyDescent="0.3">
      <c r="BF160" t="e">
        <f>solver_lhs238=#REF!</f>
        <v>#NAME?</v>
      </c>
    </row>
    <row r="161" spans="58:58" x14ac:dyDescent="0.3">
      <c r="BF161" t="e">
        <f>solver_lhs239=#REF!</f>
        <v>#NAME?</v>
      </c>
    </row>
    <row r="162" spans="58:58" x14ac:dyDescent="0.3">
      <c r="BF162" t="e">
        <f>solver_lhs24=#REF!</f>
        <v>#NAME?</v>
      </c>
    </row>
    <row r="163" spans="58:58" x14ac:dyDescent="0.3">
      <c r="BF163" t="e">
        <f>solver_lhs240=#REF!</f>
        <v>#NAME?</v>
      </c>
    </row>
    <row r="164" spans="58:58" x14ac:dyDescent="0.3">
      <c r="BF164" t="e">
        <f>solver_lhs241=#REF!</f>
        <v>#NAME?</v>
      </c>
    </row>
    <row r="165" spans="58:58" x14ac:dyDescent="0.3">
      <c r="BF165" t="e">
        <f>solver_lhs242=#REF!</f>
        <v>#NAME?</v>
      </c>
    </row>
    <row r="166" spans="58:58" x14ac:dyDescent="0.3">
      <c r="BF166" t="e">
        <f>solver_lhs243=#REF!</f>
        <v>#NAME?</v>
      </c>
    </row>
    <row r="167" spans="58:58" x14ac:dyDescent="0.3">
      <c r="BF167" t="e">
        <f>solver_lhs244=#REF!</f>
        <v>#NAME?</v>
      </c>
    </row>
    <row r="168" spans="58:58" x14ac:dyDescent="0.3">
      <c r="BF168" t="e">
        <f>solver_lhs245=#REF!</f>
        <v>#NAME?</v>
      </c>
    </row>
    <row r="169" spans="58:58" x14ac:dyDescent="0.3">
      <c r="BF169" t="e">
        <f>solver_lhs246=#REF!</f>
        <v>#NAME?</v>
      </c>
    </row>
    <row r="170" spans="58:58" x14ac:dyDescent="0.3">
      <c r="BF170" t="e">
        <f>solver_lhs247=#REF!</f>
        <v>#NAME?</v>
      </c>
    </row>
    <row r="171" spans="58:58" x14ac:dyDescent="0.3">
      <c r="BF171" t="e">
        <f>solver_lhs248=#REF!</f>
        <v>#NAME?</v>
      </c>
    </row>
    <row r="172" spans="58:58" x14ac:dyDescent="0.3">
      <c r="BF172" t="e">
        <f>solver_lhs249=#REF!</f>
        <v>#NAME?</v>
      </c>
    </row>
    <row r="173" spans="58:58" x14ac:dyDescent="0.3">
      <c r="BF173" t="e">
        <f>solver_lhs25=#REF!</f>
        <v>#NAME?</v>
      </c>
    </row>
    <row r="174" spans="58:58" x14ac:dyDescent="0.3">
      <c r="BF174" t="e">
        <f>solver_lhs250=#REF!</f>
        <v>#NAME?</v>
      </c>
    </row>
    <row r="175" spans="58:58" x14ac:dyDescent="0.3">
      <c r="BF175" t="e">
        <f>solver_lhs251=#REF!</f>
        <v>#NAME?</v>
      </c>
    </row>
    <row r="176" spans="58:58" x14ac:dyDescent="0.3">
      <c r="BF176" t="e">
        <f>solver_lhs252=#REF!</f>
        <v>#NAME?</v>
      </c>
    </row>
    <row r="177" spans="58:58" x14ac:dyDescent="0.3">
      <c r="BF177" t="e">
        <f>solver_lhs253=#REF!</f>
        <v>#NAME?</v>
      </c>
    </row>
    <row r="178" spans="58:58" x14ac:dyDescent="0.3">
      <c r="BF178" t="e">
        <f>solver_lhs254=#REF!</f>
        <v>#NAME?</v>
      </c>
    </row>
    <row r="179" spans="58:58" x14ac:dyDescent="0.3">
      <c r="BF179" t="e">
        <f>solver_lhs255=#REF!</f>
        <v>#NAME?</v>
      </c>
    </row>
    <row r="180" spans="58:58" x14ac:dyDescent="0.3">
      <c r="BF180" t="e">
        <f>solver_lhs256=#REF!</f>
        <v>#NAME?</v>
      </c>
    </row>
    <row r="181" spans="58:58" x14ac:dyDescent="0.3">
      <c r="BF181" t="e">
        <f>solver_lhs257=#REF!</f>
        <v>#NAME?</v>
      </c>
    </row>
    <row r="182" spans="58:58" x14ac:dyDescent="0.3">
      <c r="BF182" t="e">
        <f>solver_lhs258=#REF!</f>
        <v>#NAME?</v>
      </c>
    </row>
    <row r="183" spans="58:58" x14ac:dyDescent="0.3">
      <c r="BF183" t="e">
        <f>solver_lhs259=#REF!</f>
        <v>#NAME?</v>
      </c>
    </row>
    <row r="184" spans="58:58" x14ac:dyDescent="0.3">
      <c r="BF184" t="e">
        <f>solver_lhs26=#REF!</f>
        <v>#NAME?</v>
      </c>
    </row>
    <row r="185" spans="58:58" x14ac:dyDescent="0.3">
      <c r="BF185" t="e">
        <f>solver_lhs260=#REF!</f>
        <v>#NAME?</v>
      </c>
    </row>
    <row r="186" spans="58:58" x14ac:dyDescent="0.3">
      <c r="BF186" t="e">
        <f>solver_lhs261=#REF!</f>
        <v>#NAME?</v>
      </c>
    </row>
    <row r="187" spans="58:58" x14ac:dyDescent="0.3">
      <c r="BF187" t="e">
        <f>solver_lhs262=#REF!</f>
        <v>#NAME?</v>
      </c>
    </row>
    <row r="188" spans="58:58" x14ac:dyDescent="0.3">
      <c r="BF188" t="e">
        <f>solver_lhs263=#REF!</f>
        <v>#NAME?</v>
      </c>
    </row>
    <row r="189" spans="58:58" x14ac:dyDescent="0.3">
      <c r="BF189" t="e">
        <f>solver_lhs264=#REF!</f>
        <v>#NAME?</v>
      </c>
    </row>
    <row r="190" spans="58:58" x14ac:dyDescent="0.3">
      <c r="BF190" t="e">
        <f>solver_lhs265=#REF!</f>
        <v>#NAME?</v>
      </c>
    </row>
    <row r="191" spans="58:58" x14ac:dyDescent="0.3">
      <c r="BF191" t="e">
        <f>solver_lhs266=#REF!</f>
        <v>#NAME?</v>
      </c>
    </row>
    <row r="192" spans="58:58" x14ac:dyDescent="0.3">
      <c r="BF192" t="e">
        <f>solver_lhs267=#REF!</f>
        <v>#NAME?</v>
      </c>
    </row>
    <row r="193" spans="58:58" x14ac:dyDescent="0.3">
      <c r="BF193" t="e">
        <f>solver_lhs268=#REF!</f>
        <v>#NAME?</v>
      </c>
    </row>
    <row r="194" spans="58:58" x14ac:dyDescent="0.3">
      <c r="BF194" t="e">
        <f>solver_lhs269=#REF!</f>
        <v>#NAME?</v>
      </c>
    </row>
    <row r="195" spans="58:58" x14ac:dyDescent="0.3">
      <c r="BF195" t="e">
        <f>solver_lhs27=#REF!</f>
        <v>#NAME?</v>
      </c>
    </row>
    <row r="196" spans="58:58" x14ac:dyDescent="0.3">
      <c r="BF196" t="e">
        <f>solver_lhs270=#REF!</f>
        <v>#NAME?</v>
      </c>
    </row>
    <row r="197" spans="58:58" x14ac:dyDescent="0.3">
      <c r="BF197" t="e">
        <f>solver_lhs271=#REF!</f>
        <v>#NAME?</v>
      </c>
    </row>
    <row r="198" spans="58:58" x14ac:dyDescent="0.3">
      <c r="BF198" t="e">
        <f>solver_lhs272=#REF!</f>
        <v>#NAME?</v>
      </c>
    </row>
    <row r="199" spans="58:58" x14ac:dyDescent="0.3">
      <c r="BF199" t="e">
        <f>solver_lhs273=#REF!</f>
        <v>#NAME?</v>
      </c>
    </row>
    <row r="200" spans="58:58" x14ac:dyDescent="0.3">
      <c r="BF200" t="e">
        <f>solver_lhs274=#REF!</f>
        <v>#NAME?</v>
      </c>
    </row>
    <row r="201" spans="58:58" x14ac:dyDescent="0.3">
      <c r="BF201" t="e">
        <f>solver_lhs275=#REF!</f>
        <v>#NAME?</v>
      </c>
    </row>
    <row r="202" spans="58:58" x14ac:dyDescent="0.3">
      <c r="BF202" t="e">
        <f>solver_lhs276=#REF!</f>
        <v>#NAME?</v>
      </c>
    </row>
    <row r="203" spans="58:58" x14ac:dyDescent="0.3">
      <c r="BF203" t="e">
        <f>solver_lhs277=#REF!</f>
        <v>#NAME?</v>
      </c>
    </row>
    <row r="204" spans="58:58" x14ac:dyDescent="0.3">
      <c r="BF204" t="e">
        <f>solver_lhs278=#REF!</f>
        <v>#NAME?</v>
      </c>
    </row>
    <row r="205" spans="58:58" x14ac:dyDescent="0.3">
      <c r="BF205" t="e">
        <f>solver_lhs279=#REF!</f>
        <v>#NAME?</v>
      </c>
    </row>
    <row r="206" spans="58:58" x14ac:dyDescent="0.3">
      <c r="BF206" t="e">
        <f>solver_lhs28=#REF!</f>
        <v>#NAME?</v>
      </c>
    </row>
    <row r="207" spans="58:58" x14ac:dyDescent="0.3">
      <c r="BF207" t="e">
        <f>solver_lhs280=#REF!</f>
        <v>#NAME?</v>
      </c>
    </row>
    <row r="208" spans="58:58" x14ac:dyDescent="0.3">
      <c r="BF208" t="e">
        <f>solver_lhs281=#REF!</f>
        <v>#NAME?</v>
      </c>
    </row>
    <row r="209" spans="58:58" x14ac:dyDescent="0.3">
      <c r="BF209" t="e">
        <f>solver_lhs282=#REF!</f>
        <v>#NAME?</v>
      </c>
    </row>
    <row r="210" spans="58:58" x14ac:dyDescent="0.3">
      <c r="BF210" t="e">
        <f>solver_lhs283=#REF!</f>
        <v>#NAME?</v>
      </c>
    </row>
    <row r="211" spans="58:58" x14ac:dyDescent="0.3">
      <c r="BF211" t="e">
        <f>solver_lhs284=#REF!</f>
        <v>#NAME?</v>
      </c>
    </row>
    <row r="212" spans="58:58" x14ac:dyDescent="0.3">
      <c r="BF212" t="e">
        <f>solver_lhs285=#REF!</f>
        <v>#NAME?</v>
      </c>
    </row>
    <row r="213" spans="58:58" x14ac:dyDescent="0.3">
      <c r="BF213" t="e">
        <f>solver_lhs286=#REF!</f>
        <v>#NAME?</v>
      </c>
    </row>
    <row r="214" spans="58:58" x14ac:dyDescent="0.3">
      <c r="BF214" t="e">
        <f>solver_lhs287=#REF!</f>
        <v>#NAME?</v>
      </c>
    </row>
    <row r="215" spans="58:58" x14ac:dyDescent="0.3">
      <c r="BF215" t="e">
        <f>solver_lhs288=#REF!</f>
        <v>#NAME?</v>
      </c>
    </row>
    <row r="216" spans="58:58" x14ac:dyDescent="0.3">
      <c r="BF216" t="e">
        <f>solver_lhs289=#REF!</f>
        <v>#NAME?</v>
      </c>
    </row>
    <row r="217" spans="58:58" x14ac:dyDescent="0.3">
      <c r="BF217" t="e">
        <f>solver_lhs29=#REF!</f>
        <v>#NAME?</v>
      </c>
    </row>
    <row r="218" spans="58:58" x14ac:dyDescent="0.3">
      <c r="BF218" t="e">
        <f>solver_lhs290=#REF!</f>
        <v>#NAME?</v>
      </c>
    </row>
    <row r="219" spans="58:58" x14ac:dyDescent="0.3">
      <c r="BF219" t="e">
        <f>solver_lhs291=#REF!</f>
        <v>#NAME?</v>
      </c>
    </row>
    <row r="220" spans="58:58" x14ac:dyDescent="0.3">
      <c r="BF220" t="e">
        <f>solver_lhs292=#REF!</f>
        <v>#NAME?</v>
      </c>
    </row>
    <row r="221" spans="58:58" x14ac:dyDescent="0.3">
      <c r="BF221" t="e">
        <f>solver_lhs293=#REF!</f>
        <v>#NAME?</v>
      </c>
    </row>
    <row r="222" spans="58:58" x14ac:dyDescent="0.3">
      <c r="BF222" t="e">
        <f>solver_lhs294=#REF!</f>
        <v>#NAME?</v>
      </c>
    </row>
    <row r="223" spans="58:58" x14ac:dyDescent="0.3">
      <c r="BF223" t="e">
        <f>solver_lhs295=#REF!</f>
        <v>#NAME?</v>
      </c>
    </row>
    <row r="224" spans="58:58" x14ac:dyDescent="0.3">
      <c r="BF224" t="e">
        <f>solver_lhs296=#REF!</f>
        <v>#NAME?</v>
      </c>
    </row>
    <row r="225" spans="58:58" x14ac:dyDescent="0.3">
      <c r="BF225" t="e">
        <f>solver_lhs297=#REF!</f>
        <v>#NAME?</v>
      </c>
    </row>
    <row r="226" spans="58:58" x14ac:dyDescent="0.3">
      <c r="BF226" t="e">
        <f>solver_lhs298=#REF!</f>
        <v>#NAME?</v>
      </c>
    </row>
    <row r="227" spans="58:58" x14ac:dyDescent="0.3">
      <c r="BF227" t="e">
        <f>solver_lhs299=#REF!</f>
        <v>#NAME?</v>
      </c>
    </row>
    <row r="228" spans="58:58" x14ac:dyDescent="0.3">
      <c r="BF228" t="e">
        <f>solver_lhs3=#REF!</f>
        <v>#NAME?</v>
      </c>
    </row>
    <row r="229" spans="58:58" x14ac:dyDescent="0.3">
      <c r="BF229" t="e">
        <f>solver_lhs30=#REF!</f>
        <v>#NAME?</v>
      </c>
    </row>
    <row r="230" spans="58:58" x14ac:dyDescent="0.3">
      <c r="BF230" t="e">
        <f>solver_lhs300=#REF!</f>
        <v>#NAME?</v>
      </c>
    </row>
    <row r="231" spans="58:58" x14ac:dyDescent="0.3">
      <c r="BF231" t="e">
        <f>solver_lhs301=#REF!</f>
        <v>#NAME?</v>
      </c>
    </row>
    <row r="232" spans="58:58" x14ac:dyDescent="0.3">
      <c r="BF232" t="e">
        <f>solver_lhs302=#REF!</f>
        <v>#NAME?</v>
      </c>
    </row>
    <row r="233" spans="58:58" x14ac:dyDescent="0.3">
      <c r="BF233" t="e">
        <f>solver_lhs303=#REF!</f>
        <v>#NAME?</v>
      </c>
    </row>
    <row r="234" spans="58:58" x14ac:dyDescent="0.3">
      <c r="BF234" t="e">
        <f>solver_lhs304=#REF!</f>
        <v>#NAME?</v>
      </c>
    </row>
    <row r="235" spans="58:58" x14ac:dyDescent="0.3">
      <c r="BF235" t="e">
        <f>solver_lhs305=#REF!</f>
        <v>#NAME?</v>
      </c>
    </row>
    <row r="236" spans="58:58" x14ac:dyDescent="0.3">
      <c r="BF236" t="e">
        <f>solver_lhs306=#REF!</f>
        <v>#NAME?</v>
      </c>
    </row>
    <row r="237" spans="58:58" x14ac:dyDescent="0.3">
      <c r="BF237" t="e">
        <f>solver_lhs307=#REF!</f>
        <v>#NAME?</v>
      </c>
    </row>
    <row r="238" spans="58:58" x14ac:dyDescent="0.3">
      <c r="BF238" t="e">
        <f>solver_lhs308=#REF!</f>
        <v>#NAME?</v>
      </c>
    </row>
    <row r="239" spans="58:58" x14ac:dyDescent="0.3">
      <c r="BF239" t="e">
        <f>solver_lhs309=#REF!</f>
        <v>#NAME?</v>
      </c>
    </row>
    <row r="240" spans="58:58" x14ac:dyDescent="0.3">
      <c r="BF240" t="e">
        <f>solver_lhs31=#REF!</f>
        <v>#NAME?</v>
      </c>
    </row>
    <row r="241" spans="58:58" x14ac:dyDescent="0.3">
      <c r="BF241" t="e">
        <f>solver_lhs310=#REF!</f>
        <v>#NAME?</v>
      </c>
    </row>
    <row r="242" spans="58:58" x14ac:dyDescent="0.3">
      <c r="BF242" t="e">
        <f>solver_lhs311=#REF!</f>
        <v>#NAME?</v>
      </c>
    </row>
    <row r="243" spans="58:58" x14ac:dyDescent="0.3">
      <c r="BF243" t="e">
        <f>solver_lhs312=#REF!</f>
        <v>#NAME?</v>
      </c>
    </row>
    <row r="244" spans="58:58" x14ac:dyDescent="0.3">
      <c r="BF244" t="e">
        <f>solver_lhs313=#REF!</f>
        <v>#NAME?</v>
      </c>
    </row>
    <row r="245" spans="58:58" x14ac:dyDescent="0.3">
      <c r="BF245" t="e">
        <f>solver_lhs314=#REF!</f>
        <v>#NAME?</v>
      </c>
    </row>
    <row r="246" spans="58:58" x14ac:dyDescent="0.3">
      <c r="BF246" t="e">
        <f>solver_lhs315=#REF!</f>
        <v>#NAME?</v>
      </c>
    </row>
    <row r="247" spans="58:58" x14ac:dyDescent="0.3">
      <c r="BF247" t="e">
        <f>solver_lhs316=#REF!</f>
        <v>#NAME?</v>
      </c>
    </row>
    <row r="248" spans="58:58" x14ac:dyDescent="0.3">
      <c r="BF248" t="e">
        <f>solver_lhs317=#REF!</f>
        <v>#NAME?</v>
      </c>
    </row>
    <row r="249" spans="58:58" x14ac:dyDescent="0.3">
      <c r="BF249" t="e">
        <f>solver_lhs318=#REF!</f>
        <v>#NAME?</v>
      </c>
    </row>
    <row r="250" spans="58:58" x14ac:dyDescent="0.3">
      <c r="BF250" t="e">
        <f>solver_lhs319=#REF!</f>
        <v>#NAME?</v>
      </c>
    </row>
    <row r="251" spans="58:58" x14ac:dyDescent="0.3">
      <c r="BF251" t="e">
        <f>solver_lhs32=#REF!</f>
        <v>#NAME?</v>
      </c>
    </row>
    <row r="252" spans="58:58" x14ac:dyDescent="0.3">
      <c r="BF252" t="e">
        <f>solver_lhs320=#REF!</f>
        <v>#NAME?</v>
      </c>
    </row>
    <row r="253" spans="58:58" x14ac:dyDescent="0.3">
      <c r="BF253" t="e">
        <f>solver_lhs321=#REF!</f>
        <v>#NAME?</v>
      </c>
    </row>
    <row r="254" spans="58:58" x14ac:dyDescent="0.3">
      <c r="BF254" t="e">
        <f>solver_lhs322=#REF!</f>
        <v>#NAME?</v>
      </c>
    </row>
    <row r="255" spans="58:58" x14ac:dyDescent="0.3">
      <c r="BF255" t="e">
        <f>solver_lhs323=#REF!</f>
        <v>#NAME?</v>
      </c>
    </row>
    <row r="256" spans="58:58" x14ac:dyDescent="0.3">
      <c r="BF256" t="e">
        <f>solver_lhs324=#REF!</f>
        <v>#NAME?</v>
      </c>
    </row>
    <row r="257" spans="58:58" x14ac:dyDescent="0.3">
      <c r="BF257" t="e">
        <f>solver_lhs325=#REF!</f>
        <v>#NAME?</v>
      </c>
    </row>
    <row r="258" spans="58:58" x14ac:dyDescent="0.3">
      <c r="BF258" t="e">
        <f>solver_lhs326=#REF!</f>
        <v>#NAME?</v>
      </c>
    </row>
    <row r="259" spans="58:58" x14ac:dyDescent="0.3">
      <c r="BF259" t="e">
        <f>solver_lhs327=#REF!</f>
        <v>#NAME?</v>
      </c>
    </row>
    <row r="260" spans="58:58" x14ac:dyDescent="0.3">
      <c r="BF260" t="e">
        <f>solver_lhs328=#REF!</f>
        <v>#NAME?</v>
      </c>
    </row>
    <row r="261" spans="58:58" x14ac:dyDescent="0.3">
      <c r="BF261" t="e">
        <f>solver_lhs329=#REF!</f>
        <v>#NAME?</v>
      </c>
    </row>
    <row r="262" spans="58:58" x14ac:dyDescent="0.3">
      <c r="BF262" t="e">
        <f>solver_lhs33=#REF!</f>
        <v>#NAME?</v>
      </c>
    </row>
    <row r="263" spans="58:58" x14ac:dyDescent="0.3">
      <c r="BF263" t="e">
        <f>solver_lhs330=#REF!</f>
        <v>#NAME?</v>
      </c>
    </row>
    <row r="264" spans="58:58" x14ac:dyDescent="0.3">
      <c r="BF264" t="e">
        <f>solver_lhs331=#REF!</f>
        <v>#NAME?</v>
      </c>
    </row>
    <row r="265" spans="58:58" x14ac:dyDescent="0.3">
      <c r="BF265" t="e">
        <f>solver_lhs332=#REF!</f>
        <v>#NAME?</v>
      </c>
    </row>
    <row r="266" spans="58:58" x14ac:dyDescent="0.3">
      <c r="BF266" t="e">
        <f>solver_lhs333=#REF!</f>
        <v>#NAME?</v>
      </c>
    </row>
    <row r="267" spans="58:58" x14ac:dyDescent="0.3">
      <c r="BF267" t="e">
        <f>solver_lhs334=#REF!</f>
        <v>#NAME?</v>
      </c>
    </row>
    <row r="268" spans="58:58" x14ac:dyDescent="0.3">
      <c r="BF268" t="e">
        <f>solver_lhs335=#REF!</f>
        <v>#NAME?</v>
      </c>
    </row>
    <row r="269" spans="58:58" x14ac:dyDescent="0.3">
      <c r="BF269" t="e">
        <f>solver_lhs336=#REF!</f>
        <v>#NAME?</v>
      </c>
    </row>
    <row r="270" spans="58:58" x14ac:dyDescent="0.3">
      <c r="BF270" t="e">
        <f>solver_lhs337=#REF!</f>
        <v>#NAME?</v>
      </c>
    </row>
    <row r="271" spans="58:58" x14ac:dyDescent="0.3">
      <c r="BF271" t="e">
        <f>solver_lhs338=#REF!</f>
        <v>#NAME?</v>
      </c>
    </row>
    <row r="272" spans="58:58" x14ac:dyDescent="0.3">
      <c r="BF272" t="e">
        <f>solver_lhs339=#REF!</f>
        <v>#NAME?</v>
      </c>
    </row>
    <row r="273" spans="58:58" x14ac:dyDescent="0.3">
      <c r="BF273" t="e">
        <f>solver_lhs34=#REF!</f>
        <v>#NAME?</v>
      </c>
    </row>
    <row r="274" spans="58:58" x14ac:dyDescent="0.3">
      <c r="BF274" t="e">
        <f>solver_lhs340=#REF!</f>
        <v>#NAME?</v>
      </c>
    </row>
    <row r="275" spans="58:58" x14ac:dyDescent="0.3">
      <c r="BF275" t="e">
        <f>solver_lhs341=#REF!</f>
        <v>#NAME?</v>
      </c>
    </row>
    <row r="276" spans="58:58" x14ac:dyDescent="0.3">
      <c r="BF276" t="e">
        <f>solver_lhs342=#REF!</f>
        <v>#NAME?</v>
      </c>
    </row>
    <row r="277" spans="58:58" x14ac:dyDescent="0.3">
      <c r="BF277" t="e">
        <f>solver_lhs343=#REF!</f>
        <v>#NAME?</v>
      </c>
    </row>
    <row r="278" spans="58:58" x14ac:dyDescent="0.3">
      <c r="BF278" t="e">
        <f>solver_lhs344=#REF!</f>
        <v>#NAME?</v>
      </c>
    </row>
    <row r="279" spans="58:58" x14ac:dyDescent="0.3">
      <c r="BF279" t="e">
        <f>solver_lhs345=#REF!</f>
        <v>#NAME?</v>
      </c>
    </row>
    <row r="280" spans="58:58" x14ac:dyDescent="0.3">
      <c r="BF280" t="e">
        <f>solver_lhs346=#REF!</f>
        <v>#NAME?</v>
      </c>
    </row>
    <row r="281" spans="58:58" x14ac:dyDescent="0.3">
      <c r="BF281" t="e">
        <f>solver_lhs347=#REF!</f>
        <v>#NAME?</v>
      </c>
    </row>
    <row r="282" spans="58:58" x14ac:dyDescent="0.3">
      <c r="BF282" t="e">
        <f>solver_lhs348=#REF!</f>
        <v>#NAME?</v>
      </c>
    </row>
    <row r="283" spans="58:58" x14ac:dyDescent="0.3">
      <c r="BF283" t="e">
        <f>solver_lhs349=#REF!</f>
        <v>#NAME?</v>
      </c>
    </row>
    <row r="284" spans="58:58" x14ac:dyDescent="0.3">
      <c r="BF284" t="e">
        <f>solver_lhs35=#REF!</f>
        <v>#NAME?</v>
      </c>
    </row>
    <row r="285" spans="58:58" x14ac:dyDescent="0.3">
      <c r="BF285" t="e">
        <f>solver_lhs350=#REF!</f>
        <v>#NAME?</v>
      </c>
    </row>
    <row r="286" spans="58:58" x14ac:dyDescent="0.3">
      <c r="BF286" t="e">
        <f>solver_lhs351=#REF!</f>
        <v>#NAME?</v>
      </c>
    </row>
    <row r="287" spans="58:58" x14ac:dyDescent="0.3">
      <c r="BF287" t="e">
        <f>solver_lhs352=#REF!</f>
        <v>#NAME?</v>
      </c>
    </row>
    <row r="288" spans="58:58" x14ac:dyDescent="0.3">
      <c r="BF288" t="e">
        <f>solver_lhs353=#REF!</f>
        <v>#NAME?</v>
      </c>
    </row>
    <row r="289" spans="58:58" x14ac:dyDescent="0.3">
      <c r="BF289" t="e">
        <f>solver_lhs354=#REF!</f>
        <v>#NAME?</v>
      </c>
    </row>
    <row r="290" spans="58:58" x14ac:dyDescent="0.3">
      <c r="BF290" t="e">
        <f>solver_lhs355=#REF!</f>
        <v>#NAME?</v>
      </c>
    </row>
    <row r="291" spans="58:58" x14ac:dyDescent="0.3">
      <c r="BF291" t="e">
        <f>solver_lhs356=#REF!</f>
        <v>#NAME?</v>
      </c>
    </row>
    <row r="292" spans="58:58" x14ac:dyDescent="0.3">
      <c r="BF292" t="e">
        <f>solver_lhs357=#REF!</f>
        <v>#NAME?</v>
      </c>
    </row>
    <row r="293" spans="58:58" x14ac:dyDescent="0.3">
      <c r="BF293" t="e">
        <f>solver_lhs358=#REF!</f>
        <v>#NAME?</v>
      </c>
    </row>
    <row r="294" spans="58:58" x14ac:dyDescent="0.3">
      <c r="BF294" t="e">
        <f>solver_lhs359=#REF!</f>
        <v>#NAME?</v>
      </c>
    </row>
    <row r="295" spans="58:58" x14ac:dyDescent="0.3">
      <c r="BF295" t="e">
        <f>solver_lhs36=#REF!</f>
        <v>#NAME?</v>
      </c>
    </row>
    <row r="296" spans="58:58" x14ac:dyDescent="0.3">
      <c r="BF296" t="e">
        <f>solver_lhs360=#REF!</f>
        <v>#NAME?</v>
      </c>
    </row>
    <row r="297" spans="58:58" x14ac:dyDescent="0.3">
      <c r="BF297" t="e">
        <f>solver_lhs361=#REF!</f>
        <v>#NAME?</v>
      </c>
    </row>
    <row r="298" spans="58:58" x14ac:dyDescent="0.3">
      <c r="BF298" t="e">
        <f>solver_lhs362=#REF!</f>
        <v>#NAME?</v>
      </c>
    </row>
    <row r="299" spans="58:58" x14ac:dyDescent="0.3">
      <c r="BF299" t="e">
        <f>solver_lhs363=#REF!</f>
        <v>#NAME?</v>
      </c>
    </row>
    <row r="300" spans="58:58" x14ac:dyDescent="0.3">
      <c r="BF300" t="e">
        <f>solver_lhs364=#REF!</f>
        <v>#NAME?</v>
      </c>
    </row>
    <row r="301" spans="58:58" x14ac:dyDescent="0.3">
      <c r="BF301" t="e">
        <f>solver_lhs365=#REF!</f>
        <v>#NAME?</v>
      </c>
    </row>
    <row r="302" spans="58:58" x14ac:dyDescent="0.3">
      <c r="BF302" t="e">
        <f>solver_lhs366=#REF!</f>
        <v>#NAME?</v>
      </c>
    </row>
    <row r="303" spans="58:58" x14ac:dyDescent="0.3">
      <c r="BF303" t="e">
        <f>solver_lhs367=#REF!</f>
        <v>#NAME?</v>
      </c>
    </row>
    <row r="304" spans="58:58" x14ac:dyDescent="0.3">
      <c r="BF304" t="e">
        <f>solver_lhs368=#REF!</f>
        <v>#NAME?</v>
      </c>
    </row>
    <row r="305" spans="58:58" x14ac:dyDescent="0.3">
      <c r="BF305" t="e">
        <f>solver_lhs369=#REF!</f>
        <v>#NAME?</v>
      </c>
    </row>
    <row r="306" spans="58:58" x14ac:dyDescent="0.3">
      <c r="BF306" t="e">
        <f>solver_lhs37=#REF!</f>
        <v>#NAME?</v>
      </c>
    </row>
    <row r="307" spans="58:58" x14ac:dyDescent="0.3">
      <c r="BF307" t="e">
        <f>solver_lhs370=#REF!</f>
        <v>#NAME?</v>
      </c>
    </row>
    <row r="308" spans="58:58" x14ac:dyDescent="0.3">
      <c r="BF308" t="e">
        <f>solver_lhs371=#REF!</f>
        <v>#NAME?</v>
      </c>
    </row>
    <row r="309" spans="58:58" x14ac:dyDescent="0.3">
      <c r="BF309" t="e">
        <f>solver_lhs372=#REF!</f>
        <v>#NAME?</v>
      </c>
    </row>
    <row r="310" spans="58:58" x14ac:dyDescent="0.3">
      <c r="BF310" t="e">
        <f>solver_lhs373=#REF!</f>
        <v>#NAME?</v>
      </c>
    </row>
    <row r="311" spans="58:58" x14ac:dyDescent="0.3">
      <c r="BF311" t="e">
        <f>solver_lhs374=#REF!</f>
        <v>#NAME?</v>
      </c>
    </row>
    <row r="312" spans="58:58" x14ac:dyDescent="0.3">
      <c r="BF312" t="e">
        <f>solver_lhs375=#REF!</f>
        <v>#NAME?</v>
      </c>
    </row>
    <row r="313" spans="58:58" x14ac:dyDescent="0.3">
      <c r="BF313" t="e">
        <f>solver_lhs376=#REF!</f>
        <v>#NAME?</v>
      </c>
    </row>
    <row r="314" spans="58:58" x14ac:dyDescent="0.3">
      <c r="BF314" t="e">
        <f>solver_lhs377=#REF!</f>
        <v>#NAME?</v>
      </c>
    </row>
    <row r="315" spans="58:58" x14ac:dyDescent="0.3">
      <c r="BF315" t="e">
        <f>solver_lhs378=#REF!</f>
        <v>#NAME?</v>
      </c>
    </row>
    <row r="316" spans="58:58" x14ac:dyDescent="0.3">
      <c r="BF316" t="e">
        <f>solver_lhs379=#REF!</f>
        <v>#NAME?</v>
      </c>
    </row>
    <row r="317" spans="58:58" x14ac:dyDescent="0.3">
      <c r="BF317" t="e">
        <f>solver_lhs38=#REF!</f>
        <v>#NAME?</v>
      </c>
    </row>
    <row r="318" spans="58:58" x14ac:dyDescent="0.3">
      <c r="BF318" t="e">
        <f>solver_lhs380=#REF!</f>
        <v>#NAME?</v>
      </c>
    </row>
    <row r="319" spans="58:58" x14ac:dyDescent="0.3">
      <c r="BF319" t="e">
        <f>solver_lhs381=#REF!</f>
        <v>#NAME?</v>
      </c>
    </row>
    <row r="320" spans="58:58" x14ac:dyDescent="0.3">
      <c r="BF320" t="e">
        <f>solver_lhs382=#REF!</f>
        <v>#NAME?</v>
      </c>
    </row>
    <row r="321" spans="58:58" x14ac:dyDescent="0.3">
      <c r="BF321" t="e">
        <f>solver_lhs383=#REF!</f>
        <v>#NAME?</v>
      </c>
    </row>
    <row r="322" spans="58:58" x14ac:dyDescent="0.3">
      <c r="BF322" t="e">
        <f>solver_lhs384=#REF!</f>
        <v>#NAME?</v>
      </c>
    </row>
    <row r="323" spans="58:58" x14ac:dyDescent="0.3">
      <c r="BF323" t="e">
        <f>solver_lhs385=#REF!</f>
        <v>#NAME?</v>
      </c>
    </row>
    <row r="324" spans="58:58" x14ac:dyDescent="0.3">
      <c r="BF324" t="e">
        <f>solver_lhs386=#REF!</f>
        <v>#NAME?</v>
      </c>
    </row>
    <row r="325" spans="58:58" x14ac:dyDescent="0.3">
      <c r="BF325" t="e">
        <f>solver_lhs387=#REF!</f>
        <v>#NAME?</v>
      </c>
    </row>
    <row r="326" spans="58:58" x14ac:dyDescent="0.3">
      <c r="BF326" t="e">
        <f>solver_lhs388=#REF!</f>
        <v>#NAME?</v>
      </c>
    </row>
    <row r="327" spans="58:58" x14ac:dyDescent="0.3">
      <c r="BF327" t="e">
        <f>solver_lhs389=#REF!</f>
        <v>#NAME?</v>
      </c>
    </row>
    <row r="328" spans="58:58" x14ac:dyDescent="0.3">
      <c r="BF328" t="e">
        <f>solver_lhs39=#REF!</f>
        <v>#NAME?</v>
      </c>
    </row>
    <row r="329" spans="58:58" x14ac:dyDescent="0.3">
      <c r="BF329" t="e">
        <f>solver_lhs390=#REF!</f>
        <v>#NAME?</v>
      </c>
    </row>
    <row r="330" spans="58:58" x14ac:dyDescent="0.3">
      <c r="BF330" t="e">
        <f>solver_lhs391=#REF!</f>
        <v>#NAME?</v>
      </c>
    </row>
    <row r="331" spans="58:58" x14ac:dyDescent="0.3">
      <c r="BF331" t="e">
        <f>solver_lhs392=#REF!</f>
        <v>#NAME?</v>
      </c>
    </row>
    <row r="332" spans="58:58" x14ac:dyDescent="0.3">
      <c r="BF332" t="e">
        <f>solver_lhs393=#REF!</f>
        <v>#NAME?</v>
      </c>
    </row>
    <row r="333" spans="58:58" x14ac:dyDescent="0.3">
      <c r="BF333" t="e">
        <f>solver_lhs394=#REF!</f>
        <v>#NAME?</v>
      </c>
    </row>
    <row r="334" spans="58:58" x14ac:dyDescent="0.3">
      <c r="BF334" t="e">
        <f>solver_lhs395=#REF!</f>
        <v>#NAME?</v>
      </c>
    </row>
    <row r="335" spans="58:58" x14ac:dyDescent="0.3">
      <c r="BF335" t="e">
        <f>solver_lhs396=#REF!</f>
        <v>#NAME?</v>
      </c>
    </row>
    <row r="336" spans="58:58" x14ac:dyDescent="0.3">
      <c r="BF336" t="e">
        <f>solver_lhs397=#REF!</f>
        <v>#NAME?</v>
      </c>
    </row>
    <row r="337" spans="58:58" x14ac:dyDescent="0.3">
      <c r="BF337" t="e">
        <f>solver_lhs398=#REF!</f>
        <v>#NAME?</v>
      </c>
    </row>
    <row r="338" spans="58:58" x14ac:dyDescent="0.3">
      <c r="BF338" t="e">
        <f>solver_lhs399=#REF!</f>
        <v>#NAME?</v>
      </c>
    </row>
    <row r="339" spans="58:58" x14ac:dyDescent="0.3">
      <c r="BF339" t="e">
        <f>solver_lhs4=#REF!</f>
        <v>#NAME?</v>
      </c>
    </row>
    <row r="340" spans="58:58" x14ac:dyDescent="0.3">
      <c r="BF340" t="e">
        <f>solver_lhs40=#REF!</f>
        <v>#NAME?</v>
      </c>
    </row>
    <row r="341" spans="58:58" x14ac:dyDescent="0.3">
      <c r="BF341" t="e">
        <f>solver_lhs400=#REF!</f>
        <v>#NAME?</v>
      </c>
    </row>
    <row r="342" spans="58:58" x14ac:dyDescent="0.3">
      <c r="BF342" t="e">
        <f>solver_lhs401=#REF!</f>
        <v>#NAME?</v>
      </c>
    </row>
    <row r="343" spans="58:58" x14ac:dyDescent="0.3">
      <c r="BF343" t="e">
        <f>solver_lhs402=#REF!</f>
        <v>#NAME?</v>
      </c>
    </row>
    <row r="344" spans="58:58" x14ac:dyDescent="0.3">
      <c r="BF344" t="e">
        <f>solver_lhs403=#REF!</f>
        <v>#NAME?</v>
      </c>
    </row>
    <row r="345" spans="58:58" x14ac:dyDescent="0.3">
      <c r="BF345" t="e">
        <f>solver_lhs404=#REF!</f>
        <v>#NAME?</v>
      </c>
    </row>
    <row r="346" spans="58:58" x14ac:dyDescent="0.3">
      <c r="BF346" t="e">
        <f>solver_lhs405=#REF!</f>
        <v>#NAME?</v>
      </c>
    </row>
    <row r="347" spans="58:58" x14ac:dyDescent="0.3">
      <c r="BF347" t="e">
        <f>solver_lhs406=#REF!</f>
        <v>#NAME?</v>
      </c>
    </row>
    <row r="348" spans="58:58" x14ac:dyDescent="0.3">
      <c r="BF348" t="e">
        <f>solver_lhs407=#REF!</f>
        <v>#NAME?</v>
      </c>
    </row>
    <row r="349" spans="58:58" x14ac:dyDescent="0.3">
      <c r="BF349" t="e">
        <f>solver_lhs408=#REF!</f>
        <v>#NAME?</v>
      </c>
    </row>
    <row r="350" spans="58:58" x14ac:dyDescent="0.3">
      <c r="BF350" t="e">
        <f>solver_lhs409=#REF!</f>
        <v>#NAME?</v>
      </c>
    </row>
    <row r="351" spans="58:58" x14ac:dyDescent="0.3">
      <c r="BF351" t="e">
        <f>solver_lhs41=#REF!</f>
        <v>#NAME?</v>
      </c>
    </row>
    <row r="352" spans="58:58" x14ac:dyDescent="0.3">
      <c r="BF352" t="e">
        <f>solver_lhs410=#REF!</f>
        <v>#NAME?</v>
      </c>
    </row>
    <row r="353" spans="58:58" x14ac:dyDescent="0.3">
      <c r="BF353" t="e">
        <f>solver_lhs411=#REF!</f>
        <v>#NAME?</v>
      </c>
    </row>
    <row r="354" spans="58:58" x14ac:dyDescent="0.3">
      <c r="BF354" t="e">
        <f>solver_lhs412=#REF!</f>
        <v>#NAME?</v>
      </c>
    </row>
    <row r="355" spans="58:58" x14ac:dyDescent="0.3">
      <c r="BF355" t="e">
        <f>solver_lhs413=#REF!</f>
        <v>#NAME?</v>
      </c>
    </row>
    <row r="356" spans="58:58" x14ac:dyDescent="0.3">
      <c r="BF356" t="e">
        <f>solver_lhs414=#REF!</f>
        <v>#NAME?</v>
      </c>
    </row>
    <row r="357" spans="58:58" x14ac:dyDescent="0.3">
      <c r="BF357" t="e">
        <f>solver_lhs415=#REF!</f>
        <v>#NAME?</v>
      </c>
    </row>
    <row r="358" spans="58:58" x14ac:dyDescent="0.3">
      <c r="BF358" t="e">
        <f>solver_lhs416=#REF!</f>
        <v>#NAME?</v>
      </c>
    </row>
    <row r="359" spans="58:58" x14ac:dyDescent="0.3">
      <c r="BF359" t="e">
        <f>solver_lhs417=#REF!</f>
        <v>#NAME?</v>
      </c>
    </row>
    <row r="360" spans="58:58" x14ac:dyDescent="0.3">
      <c r="BF360" t="e">
        <f>solver_lhs418=#REF!</f>
        <v>#NAME?</v>
      </c>
    </row>
    <row r="361" spans="58:58" x14ac:dyDescent="0.3">
      <c r="BF361" t="e">
        <f>solver_lhs419=#REF!</f>
        <v>#NAME?</v>
      </c>
    </row>
    <row r="362" spans="58:58" x14ac:dyDescent="0.3">
      <c r="BF362" t="e">
        <f>solver_lhs42=#REF!</f>
        <v>#NAME?</v>
      </c>
    </row>
    <row r="363" spans="58:58" x14ac:dyDescent="0.3">
      <c r="BF363" t="e">
        <f>solver_lhs420=#REF!</f>
        <v>#NAME?</v>
      </c>
    </row>
    <row r="364" spans="58:58" x14ac:dyDescent="0.3">
      <c r="BF364" t="e">
        <f>solver_lhs421=#REF!</f>
        <v>#NAME?</v>
      </c>
    </row>
    <row r="365" spans="58:58" x14ac:dyDescent="0.3">
      <c r="BF365" t="e">
        <f>solver_lhs422=#REF!</f>
        <v>#NAME?</v>
      </c>
    </row>
    <row r="366" spans="58:58" x14ac:dyDescent="0.3">
      <c r="BF366" t="e">
        <f>solver_lhs423=#REF!</f>
        <v>#NAME?</v>
      </c>
    </row>
    <row r="367" spans="58:58" x14ac:dyDescent="0.3">
      <c r="BF367" t="e">
        <f>solver_lhs424=#REF!</f>
        <v>#NAME?</v>
      </c>
    </row>
    <row r="368" spans="58:58" x14ac:dyDescent="0.3">
      <c r="BF368" t="e">
        <f>solver_lhs425=#REF!</f>
        <v>#NAME?</v>
      </c>
    </row>
    <row r="369" spans="58:58" x14ac:dyDescent="0.3">
      <c r="BF369" t="e">
        <f>solver_lhs426=#REF!</f>
        <v>#NAME?</v>
      </c>
    </row>
    <row r="370" spans="58:58" x14ac:dyDescent="0.3">
      <c r="BF370" t="e">
        <f>solver_lhs427=#REF!</f>
        <v>#NAME?</v>
      </c>
    </row>
    <row r="371" spans="58:58" x14ac:dyDescent="0.3">
      <c r="BF371" t="e">
        <f>solver_lhs428=#REF!</f>
        <v>#NAME?</v>
      </c>
    </row>
    <row r="372" spans="58:58" x14ac:dyDescent="0.3">
      <c r="BF372" t="e">
        <f>solver_lhs429=#REF!</f>
        <v>#NAME?</v>
      </c>
    </row>
    <row r="373" spans="58:58" x14ac:dyDescent="0.3">
      <c r="BF373" t="e">
        <f>solver_lhs43=#REF!</f>
        <v>#NAME?</v>
      </c>
    </row>
    <row r="374" spans="58:58" x14ac:dyDescent="0.3">
      <c r="BF374" t="e">
        <f>solver_lhs430=#REF!</f>
        <v>#NAME?</v>
      </c>
    </row>
    <row r="375" spans="58:58" x14ac:dyDescent="0.3">
      <c r="BF375" t="e">
        <f>solver_lhs431=#REF!</f>
        <v>#NAME?</v>
      </c>
    </row>
    <row r="376" spans="58:58" x14ac:dyDescent="0.3">
      <c r="BF376" t="e">
        <f>solver_lhs432=#REF!</f>
        <v>#NAME?</v>
      </c>
    </row>
    <row r="377" spans="58:58" x14ac:dyDescent="0.3">
      <c r="BF377" t="e">
        <f>solver_lhs433=#REF!</f>
        <v>#NAME?</v>
      </c>
    </row>
    <row r="378" spans="58:58" x14ac:dyDescent="0.3">
      <c r="BF378" t="e">
        <f>solver_lhs434=#REF!</f>
        <v>#NAME?</v>
      </c>
    </row>
    <row r="379" spans="58:58" x14ac:dyDescent="0.3">
      <c r="BF379" t="e">
        <f>solver_lhs435=#REF!</f>
        <v>#NAME?</v>
      </c>
    </row>
    <row r="380" spans="58:58" x14ac:dyDescent="0.3">
      <c r="BF380" t="e">
        <f>solver_lhs436=#REF!</f>
        <v>#NAME?</v>
      </c>
    </row>
    <row r="381" spans="58:58" x14ac:dyDescent="0.3">
      <c r="BF381" t="e">
        <f>solver_lhs437=#REF!</f>
        <v>#NAME?</v>
      </c>
    </row>
    <row r="382" spans="58:58" x14ac:dyDescent="0.3">
      <c r="BF382" t="e">
        <f>solver_lhs438=#REF!</f>
        <v>#NAME?</v>
      </c>
    </row>
    <row r="383" spans="58:58" x14ac:dyDescent="0.3">
      <c r="BF383" t="e">
        <f>solver_lhs439=#REF!</f>
        <v>#NAME?</v>
      </c>
    </row>
    <row r="384" spans="58:58" x14ac:dyDescent="0.3">
      <c r="BF384" t="e">
        <f>solver_lhs44=#REF!</f>
        <v>#NAME?</v>
      </c>
    </row>
    <row r="385" spans="58:58" x14ac:dyDescent="0.3">
      <c r="BF385" t="e">
        <f>solver_lhs440=#REF!</f>
        <v>#NAME?</v>
      </c>
    </row>
    <row r="386" spans="58:58" x14ac:dyDescent="0.3">
      <c r="BF386" t="e">
        <f>solver_lhs441=#REF!</f>
        <v>#NAME?</v>
      </c>
    </row>
    <row r="387" spans="58:58" x14ac:dyDescent="0.3">
      <c r="BF387" t="e">
        <f>solver_lhs442=#REF!</f>
        <v>#NAME?</v>
      </c>
    </row>
    <row r="388" spans="58:58" x14ac:dyDescent="0.3">
      <c r="BF388" t="e">
        <f>solver_lhs443=#REF!</f>
        <v>#NAME?</v>
      </c>
    </row>
    <row r="389" spans="58:58" x14ac:dyDescent="0.3">
      <c r="BF389" t="e">
        <f>solver_lhs444=#REF!</f>
        <v>#NAME?</v>
      </c>
    </row>
    <row r="390" spans="58:58" x14ac:dyDescent="0.3">
      <c r="BF390" t="e">
        <f>solver_lhs445=#REF!</f>
        <v>#NAME?</v>
      </c>
    </row>
    <row r="391" spans="58:58" x14ac:dyDescent="0.3">
      <c r="BF391" t="e">
        <f>solver_lhs446=#REF!</f>
        <v>#NAME?</v>
      </c>
    </row>
    <row r="392" spans="58:58" x14ac:dyDescent="0.3">
      <c r="BF392" t="e">
        <f>solver_lhs447=#REF!</f>
        <v>#NAME?</v>
      </c>
    </row>
    <row r="393" spans="58:58" x14ac:dyDescent="0.3">
      <c r="BF393" t="e">
        <f>solver_lhs448=#REF!</f>
        <v>#NAME?</v>
      </c>
    </row>
    <row r="394" spans="58:58" x14ac:dyDescent="0.3">
      <c r="BF394" t="e">
        <f>solver_lhs449=#REF!</f>
        <v>#NAME?</v>
      </c>
    </row>
    <row r="395" spans="58:58" x14ac:dyDescent="0.3">
      <c r="BF395" t="e">
        <f>solver_lhs45=#REF!</f>
        <v>#NAME?</v>
      </c>
    </row>
    <row r="396" spans="58:58" x14ac:dyDescent="0.3">
      <c r="BF396" t="e">
        <f>solver_lhs450=#REF!</f>
        <v>#NAME?</v>
      </c>
    </row>
    <row r="397" spans="58:58" x14ac:dyDescent="0.3">
      <c r="BF397" t="e">
        <f>solver_lhs451=#REF!</f>
        <v>#NAME?</v>
      </c>
    </row>
    <row r="398" spans="58:58" x14ac:dyDescent="0.3">
      <c r="BF398" t="e">
        <f>solver_lhs452=#REF!</f>
        <v>#NAME?</v>
      </c>
    </row>
    <row r="399" spans="58:58" x14ac:dyDescent="0.3">
      <c r="BF399" t="e">
        <f>solver_lhs453=#REF!</f>
        <v>#NAME?</v>
      </c>
    </row>
    <row r="400" spans="58:58" x14ac:dyDescent="0.3">
      <c r="BF400" t="e">
        <f>solver_lhs454=#REF!</f>
        <v>#NAME?</v>
      </c>
    </row>
    <row r="401" spans="58:58" x14ac:dyDescent="0.3">
      <c r="BF401" t="e">
        <f>solver_lhs455=#REF!</f>
        <v>#NAME?</v>
      </c>
    </row>
    <row r="402" spans="58:58" x14ac:dyDescent="0.3">
      <c r="BF402" t="e">
        <f>solver_lhs456=#REF!</f>
        <v>#NAME?</v>
      </c>
    </row>
    <row r="403" spans="58:58" x14ac:dyDescent="0.3">
      <c r="BF403" t="e">
        <f>solver_lhs457=#REF!</f>
        <v>#NAME?</v>
      </c>
    </row>
    <row r="404" spans="58:58" x14ac:dyDescent="0.3">
      <c r="BF404" t="e">
        <f>solver_lhs458=#REF!</f>
        <v>#NAME?</v>
      </c>
    </row>
    <row r="405" spans="58:58" x14ac:dyDescent="0.3">
      <c r="BF405" t="e">
        <f>solver_lhs459=#REF!</f>
        <v>#NAME?</v>
      </c>
    </row>
    <row r="406" spans="58:58" x14ac:dyDescent="0.3">
      <c r="BF406" t="e">
        <f>solver_lhs46=#REF!</f>
        <v>#NAME?</v>
      </c>
    </row>
    <row r="407" spans="58:58" x14ac:dyDescent="0.3">
      <c r="BF407" t="e">
        <f>solver_lhs460=#REF!</f>
        <v>#NAME?</v>
      </c>
    </row>
    <row r="408" spans="58:58" x14ac:dyDescent="0.3">
      <c r="BF408" t="e">
        <f>solver_lhs461=#REF!</f>
        <v>#NAME?</v>
      </c>
    </row>
    <row r="409" spans="58:58" x14ac:dyDescent="0.3">
      <c r="BF409" t="e">
        <f>solver_lhs462=#REF!</f>
        <v>#NAME?</v>
      </c>
    </row>
    <row r="410" spans="58:58" x14ac:dyDescent="0.3">
      <c r="BF410" t="e">
        <f>solver_lhs463=#REF!</f>
        <v>#NAME?</v>
      </c>
    </row>
    <row r="411" spans="58:58" x14ac:dyDescent="0.3">
      <c r="BF411" t="e">
        <f>solver_lhs464=#REF!</f>
        <v>#NAME?</v>
      </c>
    </row>
    <row r="412" spans="58:58" x14ac:dyDescent="0.3">
      <c r="BF412" t="e">
        <f>solver_lhs465=#REF!</f>
        <v>#NAME?</v>
      </c>
    </row>
    <row r="413" spans="58:58" x14ac:dyDescent="0.3">
      <c r="BF413" t="e">
        <f>solver_lhs466=#REF!</f>
        <v>#NAME?</v>
      </c>
    </row>
    <row r="414" spans="58:58" x14ac:dyDescent="0.3">
      <c r="BF414" t="e">
        <f>solver_lhs467=#REF!</f>
        <v>#NAME?</v>
      </c>
    </row>
    <row r="415" spans="58:58" x14ac:dyDescent="0.3">
      <c r="BF415" t="e">
        <f>solver_lhs468=#REF!</f>
        <v>#NAME?</v>
      </c>
    </row>
    <row r="416" spans="58:58" x14ac:dyDescent="0.3">
      <c r="BF416" t="e">
        <f>solver_lhs469=#REF!</f>
        <v>#NAME?</v>
      </c>
    </row>
    <row r="417" spans="58:58" x14ac:dyDescent="0.3">
      <c r="BF417" t="e">
        <f>solver_lhs47=#REF!</f>
        <v>#NAME?</v>
      </c>
    </row>
    <row r="418" spans="58:58" x14ac:dyDescent="0.3">
      <c r="BF418" t="e">
        <f>solver_lhs470=#REF!</f>
        <v>#NAME?</v>
      </c>
    </row>
    <row r="419" spans="58:58" x14ac:dyDescent="0.3">
      <c r="BF419" t="e">
        <f>solver_lhs471=#REF!</f>
        <v>#NAME?</v>
      </c>
    </row>
    <row r="420" spans="58:58" x14ac:dyDescent="0.3">
      <c r="BF420" t="e">
        <f>solver_lhs472=#REF!</f>
        <v>#NAME?</v>
      </c>
    </row>
    <row r="421" spans="58:58" x14ac:dyDescent="0.3">
      <c r="BF421" t="e">
        <f>solver_lhs473=#REF!</f>
        <v>#NAME?</v>
      </c>
    </row>
    <row r="422" spans="58:58" x14ac:dyDescent="0.3">
      <c r="BF422" t="e">
        <f>solver_lhs474=#REF!</f>
        <v>#NAME?</v>
      </c>
    </row>
    <row r="423" spans="58:58" x14ac:dyDescent="0.3">
      <c r="BF423" t="e">
        <f>solver_lhs475=#REF!</f>
        <v>#NAME?</v>
      </c>
    </row>
    <row r="424" spans="58:58" x14ac:dyDescent="0.3">
      <c r="BF424" t="e">
        <f>solver_lhs476=#REF!</f>
        <v>#NAME?</v>
      </c>
    </row>
    <row r="425" spans="58:58" x14ac:dyDescent="0.3">
      <c r="BF425" t="e">
        <f>solver_lhs477=#REF!</f>
        <v>#NAME?</v>
      </c>
    </row>
    <row r="426" spans="58:58" x14ac:dyDescent="0.3">
      <c r="BF426" t="e">
        <f>solver_lhs478=#REF!</f>
        <v>#NAME?</v>
      </c>
    </row>
    <row r="427" spans="58:58" x14ac:dyDescent="0.3">
      <c r="BF427" t="e">
        <f>solver_lhs479=#REF!</f>
        <v>#NAME?</v>
      </c>
    </row>
    <row r="428" spans="58:58" x14ac:dyDescent="0.3">
      <c r="BF428" t="e">
        <f>solver_lhs48=#REF!</f>
        <v>#NAME?</v>
      </c>
    </row>
    <row r="429" spans="58:58" x14ac:dyDescent="0.3">
      <c r="BF429" t="e">
        <f>solver_lhs480=#REF!</f>
        <v>#NAME?</v>
      </c>
    </row>
    <row r="430" spans="58:58" x14ac:dyDescent="0.3">
      <c r="BF430" t="e">
        <f>solver_lhs481=#REF!</f>
        <v>#NAME?</v>
      </c>
    </row>
    <row r="431" spans="58:58" x14ac:dyDescent="0.3">
      <c r="BF431" t="e">
        <f>solver_lhs482=#REF!</f>
        <v>#NAME?</v>
      </c>
    </row>
    <row r="432" spans="58:58" x14ac:dyDescent="0.3">
      <c r="BF432" t="e">
        <f>solver_lhs483=#REF!</f>
        <v>#NAME?</v>
      </c>
    </row>
    <row r="433" spans="58:58" x14ac:dyDescent="0.3">
      <c r="BF433" t="e">
        <f>solver_lhs484=#REF!</f>
        <v>#NAME?</v>
      </c>
    </row>
    <row r="434" spans="58:58" x14ac:dyDescent="0.3">
      <c r="BF434" t="e">
        <f>solver_lhs485=#REF!</f>
        <v>#NAME?</v>
      </c>
    </row>
    <row r="435" spans="58:58" x14ac:dyDescent="0.3">
      <c r="BF435" t="e">
        <f>solver_lhs486=#REF!</f>
        <v>#NAME?</v>
      </c>
    </row>
    <row r="436" spans="58:58" x14ac:dyDescent="0.3">
      <c r="BF436" t="e">
        <f>solver_lhs487=#REF!</f>
        <v>#NAME?</v>
      </c>
    </row>
    <row r="437" spans="58:58" x14ac:dyDescent="0.3">
      <c r="BF437" t="e">
        <f>solver_lhs488=#REF!</f>
        <v>#NAME?</v>
      </c>
    </row>
    <row r="438" spans="58:58" x14ac:dyDescent="0.3">
      <c r="BF438" t="e">
        <f>solver_lhs489=#REF!</f>
        <v>#NAME?</v>
      </c>
    </row>
    <row r="439" spans="58:58" x14ac:dyDescent="0.3">
      <c r="BF439" t="e">
        <f>solver_lhs49=#REF!</f>
        <v>#NAME?</v>
      </c>
    </row>
    <row r="440" spans="58:58" x14ac:dyDescent="0.3">
      <c r="BF440" t="e">
        <f>solver_lhs490=#REF!</f>
        <v>#NAME?</v>
      </c>
    </row>
    <row r="441" spans="58:58" x14ac:dyDescent="0.3">
      <c r="BF441" t="e">
        <f>solver_lhs491=#REF!</f>
        <v>#NAME?</v>
      </c>
    </row>
    <row r="442" spans="58:58" x14ac:dyDescent="0.3">
      <c r="BF442" t="e">
        <f>solver_lhs492=#REF!</f>
        <v>#NAME?</v>
      </c>
    </row>
    <row r="443" spans="58:58" x14ac:dyDescent="0.3">
      <c r="BF443" t="e">
        <f>solver_lhs493=#REF!</f>
        <v>#NAME?</v>
      </c>
    </row>
    <row r="444" spans="58:58" x14ac:dyDescent="0.3">
      <c r="BF444" t="e">
        <f>solver_lhs494=#REF!</f>
        <v>#NAME?</v>
      </c>
    </row>
    <row r="445" spans="58:58" x14ac:dyDescent="0.3">
      <c r="BF445" t="e">
        <f>solver_lhs495=#REF!</f>
        <v>#NAME?</v>
      </c>
    </row>
    <row r="446" spans="58:58" x14ac:dyDescent="0.3">
      <c r="BF446" t="e">
        <f>solver_lhs496=#REF!</f>
        <v>#NAME?</v>
      </c>
    </row>
    <row r="447" spans="58:58" x14ac:dyDescent="0.3">
      <c r="BF447" t="e">
        <f>solver_lhs497=#REF!</f>
        <v>#NAME?</v>
      </c>
    </row>
    <row r="448" spans="58:58" x14ac:dyDescent="0.3">
      <c r="BF448" t="e">
        <f>solver_lhs498=#REF!</f>
        <v>#NAME?</v>
      </c>
    </row>
    <row r="449" spans="58:58" x14ac:dyDescent="0.3">
      <c r="BF449" t="e">
        <f>solver_lhs499=#REF!</f>
        <v>#NAME?</v>
      </c>
    </row>
    <row r="450" spans="58:58" x14ac:dyDescent="0.3">
      <c r="BF450" t="e">
        <f>solver_lhs5=#REF!</f>
        <v>#NAME?</v>
      </c>
    </row>
    <row r="451" spans="58:58" x14ac:dyDescent="0.3">
      <c r="BF451" t="e">
        <f>solver_lhs50=#REF!</f>
        <v>#NAME?</v>
      </c>
    </row>
    <row r="452" spans="58:58" x14ac:dyDescent="0.3">
      <c r="BF452" t="e">
        <f>solver_lhs500=#REF!</f>
        <v>#NAME?</v>
      </c>
    </row>
    <row r="453" spans="58:58" x14ac:dyDescent="0.3">
      <c r="BF453" t="e">
        <f>solver_lhs501=#REF!</f>
        <v>#NAME?</v>
      </c>
    </row>
    <row r="454" spans="58:58" x14ac:dyDescent="0.3">
      <c r="BF454" t="e">
        <f>solver_lhs502=#REF!</f>
        <v>#NAME?</v>
      </c>
    </row>
    <row r="455" spans="58:58" x14ac:dyDescent="0.3">
      <c r="BF455" t="e">
        <f>solver_lhs503=#REF!</f>
        <v>#NAME?</v>
      </c>
    </row>
    <row r="456" spans="58:58" x14ac:dyDescent="0.3">
      <c r="BF456" t="e">
        <f>solver_lhs504=#REF!</f>
        <v>#NAME?</v>
      </c>
    </row>
    <row r="457" spans="58:58" x14ac:dyDescent="0.3">
      <c r="BF457" t="e">
        <f>solver_lhs505=#REF!</f>
        <v>#NAME?</v>
      </c>
    </row>
    <row r="458" spans="58:58" x14ac:dyDescent="0.3">
      <c r="BF458" t="e">
        <f>solver_lhs506=#REF!</f>
        <v>#NAME?</v>
      </c>
    </row>
    <row r="459" spans="58:58" x14ac:dyDescent="0.3">
      <c r="BF459" t="e">
        <f>solver_lhs507=#REF!</f>
        <v>#NAME?</v>
      </c>
    </row>
    <row r="460" spans="58:58" x14ac:dyDescent="0.3">
      <c r="BF460" t="e">
        <f>solver_lhs508=#REF!</f>
        <v>#NAME?</v>
      </c>
    </row>
    <row r="461" spans="58:58" x14ac:dyDescent="0.3">
      <c r="BF461" t="e">
        <f>solver_lhs509=#REF!</f>
        <v>#NAME?</v>
      </c>
    </row>
    <row r="462" spans="58:58" x14ac:dyDescent="0.3">
      <c r="BF462" t="e">
        <f>solver_lhs51=#REF!</f>
        <v>#NAME?</v>
      </c>
    </row>
    <row r="463" spans="58:58" x14ac:dyDescent="0.3">
      <c r="BF463" t="e">
        <f>solver_lhs510=#REF!</f>
        <v>#NAME?</v>
      </c>
    </row>
    <row r="464" spans="58:58" x14ac:dyDescent="0.3">
      <c r="BF464" t="e">
        <f>solver_lhs511=#REF!</f>
        <v>#NAME?</v>
      </c>
    </row>
    <row r="465" spans="58:58" x14ac:dyDescent="0.3">
      <c r="BF465" t="e">
        <f>solver_lhs512=#REF!</f>
        <v>#NAME?</v>
      </c>
    </row>
    <row r="466" spans="58:58" x14ac:dyDescent="0.3">
      <c r="BF466" t="e">
        <f>solver_lhs513=#REF!</f>
        <v>#NAME?</v>
      </c>
    </row>
    <row r="467" spans="58:58" x14ac:dyDescent="0.3">
      <c r="BF467" t="e">
        <f>solver_lhs514=#REF!</f>
        <v>#NAME?</v>
      </c>
    </row>
    <row r="468" spans="58:58" x14ac:dyDescent="0.3">
      <c r="BF468" t="e">
        <f>solver_lhs515=#REF!</f>
        <v>#NAME?</v>
      </c>
    </row>
    <row r="469" spans="58:58" x14ac:dyDescent="0.3">
      <c r="BF469" t="e">
        <f>solver_lhs516=#REF!</f>
        <v>#NAME?</v>
      </c>
    </row>
    <row r="470" spans="58:58" x14ac:dyDescent="0.3">
      <c r="BF470" t="e">
        <f>solver_lhs517=#REF!</f>
        <v>#NAME?</v>
      </c>
    </row>
    <row r="471" spans="58:58" x14ac:dyDescent="0.3">
      <c r="BF471" t="e">
        <f>solver_lhs518=#REF!</f>
        <v>#NAME?</v>
      </c>
    </row>
    <row r="472" spans="58:58" x14ac:dyDescent="0.3">
      <c r="BF472" t="e">
        <f>solver_lhs519=#REF!</f>
        <v>#NAME?</v>
      </c>
    </row>
    <row r="473" spans="58:58" x14ac:dyDescent="0.3">
      <c r="BF473" t="e">
        <f>solver_lhs52=#REF!</f>
        <v>#NAME?</v>
      </c>
    </row>
    <row r="474" spans="58:58" x14ac:dyDescent="0.3">
      <c r="BF474" t="e">
        <f>solver_lhs520=#REF!</f>
        <v>#NAME?</v>
      </c>
    </row>
    <row r="475" spans="58:58" x14ac:dyDescent="0.3">
      <c r="BF475" t="e">
        <f>solver_lhs521=#REF!</f>
        <v>#NAME?</v>
      </c>
    </row>
    <row r="476" spans="58:58" x14ac:dyDescent="0.3">
      <c r="BF476" t="e">
        <f>solver_lhs522=#REF!</f>
        <v>#NAME?</v>
      </c>
    </row>
    <row r="477" spans="58:58" x14ac:dyDescent="0.3">
      <c r="BF477" t="e">
        <f>solver_lhs523=#REF!</f>
        <v>#NAME?</v>
      </c>
    </row>
    <row r="478" spans="58:58" x14ac:dyDescent="0.3">
      <c r="BF478" t="e">
        <f>solver_lhs524=#REF!</f>
        <v>#NAME?</v>
      </c>
    </row>
    <row r="479" spans="58:58" x14ac:dyDescent="0.3">
      <c r="BF479" t="e">
        <f>solver_lhs525=#REF!</f>
        <v>#NAME?</v>
      </c>
    </row>
    <row r="480" spans="58:58" x14ac:dyDescent="0.3">
      <c r="BF480" t="e">
        <f>solver_lhs526=#REF!</f>
        <v>#NAME?</v>
      </c>
    </row>
    <row r="481" spans="58:58" x14ac:dyDescent="0.3">
      <c r="BF481" t="e">
        <f>solver_lhs527=#REF!</f>
        <v>#NAME?</v>
      </c>
    </row>
    <row r="482" spans="58:58" x14ac:dyDescent="0.3">
      <c r="BF482" t="e">
        <f>solver_lhs528=#REF!</f>
        <v>#NAME?</v>
      </c>
    </row>
    <row r="483" spans="58:58" x14ac:dyDescent="0.3">
      <c r="BF483" t="e">
        <f>solver_lhs529=#REF!</f>
        <v>#NAME?</v>
      </c>
    </row>
    <row r="484" spans="58:58" x14ac:dyDescent="0.3">
      <c r="BF484" t="e">
        <f>solver_lhs53=#REF!</f>
        <v>#NAME?</v>
      </c>
    </row>
    <row r="485" spans="58:58" x14ac:dyDescent="0.3">
      <c r="BF485" t="e">
        <f>solver_lhs530=#REF!</f>
        <v>#NAME?</v>
      </c>
    </row>
    <row r="486" spans="58:58" x14ac:dyDescent="0.3">
      <c r="BF486" t="e">
        <f>solver_lhs531=#REF!</f>
        <v>#NAME?</v>
      </c>
    </row>
    <row r="487" spans="58:58" x14ac:dyDescent="0.3">
      <c r="BF487" t="e">
        <f>solver_lhs532=#REF!</f>
        <v>#NAME?</v>
      </c>
    </row>
    <row r="488" spans="58:58" x14ac:dyDescent="0.3">
      <c r="BF488" t="e">
        <f>solver_lhs533=#REF!</f>
        <v>#NAME?</v>
      </c>
    </row>
    <row r="489" spans="58:58" x14ac:dyDescent="0.3">
      <c r="BF489" t="e">
        <f>solver_lhs534=#REF!</f>
        <v>#NAME?</v>
      </c>
    </row>
    <row r="490" spans="58:58" x14ac:dyDescent="0.3">
      <c r="BF490" t="e">
        <f>solver_lhs535=#REF!</f>
        <v>#NAME?</v>
      </c>
    </row>
    <row r="491" spans="58:58" x14ac:dyDescent="0.3">
      <c r="BF491" t="e">
        <f>solver_lhs536=#REF!</f>
        <v>#NAME?</v>
      </c>
    </row>
    <row r="492" spans="58:58" x14ac:dyDescent="0.3">
      <c r="BF492" t="e">
        <f>solver_lhs537=#REF!</f>
        <v>#NAME?</v>
      </c>
    </row>
    <row r="493" spans="58:58" x14ac:dyDescent="0.3">
      <c r="BF493" t="e">
        <f>solver_lhs538=#REF!</f>
        <v>#NAME?</v>
      </c>
    </row>
    <row r="494" spans="58:58" x14ac:dyDescent="0.3">
      <c r="BF494" t="e">
        <f>solver_lhs539=#REF!</f>
        <v>#NAME?</v>
      </c>
    </row>
    <row r="495" spans="58:58" x14ac:dyDescent="0.3">
      <c r="BF495" t="e">
        <f>solver_lhs54=#REF!</f>
        <v>#NAME?</v>
      </c>
    </row>
    <row r="496" spans="58:58" x14ac:dyDescent="0.3">
      <c r="BF496" t="e">
        <f>solver_lhs540=#REF!</f>
        <v>#NAME?</v>
      </c>
    </row>
    <row r="497" spans="58:58" x14ac:dyDescent="0.3">
      <c r="BF497" t="e">
        <f>solver_lhs541=#REF!</f>
        <v>#NAME?</v>
      </c>
    </row>
    <row r="498" spans="58:58" x14ac:dyDescent="0.3">
      <c r="BF498" t="e">
        <f>solver_lhs542=#REF!</f>
        <v>#NAME?</v>
      </c>
    </row>
    <row r="499" spans="58:58" x14ac:dyDescent="0.3">
      <c r="BF499" t="e">
        <f>solver_lhs543=#REF!</f>
        <v>#NAME?</v>
      </c>
    </row>
    <row r="500" spans="58:58" x14ac:dyDescent="0.3">
      <c r="BF500" t="e">
        <f>solver_lhs544=#REF!</f>
        <v>#NAME?</v>
      </c>
    </row>
    <row r="501" spans="58:58" x14ac:dyDescent="0.3">
      <c r="BF501" t="e">
        <f>solver_lhs545=#REF!</f>
        <v>#NAME?</v>
      </c>
    </row>
    <row r="502" spans="58:58" x14ac:dyDescent="0.3">
      <c r="BF502" t="e">
        <f>solver_lhs546=#REF!</f>
        <v>#NAME?</v>
      </c>
    </row>
    <row r="503" spans="58:58" x14ac:dyDescent="0.3">
      <c r="BF503" t="e">
        <f>solver_lhs547=#REF!</f>
        <v>#NAME?</v>
      </c>
    </row>
    <row r="504" spans="58:58" x14ac:dyDescent="0.3">
      <c r="BF504" t="e">
        <f>solver_lhs548=#REF!</f>
        <v>#NAME?</v>
      </c>
    </row>
    <row r="505" spans="58:58" x14ac:dyDescent="0.3">
      <c r="BF505" t="e">
        <f>solver_lhs549=#REF!</f>
        <v>#NAME?</v>
      </c>
    </row>
    <row r="506" spans="58:58" x14ac:dyDescent="0.3">
      <c r="BF506" t="e">
        <f>solver_lhs55=#REF!</f>
        <v>#NAME?</v>
      </c>
    </row>
    <row r="507" spans="58:58" x14ac:dyDescent="0.3">
      <c r="BF507" t="e">
        <f>solver_lhs550=#REF!</f>
        <v>#NAME?</v>
      </c>
    </row>
    <row r="508" spans="58:58" x14ac:dyDescent="0.3">
      <c r="BF508" t="e">
        <f>solver_lhs551=#REF!</f>
        <v>#NAME?</v>
      </c>
    </row>
    <row r="509" spans="58:58" x14ac:dyDescent="0.3">
      <c r="BF509" t="e">
        <f>solver_lhs552=#REF!</f>
        <v>#NAME?</v>
      </c>
    </row>
    <row r="510" spans="58:58" x14ac:dyDescent="0.3">
      <c r="BF510" t="e">
        <f>solver_lhs553=#REF!</f>
        <v>#NAME?</v>
      </c>
    </row>
    <row r="511" spans="58:58" x14ac:dyDescent="0.3">
      <c r="BF511" t="e">
        <f>solver_lhs554=#REF!</f>
        <v>#NAME?</v>
      </c>
    </row>
    <row r="512" spans="58:58" x14ac:dyDescent="0.3">
      <c r="BF512" t="e">
        <f>solver_lhs555=#REF!</f>
        <v>#NAME?</v>
      </c>
    </row>
    <row r="513" spans="58:58" x14ac:dyDescent="0.3">
      <c r="BF513" t="e">
        <f>solver_lhs556=#REF!</f>
        <v>#NAME?</v>
      </c>
    </row>
    <row r="514" spans="58:58" x14ac:dyDescent="0.3">
      <c r="BF514" t="e">
        <f>solver_lhs557=#REF!</f>
        <v>#NAME?</v>
      </c>
    </row>
    <row r="515" spans="58:58" x14ac:dyDescent="0.3">
      <c r="BF515" t="e">
        <f>solver_lhs558=#REF!</f>
        <v>#NAME?</v>
      </c>
    </row>
    <row r="516" spans="58:58" x14ac:dyDescent="0.3">
      <c r="BF516" t="e">
        <f>solver_lhs559=#REF!</f>
        <v>#NAME?</v>
      </c>
    </row>
    <row r="517" spans="58:58" x14ac:dyDescent="0.3">
      <c r="BF517" t="e">
        <f>solver_lhs56=#REF!</f>
        <v>#NAME?</v>
      </c>
    </row>
    <row r="518" spans="58:58" x14ac:dyDescent="0.3">
      <c r="BF518" t="e">
        <f>solver_lhs560=#REF!</f>
        <v>#NAME?</v>
      </c>
    </row>
    <row r="519" spans="58:58" x14ac:dyDescent="0.3">
      <c r="BF519" t="e">
        <f>solver_lhs561=#REF!</f>
        <v>#NAME?</v>
      </c>
    </row>
    <row r="520" spans="58:58" x14ac:dyDescent="0.3">
      <c r="BF520" t="e">
        <f>solver_lhs562=#REF!</f>
        <v>#NAME?</v>
      </c>
    </row>
    <row r="521" spans="58:58" x14ac:dyDescent="0.3">
      <c r="BF521" t="e">
        <f>solver_lhs563=#REF!</f>
        <v>#NAME?</v>
      </c>
    </row>
    <row r="522" spans="58:58" x14ac:dyDescent="0.3">
      <c r="BF522" t="e">
        <f>solver_lhs564=#REF!</f>
        <v>#NAME?</v>
      </c>
    </row>
    <row r="523" spans="58:58" x14ac:dyDescent="0.3">
      <c r="BF523" t="e">
        <f>solver_lhs565=#REF!</f>
        <v>#NAME?</v>
      </c>
    </row>
    <row r="524" spans="58:58" x14ac:dyDescent="0.3">
      <c r="BF524" t="e">
        <f>solver_lhs566=#REF!</f>
        <v>#NAME?</v>
      </c>
    </row>
    <row r="525" spans="58:58" x14ac:dyDescent="0.3">
      <c r="BF525" t="e">
        <f>solver_lhs567=#REF!</f>
        <v>#NAME?</v>
      </c>
    </row>
    <row r="526" spans="58:58" x14ac:dyDescent="0.3">
      <c r="BF526" t="e">
        <f>solver_lhs568=#REF!</f>
        <v>#NAME?</v>
      </c>
    </row>
    <row r="527" spans="58:58" x14ac:dyDescent="0.3">
      <c r="BF527" t="e">
        <f>solver_lhs569=#REF!</f>
        <v>#NAME?</v>
      </c>
    </row>
    <row r="528" spans="58:58" x14ac:dyDescent="0.3">
      <c r="BF528" t="e">
        <f>solver_lhs57=#REF!</f>
        <v>#NAME?</v>
      </c>
    </row>
    <row r="529" spans="58:58" x14ac:dyDescent="0.3">
      <c r="BF529" t="e">
        <f>solver_lhs570=#REF!</f>
        <v>#NAME?</v>
      </c>
    </row>
    <row r="530" spans="58:58" x14ac:dyDescent="0.3">
      <c r="BF530" t="e">
        <f>solver_lhs571=#REF!</f>
        <v>#NAME?</v>
      </c>
    </row>
    <row r="531" spans="58:58" x14ac:dyDescent="0.3">
      <c r="BF531" t="e">
        <f>solver_lhs572=#REF!</f>
        <v>#NAME?</v>
      </c>
    </row>
    <row r="532" spans="58:58" x14ac:dyDescent="0.3">
      <c r="BF532" t="e">
        <f>solver_lhs573=#REF!</f>
        <v>#NAME?</v>
      </c>
    </row>
    <row r="533" spans="58:58" x14ac:dyDescent="0.3">
      <c r="BF533" t="e">
        <f>solver_lhs574=#REF!</f>
        <v>#NAME?</v>
      </c>
    </row>
    <row r="534" spans="58:58" x14ac:dyDescent="0.3">
      <c r="BF534" t="e">
        <f>solver_lhs575=#REF!</f>
        <v>#NAME?</v>
      </c>
    </row>
    <row r="535" spans="58:58" x14ac:dyDescent="0.3">
      <c r="BF535" t="e">
        <f>solver_lhs576=#REF!</f>
        <v>#NAME?</v>
      </c>
    </row>
    <row r="536" spans="58:58" x14ac:dyDescent="0.3">
      <c r="BF536" t="e">
        <f>solver_lhs577=#REF!</f>
        <v>#NAME?</v>
      </c>
    </row>
    <row r="537" spans="58:58" x14ac:dyDescent="0.3">
      <c r="BF537" t="e">
        <f>solver_lhs578=#REF!</f>
        <v>#NAME?</v>
      </c>
    </row>
    <row r="538" spans="58:58" x14ac:dyDescent="0.3">
      <c r="BF538" t="e">
        <f>solver_lhs579=#REF!</f>
        <v>#NAME?</v>
      </c>
    </row>
    <row r="539" spans="58:58" x14ac:dyDescent="0.3">
      <c r="BF539" t="e">
        <f>solver_lhs58=#REF!</f>
        <v>#NAME?</v>
      </c>
    </row>
    <row r="540" spans="58:58" x14ac:dyDescent="0.3">
      <c r="BF540" t="e">
        <f>solver_lhs580=#REF!</f>
        <v>#NAME?</v>
      </c>
    </row>
    <row r="541" spans="58:58" x14ac:dyDescent="0.3">
      <c r="BF541" t="e">
        <f>solver_lhs581=#REF!</f>
        <v>#NAME?</v>
      </c>
    </row>
    <row r="542" spans="58:58" x14ac:dyDescent="0.3">
      <c r="BF542" t="e">
        <f>solver_lhs582=#REF!</f>
        <v>#NAME?</v>
      </c>
    </row>
    <row r="543" spans="58:58" x14ac:dyDescent="0.3">
      <c r="BF543" t="e">
        <f>solver_lhs583=#REF!</f>
        <v>#NAME?</v>
      </c>
    </row>
    <row r="544" spans="58:58" x14ac:dyDescent="0.3">
      <c r="BF544" t="e">
        <f>solver_lhs584=#REF!</f>
        <v>#NAME?</v>
      </c>
    </row>
    <row r="545" spans="58:58" x14ac:dyDescent="0.3">
      <c r="BF545" t="e">
        <f>solver_lhs585=#REF!</f>
        <v>#NAME?</v>
      </c>
    </row>
    <row r="546" spans="58:58" x14ac:dyDescent="0.3">
      <c r="BF546" t="e">
        <f>solver_lhs586=#REF!</f>
        <v>#NAME?</v>
      </c>
    </row>
    <row r="547" spans="58:58" x14ac:dyDescent="0.3">
      <c r="BF547" t="e">
        <f>solver_lhs587=#REF!</f>
        <v>#NAME?</v>
      </c>
    </row>
    <row r="548" spans="58:58" x14ac:dyDescent="0.3">
      <c r="BF548" t="e">
        <f>solver_lhs588=#REF!</f>
        <v>#NAME?</v>
      </c>
    </row>
    <row r="549" spans="58:58" x14ac:dyDescent="0.3">
      <c r="BF549" t="e">
        <f>solver_lhs589=#REF!</f>
        <v>#NAME?</v>
      </c>
    </row>
    <row r="550" spans="58:58" x14ac:dyDescent="0.3">
      <c r="BF550" t="e">
        <f>solver_lhs59=#REF!</f>
        <v>#NAME?</v>
      </c>
    </row>
    <row r="551" spans="58:58" x14ac:dyDescent="0.3">
      <c r="BF551" t="e">
        <f>solver_lhs590=#REF!</f>
        <v>#NAME?</v>
      </c>
    </row>
    <row r="552" spans="58:58" x14ac:dyDescent="0.3">
      <c r="BF552" t="e">
        <f>solver_lhs591=#REF!</f>
        <v>#NAME?</v>
      </c>
    </row>
    <row r="553" spans="58:58" x14ac:dyDescent="0.3">
      <c r="BF553" t="e">
        <f>solver_lhs592=#REF!</f>
        <v>#NAME?</v>
      </c>
    </row>
    <row r="554" spans="58:58" x14ac:dyDescent="0.3">
      <c r="BF554" t="e">
        <f>solver_lhs593=#REF!</f>
        <v>#NAME?</v>
      </c>
    </row>
    <row r="555" spans="58:58" x14ac:dyDescent="0.3">
      <c r="BF555" t="e">
        <f>solver_lhs594=#REF!</f>
        <v>#NAME?</v>
      </c>
    </row>
    <row r="556" spans="58:58" x14ac:dyDescent="0.3">
      <c r="BF556" t="e">
        <f>solver_lhs595=#REF!</f>
        <v>#NAME?</v>
      </c>
    </row>
    <row r="557" spans="58:58" x14ac:dyDescent="0.3">
      <c r="BF557" t="e">
        <f>solver_lhs596=#REF!</f>
        <v>#NAME?</v>
      </c>
    </row>
    <row r="558" spans="58:58" x14ac:dyDescent="0.3">
      <c r="BF558" t="e">
        <f>solver_lhs597=#REF!</f>
        <v>#NAME?</v>
      </c>
    </row>
    <row r="559" spans="58:58" x14ac:dyDescent="0.3">
      <c r="BF559" t="e">
        <f>solver_lhs598=#REF!</f>
        <v>#NAME?</v>
      </c>
    </row>
    <row r="560" spans="58:58" x14ac:dyDescent="0.3">
      <c r="BF560" t="e">
        <f>solver_lhs599=#REF!</f>
        <v>#NAME?</v>
      </c>
    </row>
    <row r="561" spans="58:58" x14ac:dyDescent="0.3">
      <c r="BF561" t="e">
        <f>solver_lhs6=#REF!</f>
        <v>#NAME?</v>
      </c>
    </row>
    <row r="562" spans="58:58" x14ac:dyDescent="0.3">
      <c r="BF562" t="e">
        <f>solver_lhs60=#REF!</f>
        <v>#NAME?</v>
      </c>
    </row>
    <row r="563" spans="58:58" x14ac:dyDescent="0.3">
      <c r="BF563" t="e">
        <f>solver_lhs600=#REF!</f>
        <v>#NAME?</v>
      </c>
    </row>
    <row r="564" spans="58:58" x14ac:dyDescent="0.3">
      <c r="BF564" t="e">
        <f>solver_lhs61=#REF!</f>
        <v>#NAME?</v>
      </c>
    </row>
    <row r="565" spans="58:58" x14ac:dyDescent="0.3">
      <c r="BF565" t="e">
        <f>solver_lhs62=#REF!</f>
        <v>#NAME?</v>
      </c>
    </row>
    <row r="566" spans="58:58" x14ac:dyDescent="0.3">
      <c r="BF566" t="e">
        <f>solver_lhs63=#REF!</f>
        <v>#NAME?</v>
      </c>
    </row>
    <row r="567" spans="58:58" x14ac:dyDescent="0.3">
      <c r="BF567" t="e">
        <f>solver_lhs64=#REF!</f>
        <v>#NAME?</v>
      </c>
    </row>
    <row r="568" spans="58:58" x14ac:dyDescent="0.3">
      <c r="BF568" t="e">
        <f>solver_lhs65=#REF!</f>
        <v>#NAME?</v>
      </c>
    </row>
    <row r="569" spans="58:58" x14ac:dyDescent="0.3">
      <c r="BF569" t="e">
        <f>solver_lhs66=#REF!</f>
        <v>#NAME?</v>
      </c>
    </row>
    <row r="570" spans="58:58" x14ac:dyDescent="0.3">
      <c r="BF570" t="e">
        <f>solver_lhs67=#REF!</f>
        <v>#NAME?</v>
      </c>
    </row>
    <row r="571" spans="58:58" x14ac:dyDescent="0.3">
      <c r="BF571" t="e">
        <f>solver_lhs68=#REF!</f>
        <v>#NAME?</v>
      </c>
    </row>
    <row r="572" spans="58:58" x14ac:dyDescent="0.3">
      <c r="BF572" t="e">
        <f>solver_lhs69=#REF!</f>
        <v>#NAME?</v>
      </c>
    </row>
    <row r="573" spans="58:58" x14ac:dyDescent="0.3">
      <c r="BF573" t="e">
        <f>solver_lhs7=#REF!</f>
        <v>#NAME?</v>
      </c>
    </row>
    <row r="574" spans="58:58" x14ac:dyDescent="0.3">
      <c r="BF574" t="e">
        <f>solver_lhs70=#REF!</f>
        <v>#NAME?</v>
      </c>
    </row>
    <row r="575" spans="58:58" x14ac:dyDescent="0.3">
      <c r="BF575" t="e">
        <f>solver_lhs71=#REF!</f>
        <v>#NAME?</v>
      </c>
    </row>
    <row r="576" spans="58:58" x14ac:dyDescent="0.3">
      <c r="BF576" t="e">
        <f>solver_lhs72=#REF!</f>
        <v>#NAME?</v>
      </c>
    </row>
    <row r="577" spans="58:58" x14ac:dyDescent="0.3">
      <c r="BF577" t="e">
        <f>solver_lhs73=#REF!</f>
        <v>#NAME?</v>
      </c>
    </row>
    <row r="578" spans="58:58" x14ac:dyDescent="0.3">
      <c r="BF578" t="e">
        <f>solver_lhs74=#REF!</f>
        <v>#NAME?</v>
      </c>
    </row>
    <row r="579" spans="58:58" x14ac:dyDescent="0.3">
      <c r="BF579" t="e">
        <f>solver_lhs75=#REF!</f>
        <v>#NAME?</v>
      </c>
    </row>
    <row r="580" spans="58:58" x14ac:dyDescent="0.3">
      <c r="BF580" t="e">
        <f>solver_lhs76=#REF!</f>
        <v>#NAME?</v>
      </c>
    </row>
    <row r="581" spans="58:58" x14ac:dyDescent="0.3">
      <c r="BF581" t="e">
        <f>solver_lhs77=#REF!</f>
        <v>#NAME?</v>
      </c>
    </row>
    <row r="582" spans="58:58" x14ac:dyDescent="0.3">
      <c r="BF582" t="e">
        <f>solver_lhs78=#REF!</f>
        <v>#NAME?</v>
      </c>
    </row>
    <row r="583" spans="58:58" x14ac:dyDescent="0.3">
      <c r="BF583" t="e">
        <f>solver_lhs79=#REF!</f>
        <v>#NAME?</v>
      </c>
    </row>
    <row r="584" spans="58:58" x14ac:dyDescent="0.3">
      <c r="BF584" t="e">
        <f>solver_lhs8=#REF!</f>
        <v>#NAME?</v>
      </c>
    </row>
    <row r="585" spans="58:58" x14ac:dyDescent="0.3">
      <c r="BF585" t="e">
        <f>solver_lhs80=#REF!</f>
        <v>#NAME?</v>
      </c>
    </row>
    <row r="586" spans="58:58" x14ac:dyDescent="0.3">
      <c r="BF586" t="e">
        <f>solver_lhs81=#REF!</f>
        <v>#NAME?</v>
      </c>
    </row>
    <row r="587" spans="58:58" x14ac:dyDescent="0.3">
      <c r="BF587" t="e">
        <f>solver_lhs82=#REF!</f>
        <v>#NAME?</v>
      </c>
    </row>
    <row r="588" spans="58:58" x14ac:dyDescent="0.3">
      <c r="BF588" t="e">
        <f>solver_lhs83=#REF!</f>
        <v>#NAME?</v>
      </c>
    </row>
    <row r="589" spans="58:58" x14ac:dyDescent="0.3">
      <c r="BF589" t="e">
        <f>solver_lhs84=#REF!</f>
        <v>#NAME?</v>
      </c>
    </row>
    <row r="590" spans="58:58" x14ac:dyDescent="0.3">
      <c r="BF590" t="e">
        <f>solver_lhs85=#REF!</f>
        <v>#NAME?</v>
      </c>
    </row>
    <row r="591" spans="58:58" x14ac:dyDescent="0.3">
      <c r="BF591" t="e">
        <f>solver_lhs86=#REF!</f>
        <v>#NAME?</v>
      </c>
    </row>
    <row r="592" spans="58:58" x14ac:dyDescent="0.3">
      <c r="BF592" t="e">
        <f>solver_lhs87=#REF!</f>
        <v>#NAME?</v>
      </c>
    </row>
    <row r="593" spans="58:58" x14ac:dyDescent="0.3">
      <c r="BF593" t="e">
        <f>solver_lhs88=#REF!</f>
        <v>#NAME?</v>
      </c>
    </row>
    <row r="594" spans="58:58" x14ac:dyDescent="0.3">
      <c r="BF594" t="e">
        <f>solver_lhs89=#REF!</f>
        <v>#NAME?</v>
      </c>
    </row>
    <row r="595" spans="58:58" x14ac:dyDescent="0.3">
      <c r="BF595" t="e">
        <f>solver_lhs9=#REF!</f>
        <v>#NAME?</v>
      </c>
    </row>
    <row r="596" spans="58:58" x14ac:dyDescent="0.3">
      <c r="BF596" t="e">
        <f>solver_lhs90=#REF!</f>
        <v>#NAME?</v>
      </c>
    </row>
    <row r="597" spans="58:58" x14ac:dyDescent="0.3">
      <c r="BF597" t="e">
        <f>solver_lhs91=#REF!</f>
        <v>#NAME?</v>
      </c>
    </row>
    <row r="598" spans="58:58" x14ac:dyDescent="0.3">
      <c r="BF598" t="e">
        <f>solver_lhs92=#REF!</f>
        <v>#NAME?</v>
      </c>
    </row>
    <row r="599" spans="58:58" x14ac:dyDescent="0.3">
      <c r="BF599" t="e">
        <f>solver_lhs93=#REF!</f>
        <v>#NAME?</v>
      </c>
    </row>
    <row r="600" spans="58:58" x14ac:dyDescent="0.3">
      <c r="BF600" t="e">
        <f>solver_lhs94=#REF!</f>
        <v>#NAME?</v>
      </c>
    </row>
    <row r="601" spans="58:58" x14ac:dyDescent="0.3">
      <c r="BF601" t="e">
        <f>solver_lhs95=#REF!</f>
        <v>#NAME?</v>
      </c>
    </row>
    <row r="602" spans="58:58" x14ac:dyDescent="0.3">
      <c r="BF602" t="e">
        <f>solver_lhs96=#REF!</f>
        <v>#NAME?</v>
      </c>
    </row>
    <row r="603" spans="58:58" x14ac:dyDescent="0.3">
      <c r="BF603" t="e">
        <f>solver_lhs97=#REF!</f>
        <v>#NAME?</v>
      </c>
    </row>
    <row r="604" spans="58:58" x14ac:dyDescent="0.3">
      <c r="BF604" t="e">
        <f>solver_lhs98=#REF!</f>
        <v>#NAME?</v>
      </c>
    </row>
    <row r="605" spans="58:58" x14ac:dyDescent="0.3">
      <c r="BF605" t="e">
        <f>solver_lhs99=#REF!</f>
        <v>#NAME?</v>
      </c>
    </row>
    <row r="606" spans="58:58" x14ac:dyDescent="0.3">
      <c r="BF606" t="e">
        <f>solver_neg=1</f>
        <v>#NAME?</v>
      </c>
    </row>
    <row r="607" spans="58:58" x14ac:dyDescent="0.3">
      <c r="BF607" t="e">
        <f>solver_num=600</f>
        <v>#NAME?</v>
      </c>
    </row>
    <row r="608" spans="58:58" x14ac:dyDescent="0.3">
      <c r="BF608" t="e">
        <f>solver_opt=#REF!</f>
        <v>#NAME?</v>
      </c>
    </row>
    <row r="609" spans="58:58" x14ac:dyDescent="0.3">
      <c r="BF609" t="e">
        <f>solver_rel1=1</f>
        <v>#NAME?</v>
      </c>
    </row>
    <row r="610" spans="58:58" x14ac:dyDescent="0.3">
      <c r="BF610" t="e">
        <f>solver_rel10=1</f>
        <v>#NAME?</v>
      </c>
    </row>
    <row r="611" spans="58:58" x14ac:dyDescent="0.3">
      <c r="BF611" t="e">
        <f>solver_rel100=1</f>
        <v>#NAME?</v>
      </c>
    </row>
    <row r="612" spans="58:58" x14ac:dyDescent="0.3">
      <c r="BF612" t="e">
        <f>solver_rel101=3</f>
        <v>#NAME?</v>
      </c>
    </row>
    <row r="613" spans="58:58" x14ac:dyDescent="0.3">
      <c r="BF613" t="e">
        <f>solver_rel102=2</f>
        <v>#NAME?</v>
      </c>
    </row>
    <row r="614" spans="58:58" x14ac:dyDescent="0.3">
      <c r="BF614" t="e">
        <f>solver_rel103=1</f>
        <v>#NAME?</v>
      </c>
    </row>
    <row r="615" spans="58:58" x14ac:dyDescent="0.3">
      <c r="BF615" t="e">
        <f>solver_rel104=3</f>
        <v>#NAME?</v>
      </c>
    </row>
    <row r="616" spans="58:58" x14ac:dyDescent="0.3">
      <c r="BF616" t="e">
        <f>solver_rel105=2</f>
        <v>#NAME?</v>
      </c>
    </row>
    <row r="617" spans="58:58" x14ac:dyDescent="0.3">
      <c r="BF617" t="e">
        <f>solver_rel106=1</f>
        <v>#NAME?</v>
      </c>
    </row>
    <row r="618" spans="58:58" x14ac:dyDescent="0.3">
      <c r="BF618" t="e">
        <f>solver_rel107=3</f>
        <v>#NAME?</v>
      </c>
    </row>
    <row r="619" spans="58:58" x14ac:dyDescent="0.3">
      <c r="BF619" t="e">
        <f>solver_rel108=2</f>
        <v>#NAME?</v>
      </c>
    </row>
    <row r="620" spans="58:58" x14ac:dyDescent="0.3">
      <c r="BF620" t="e">
        <f>solver_rel109=1</f>
        <v>#NAME?</v>
      </c>
    </row>
    <row r="621" spans="58:58" x14ac:dyDescent="0.3">
      <c r="BF621" t="e">
        <f>solver_rel11=3</f>
        <v>#NAME?</v>
      </c>
    </row>
    <row r="622" spans="58:58" x14ac:dyDescent="0.3">
      <c r="BF622" t="e">
        <f>solver_rel110=3</f>
        <v>#NAME?</v>
      </c>
    </row>
    <row r="623" spans="58:58" x14ac:dyDescent="0.3">
      <c r="BF623" t="e">
        <f>solver_rel111=2</f>
        <v>#NAME?</v>
      </c>
    </row>
    <row r="624" spans="58:58" x14ac:dyDescent="0.3">
      <c r="BF624" t="e">
        <f>solver_rel112=1</f>
        <v>#NAME?</v>
      </c>
    </row>
    <row r="625" spans="58:58" x14ac:dyDescent="0.3">
      <c r="BF625" t="e">
        <f>solver_rel113=3</f>
        <v>#NAME?</v>
      </c>
    </row>
    <row r="626" spans="58:58" x14ac:dyDescent="0.3">
      <c r="BF626" t="e">
        <f>solver_rel114=2</f>
        <v>#NAME?</v>
      </c>
    </row>
    <row r="627" spans="58:58" x14ac:dyDescent="0.3">
      <c r="BF627" t="e">
        <f>solver_rel115=1</f>
        <v>#NAME?</v>
      </c>
    </row>
    <row r="628" spans="58:58" x14ac:dyDescent="0.3">
      <c r="BF628" t="e">
        <f>solver_rel116=3</f>
        <v>#NAME?</v>
      </c>
    </row>
    <row r="629" spans="58:58" x14ac:dyDescent="0.3">
      <c r="BF629" t="e">
        <f>solver_rel117=2</f>
        <v>#NAME?</v>
      </c>
    </row>
    <row r="630" spans="58:58" x14ac:dyDescent="0.3">
      <c r="BF630" t="e">
        <f>solver_rel118=1</f>
        <v>#NAME?</v>
      </c>
    </row>
    <row r="631" spans="58:58" x14ac:dyDescent="0.3">
      <c r="BF631" t="e">
        <f>solver_rel119=3</f>
        <v>#NAME?</v>
      </c>
    </row>
    <row r="632" spans="58:58" x14ac:dyDescent="0.3">
      <c r="BF632" t="e">
        <f>solver_rel12=2</f>
        <v>#NAME?</v>
      </c>
    </row>
    <row r="633" spans="58:58" x14ac:dyDescent="0.3">
      <c r="BF633" t="e">
        <f>solver_rel120=2</f>
        <v>#NAME?</v>
      </c>
    </row>
    <row r="634" spans="58:58" x14ac:dyDescent="0.3">
      <c r="BF634" t="e">
        <f>solver_rel121=1</f>
        <v>#NAME?</v>
      </c>
    </row>
    <row r="635" spans="58:58" x14ac:dyDescent="0.3">
      <c r="BF635" t="e">
        <f>solver_rel122=3</f>
        <v>#NAME?</v>
      </c>
    </row>
    <row r="636" spans="58:58" x14ac:dyDescent="0.3">
      <c r="BF636" t="e">
        <f>solver_rel123=2</f>
        <v>#NAME?</v>
      </c>
    </row>
    <row r="637" spans="58:58" x14ac:dyDescent="0.3">
      <c r="BF637" t="e">
        <f>solver_rel124=1</f>
        <v>#NAME?</v>
      </c>
    </row>
    <row r="638" spans="58:58" x14ac:dyDescent="0.3">
      <c r="BF638" t="e">
        <f>solver_rel125=3</f>
        <v>#NAME?</v>
      </c>
    </row>
    <row r="639" spans="58:58" x14ac:dyDescent="0.3">
      <c r="BF639" t="e">
        <f>solver_rel126=2</f>
        <v>#NAME?</v>
      </c>
    </row>
    <row r="640" spans="58:58" x14ac:dyDescent="0.3">
      <c r="BF640" t="e">
        <f>solver_rel127=1</f>
        <v>#NAME?</v>
      </c>
    </row>
    <row r="641" spans="58:58" x14ac:dyDescent="0.3">
      <c r="BF641" t="e">
        <f>solver_rel128=3</f>
        <v>#NAME?</v>
      </c>
    </row>
    <row r="642" spans="58:58" x14ac:dyDescent="0.3">
      <c r="BF642" t="e">
        <f>solver_rel129=2</f>
        <v>#NAME?</v>
      </c>
    </row>
    <row r="643" spans="58:58" x14ac:dyDescent="0.3">
      <c r="BF643" t="e">
        <f>solver_rel13=1</f>
        <v>#NAME?</v>
      </c>
    </row>
    <row r="644" spans="58:58" x14ac:dyDescent="0.3">
      <c r="BF644" t="e">
        <f>solver_rel130=1</f>
        <v>#NAME?</v>
      </c>
    </row>
    <row r="645" spans="58:58" x14ac:dyDescent="0.3">
      <c r="BF645" t="e">
        <f>solver_rel131=3</f>
        <v>#NAME?</v>
      </c>
    </row>
    <row r="646" spans="58:58" x14ac:dyDescent="0.3">
      <c r="BF646" t="e">
        <f>solver_rel132=2</f>
        <v>#NAME?</v>
      </c>
    </row>
    <row r="647" spans="58:58" x14ac:dyDescent="0.3">
      <c r="BF647" t="e">
        <f>solver_rel133=1</f>
        <v>#NAME?</v>
      </c>
    </row>
    <row r="648" spans="58:58" x14ac:dyDescent="0.3">
      <c r="BF648" t="e">
        <f>solver_rel134=3</f>
        <v>#NAME?</v>
      </c>
    </row>
    <row r="649" spans="58:58" x14ac:dyDescent="0.3">
      <c r="BF649" t="e">
        <f>solver_rel135=2</f>
        <v>#NAME?</v>
      </c>
    </row>
    <row r="650" spans="58:58" x14ac:dyDescent="0.3">
      <c r="BF650" t="e">
        <f>solver_rel136=1</f>
        <v>#NAME?</v>
      </c>
    </row>
    <row r="651" spans="58:58" x14ac:dyDescent="0.3">
      <c r="BF651" t="e">
        <f>solver_rel137=3</f>
        <v>#NAME?</v>
      </c>
    </row>
    <row r="652" spans="58:58" x14ac:dyDescent="0.3">
      <c r="BF652" t="e">
        <f>solver_rel138=2</f>
        <v>#NAME?</v>
      </c>
    </row>
    <row r="653" spans="58:58" x14ac:dyDescent="0.3">
      <c r="BF653" t="e">
        <f>solver_rel139=1</f>
        <v>#NAME?</v>
      </c>
    </row>
    <row r="654" spans="58:58" x14ac:dyDescent="0.3">
      <c r="BF654" t="e">
        <f>solver_rel14=3</f>
        <v>#NAME?</v>
      </c>
    </row>
    <row r="655" spans="58:58" x14ac:dyDescent="0.3">
      <c r="BF655" t="e">
        <f>solver_rel140=3</f>
        <v>#NAME?</v>
      </c>
    </row>
    <row r="656" spans="58:58" x14ac:dyDescent="0.3">
      <c r="BF656" t="e">
        <f>solver_rel141=2</f>
        <v>#NAME?</v>
      </c>
    </row>
    <row r="657" spans="58:58" x14ac:dyDescent="0.3">
      <c r="BF657" t="e">
        <f>solver_rel142=1</f>
        <v>#NAME?</v>
      </c>
    </row>
    <row r="658" spans="58:58" x14ac:dyDescent="0.3">
      <c r="BF658" t="e">
        <f>solver_rel143=3</f>
        <v>#NAME?</v>
      </c>
    </row>
    <row r="659" spans="58:58" x14ac:dyDescent="0.3">
      <c r="BF659" t="e">
        <f>solver_rel144=2</f>
        <v>#NAME?</v>
      </c>
    </row>
    <row r="660" spans="58:58" x14ac:dyDescent="0.3">
      <c r="BF660" t="e">
        <f>solver_rel145=1</f>
        <v>#NAME?</v>
      </c>
    </row>
    <row r="661" spans="58:58" x14ac:dyDescent="0.3">
      <c r="BF661" t="e">
        <f>solver_rel146=3</f>
        <v>#NAME?</v>
      </c>
    </row>
    <row r="662" spans="58:58" x14ac:dyDescent="0.3">
      <c r="BF662" t="e">
        <f>solver_rel147=2</f>
        <v>#NAME?</v>
      </c>
    </row>
    <row r="663" spans="58:58" x14ac:dyDescent="0.3">
      <c r="BF663" t="e">
        <f>solver_rel148=1</f>
        <v>#NAME?</v>
      </c>
    </row>
    <row r="664" spans="58:58" x14ac:dyDescent="0.3">
      <c r="BF664" t="e">
        <f>solver_rel149=3</f>
        <v>#NAME?</v>
      </c>
    </row>
    <row r="665" spans="58:58" x14ac:dyDescent="0.3">
      <c r="BF665" t="e">
        <f>solver_rel15=2</f>
        <v>#NAME?</v>
      </c>
    </row>
    <row r="666" spans="58:58" x14ac:dyDescent="0.3">
      <c r="BF666" t="e">
        <f>solver_rel150=2</f>
        <v>#NAME?</v>
      </c>
    </row>
    <row r="667" spans="58:58" x14ac:dyDescent="0.3">
      <c r="BF667" t="e">
        <f>solver_rel151=1</f>
        <v>#NAME?</v>
      </c>
    </row>
    <row r="668" spans="58:58" x14ac:dyDescent="0.3">
      <c r="BF668" t="e">
        <f>solver_rel152=3</f>
        <v>#NAME?</v>
      </c>
    </row>
    <row r="669" spans="58:58" x14ac:dyDescent="0.3">
      <c r="BF669" t="e">
        <f>solver_rel153=2</f>
        <v>#NAME?</v>
      </c>
    </row>
    <row r="670" spans="58:58" x14ac:dyDescent="0.3">
      <c r="BF670" t="e">
        <f>solver_rel154=1</f>
        <v>#NAME?</v>
      </c>
    </row>
    <row r="671" spans="58:58" x14ac:dyDescent="0.3">
      <c r="BF671" t="e">
        <f>solver_rel155=3</f>
        <v>#NAME?</v>
      </c>
    </row>
    <row r="672" spans="58:58" x14ac:dyDescent="0.3">
      <c r="BF672" t="e">
        <f>solver_rel156=2</f>
        <v>#NAME?</v>
      </c>
    </row>
    <row r="673" spans="58:58" x14ac:dyDescent="0.3">
      <c r="BF673" t="e">
        <f>solver_rel157=1</f>
        <v>#NAME?</v>
      </c>
    </row>
    <row r="674" spans="58:58" x14ac:dyDescent="0.3">
      <c r="BF674" t="e">
        <f>solver_rel158=3</f>
        <v>#NAME?</v>
      </c>
    </row>
    <row r="675" spans="58:58" x14ac:dyDescent="0.3">
      <c r="BF675" t="e">
        <f>solver_rel159=2</f>
        <v>#NAME?</v>
      </c>
    </row>
    <row r="676" spans="58:58" x14ac:dyDescent="0.3">
      <c r="BF676" t="e">
        <f>solver_rel16=1</f>
        <v>#NAME?</v>
      </c>
    </row>
    <row r="677" spans="58:58" x14ac:dyDescent="0.3">
      <c r="BF677" t="e">
        <f>solver_rel160=1</f>
        <v>#NAME?</v>
      </c>
    </row>
    <row r="678" spans="58:58" x14ac:dyDescent="0.3">
      <c r="BF678" t="e">
        <f>solver_rel161=3</f>
        <v>#NAME?</v>
      </c>
    </row>
    <row r="679" spans="58:58" x14ac:dyDescent="0.3">
      <c r="BF679" t="e">
        <f>solver_rel162=2</f>
        <v>#NAME?</v>
      </c>
    </row>
    <row r="680" spans="58:58" x14ac:dyDescent="0.3">
      <c r="BF680" t="e">
        <f>solver_rel163=1</f>
        <v>#NAME?</v>
      </c>
    </row>
    <row r="681" spans="58:58" x14ac:dyDescent="0.3">
      <c r="BF681" t="e">
        <f>solver_rel164=3</f>
        <v>#NAME?</v>
      </c>
    </row>
    <row r="682" spans="58:58" x14ac:dyDescent="0.3">
      <c r="BF682" t="e">
        <f>solver_rel165=2</f>
        <v>#NAME?</v>
      </c>
    </row>
    <row r="683" spans="58:58" x14ac:dyDescent="0.3">
      <c r="BF683" t="e">
        <f>solver_rel166=1</f>
        <v>#NAME?</v>
      </c>
    </row>
    <row r="684" spans="58:58" x14ac:dyDescent="0.3">
      <c r="BF684" t="e">
        <f>solver_rel167=3</f>
        <v>#NAME?</v>
      </c>
    </row>
    <row r="685" spans="58:58" x14ac:dyDescent="0.3">
      <c r="BF685" t="e">
        <f>solver_rel168=2</f>
        <v>#NAME?</v>
      </c>
    </row>
    <row r="686" spans="58:58" x14ac:dyDescent="0.3">
      <c r="BF686" t="e">
        <f>solver_rel169=1</f>
        <v>#NAME?</v>
      </c>
    </row>
    <row r="687" spans="58:58" x14ac:dyDescent="0.3">
      <c r="BF687" t="e">
        <f>solver_rel17=3</f>
        <v>#NAME?</v>
      </c>
    </row>
    <row r="688" spans="58:58" x14ac:dyDescent="0.3">
      <c r="BF688" t="e">
        <f>solver_rel170=3</f>
        <v>#NAME?</v>
      </c>
    </row>
    <row r="689" spans="58:58" x14ac:dyDescent="0.3">
      <c r="BF689" t="e">
        <f>solver_rel171=2</f>
        <v>#NAME?</v>
      </c>
    </row>
    <row r="690" spans="58:58" x14ac:dyDescent="0.3">
      <c r="BF690" t="e">
        <f>solver_rel172=1</f>
        <v>#NAME?</v>
      </c>
    </row>
    <row r="691" spans="58:58" x14ac:dyDescent="0.3">
      <c r="BF691" t="e">
        <f>solver_rel173=3</f>
        <v>#NAME?</v>
      </c>
    </row>
    <row r="692" spans="58:58" x14ac:dyDescent="0.3">
      <c r="BF692" t="e">
        <f>solver_rel174=2</f>
        <v>#NAME?</v>
      </c>
    </row>
    <row r="693" spans="58:58" x14ac:dyDescent="0.3">
      <c r="BF693" t="e">
        <f>solver_rel175=1</f>
        <v>#NAME?</v>
      </c>
    </row>
    <row r="694" spans="58:58" x14ac:dyDescent="0.3">
      <c r="BF694" t="e">
        <f>solver_rel176=3</f>
        <v>#NAME?</v>
      </c>
    </row>
    <row r="695" spans="58:58" x14ac:dyDescent="0.3">
      <c r="BF695" t="e">
        <f>solver_rel177=2</f>
        <v>#NAME?</v>
      </c>
    </row>
    <row r="696" spans="58:58" x14ac:dyDescent="0.3">
      <c r="BF696" t="e">
        <f>solver_rel178=1</f>
        <v>#NAME?</v>
      </c>
    </row>
    <row r="697" spans="58:58" x14ac:dyDescent="0.3">
      <c r="BF697" t="e">
        <f>solver_rel179=3</f>
        <v>#NAME?</v>
      </c>
    </row>
    <row r="698" spans="58:58" x14ac:dyDescent="0.3">
      <c r="BF698" t="e">
        <f>solver_rel18=2</f>
        <v>#NAME?</v>
      </c>
    </row>
    <row r="699" spans="58:58" x14ac:dyDescent="0.3">
      <c r="BF699" t="e">
        <f>solver_rel180=2</f>
        <v>#NAME?</v>
      </c>
    </row>
    <row r="700" spans="58:58" x14ac:dyDescent="0.3">
      <c r="BF700" t="e">
        <f>solver_rel181=1</f>
        <v>#NAME?</v>
      </c>
    </row>
    <row r="701" spans="58:58" x14ac:dyDescent="0.3">
      <c r="BF701" t="e">
        <f>solver_rel182=3</f>
        <v>#NAME?</v>
      </c>
    </row>
    <row r="702" spans="58:58" x14ac:dyDescent="0.3">
      <c r="BF702" t="e">
        <f>solver_rel183=2</f>
        <v>#NAME?</v>
      </c>
    </row>
    <row r="703" spans="58:58" x14ac:dyDescent="0.3">
      <c r="BF703" t="e">
        <f>solver_rel184=1</f>
        <v>#NAME?</v>
      </c>
    </row>
    <row r="704" spans="58:58" x14ac:dyDescent="0.3">
      <c r="BF704" t="e">
        <f>solver_rel185=3</f>
        <v>#NAME?</v>
      </c>
    </row>
    <row r="705" spans="58:58" x14ac:dyDescent="0.3">
      <c r="BF705" t="e">
        <f>solver_rel186=2</f>
        <v>#NAME?</v>
      </c>
    </row>
    <row r="706" spans="58:58" x14ac:dyDescent="0.3">
      <c r="BF706" t="e">
        <f>solver_rel187=1</f>
        <v>#NAME?</v>
      </c>
    </row>
    <row r="707" spans="58:58" x14ac:dyDescent="0.3">
      <c r="BF707" t="e">
        <f>solver_rel188=3</f>
        <v>#NAME?</v>
      </c>
    </row>
    <row r="708" spans="58:58" x14ac:dyDescent="0.3">
      <c r="BF708" t="e">
        <f>solver_rel189=2</f>
        <v>#NAME?</v>
      </c>
    </row>
    <row r="709" spans="58:58" x14ac:dyDescent="0.3">
      <c r="BF709" t="e">
        <f>solver_rel19=1</f>
        <v>#NAME?</v>
      </c>
    </row>
    <row r="710" spans="58:58" x14ac:dyDescent="0.3">
      <c r="BF710" t="e">
        <f>solver_rel190=1</f>
        <v>#NAME?</v>
      </c>
    </row>
    <row r="711" spans="58:58" x14ac:dyDescent="0.3">
      <c r="BF711" t="e">
        <f>solver_rel191=3</f>
        <v>#NAME?</v>
      </c>
    </row>
    <row r="712" spans="58:58" x14ac:dyDescent="0.3">
      <c r="BF712" t="e">
        <f>solver_rel192=2</f>
        <v>#NAME?</v>
      </c>
    </row>
    <row r="713" spans="58:58" x14ac:dyDescent="0.3">
      <c r="BF713" t="e">
        <f>solver_rel193=1</f>
        <v>#NAME?</v>
      </c>
    </row>
    <row r="714" spans="58:58" x14ac:dyDescent="0.3">
      <c r="BF714" t="e">
        <f>solver_rel194=3</f>
        <v>#NAME?</v>
      </c>
    </row>
    <row r="715" spans="58:58" x14ac:dyDescent="0.3">
      <c r="BF715" t="e">
        <f>solver_rel195=2</f>
        <v>#NAME?</v>
      </c>
    </row>
    <row r="716" spans="58:58" x14ac:dyDescent="0.3">
      <c r="BF716" t="e">
        <f>solver_rel196=1</f>
        <v>#NAME?</v>
      </c>
    </row>
    <row r="717" spans="58:58" x14ac:dyDescent="0.3">
      <c r="BF717" t="e">
        <f>solver_rel197=3</f>
        <v>#NAME?</v>
      </c>
    </row>
    <row r="718" spans="58:58" x14ac:dyDescent="0.3">
      <c r="BF718" t="e">
        <f>solver_rel198=2</f>
        <v>#NAME?</v>
      </c>
    </row>
    <row r="719" spans="58:58" x14ac:dyDescent="0.3">
      <c r="BF719" t="e">
        <f>solver_rel199=1</f>
        <v>#NAME?</v>
      </c>
    </row>
    <row r="720" spans="58:58" x14ac:dyDescent="0.3">
      <c r="BF720" t="e">
        <f>solver_rel2=3</f>
        <v>#NAME?</v>
      </c>
    </row>
    <row r="721" spans="58:58" x14ac:dyDescent="0.3">
      <c r="BF721" t="e">
        <f>solver_rel20=3</f>
        <v>#NAME?</v>
      </c>
    </row>
    <row r="722" spans="58:58" x14ac:dyDescent="0.3">
      <c r="BF722" t="e">
        <f>solver_rel200=3</f>
        <v>#NAME?</v>
      </c>
    </row>
    <row r="723" spans="58:58" x14ac:dyDescent="0.3">
      <c r="BF723" t="e">
        <f>solver_rel201=2</f>
        <v>#NAME?</v>
      </c>
    </row>
    <row r="724" spans="58:58" x14ac:dyDescent="0.3">
      <c r="BF724" t="e">
        <f>solver_rel202=1</f>
        <v>#NAME?</v>
      </c>
    </row>
    <row r="725" spans="58:58" x14ac:dyDescent="0.3">
      <c r="BF725" t="e">
        <f>solver_rel203=3</f>
        <v>#NAME?</v>
      </c>
    </row>
    <row r="726" spans="58:58" x14ac:dyDescent="0.3">
      <c r="BF726" t="e">
        <f>solver_rel204=2</f>
        <v>#NAME?</v>
      </c>
    </row>
    <row r="727" spans="58:58" x14ac:dyDescent="0.3">
      <c r="BF727" t="e">
        <f>solver_rel205=1</f>
        <v>#NAME?</v>
      </c>
    </row>
    <row r="728" spans="58:58" x14ac:dyDescent="0.3">
      <c r="BF728" t="e">
        <f>solver_rel206=3</f>
        <v>#NAME?</v>
      </c>
    </row>
    <row r="729" spans="58:58" x14ac:dyDescent="0.3">
      <c r="BF729" t="e">
        <f>solver_rel207=2</f>
        <v>#NAME?</v>
      </c>
    </row>
    <row r="730" spans="58:58" x14ac:dyDescent="0.3">
      <c r="BF730" t="e">
        <f>solver_rel208=1</f>
        <v>#NAME?</v>
      </c>
    </row>
    <row r="731" spans="58:58" x14ac:dyDescent="0.3">
      <c r="BF731" t="e">
        <f>solver_rel209=3</f>
        <v>#NAME?</v>
      </c>
    </row>
    <row r="732" spans="58:58" x14ac:dyDescent="0.3">
      <c r="BF732" t="e">
        <f>solver_rel21=2</f>
        <v>#NAME?</v>
      </c>
    </row>
    <row r="733" spans="58:58" x14ac:dyDescent="0.3">
      <c r="BF733" t="e">
        <f>solver_rel210=2</f>
        <v>#NAME?</v>
      </c>
    </row>
    <row r="734" spans="58:58" x14ac:dyDescent="0.3">
      <c r="BF734" t="e">
        <f>solver_rel211=1</f>
        <v>#NAME?</v>
      </c>
    </row>
    <row r="735" spans="58:58" x14ac:dyDescent="0.3">
      <c r="BF735" t="e">
        <f>solver_rel212=3</f>
        <v>#NAME?</v>
      </c>
    </row>
    <row r="736" spans="58:58" x14ac:dyDescent="0.3">
      <c r="BF736" t="e">
        <f>solver_rel213=2</f>
        <v>#NAME?</v>
      </c>
    </row>
    <row r="737" spans="58:58" x14ac:dyDescent="0.3">
      <c r="BF737" t="e">
        <f>solver_rel214=1</f>
        <v>#NAME?</v>
      </c>
    </row>
    <row r="738" spans="58:58" x14ac:dyDescent="0.3">
      <c r="BF738" t="e">
        <f>solver_rel215=3</f>
        <v>#NAME?</v>
      </c>
    </row>
    <row r="739" spans="58:58" x14ac:dyDescent="0.3">
      <c r="BF739" t="e">
        <f>solver_rel216=2</f>
        <v>#NAME?</v>
      </c>
    </row>
    <row r="740" spans="58:58" x14ac:dyDescent="0.3">
      <c r="BF740" t="e">
        <f>solver_rel217=1</f>
        <v>#NAME?</v>
      </c>
    </row>
    <row r="741" spans="58:58" x14ac:dyDescent="0.3">
      <c r="BF741" t="e">
        <f>solver_rel218=3</f>
        <v>#NAME?</v>
      </c>
    </row>
    <row r="742" spans="58:58" x14ac:dyDescent="0.3">
      <c r="BF742" t="e">
        <f>solver_rel219=2</f>
        <v>#NAME?</v>
      </c>
    </row>
    <row r="743" spans="58:58" x14ac:dyDescent="0.3">
      <c r="BF743" t="e">
        <f>solver_rel22=1</f>
        <v>#NAME?</v>
      </c>
    </row>
    <row r="744" spans="58:58" x14ac:dyDescent="0.3">
      <c r="BF744" t="e">
        <f>solver_rel220=1</f>
        <v>#NAME?</v>
      </c>
    </row>
    <row r="745" spans="58:58" x14ac:dyDescent="0.3">
      <c r="BF745" t="e">
        <f>solver_rel221=3</f>
        <v>#NAME?</v>
      </c>
    </row>
    <row r="746" spans="58:58" x14ac:dyDescent="0.3">
      <c r="BF746" t="e">
        <f>solver_rel222=2</f>
        <v>#NAME?</v>
      </c>
    </row>
    <row r="747" spans="58:58" x14ac:dyDescent="0.3">
      <c r="BF747" t="e">
        <f>solver_rel223=1</f>
        <v>#NAME?</v>
      </c>
    </row>
    <row r="748" spans="58:58" x14ac:dyDescent="0.3">
      <c r="BF748" t="e">
        <f>solver_rel224=3</f>
        <v>#NAME?</v>
      </c>
    </row>
    <row r="749" spans="58:58" x14ac:dyDescent="0.3">
      <c r="BF749" t="e">
        <f>solver_rel225=2</f>
        <v>#NAME?</v>
      </c>
    </row>
    <row r="750" spans="58:58" x14ac:dyDescent="0.3">
      <c r="BF750" t="e">
        <f>solver_rel226=1</f>
        <v>#NAME?</v>
      </c>
    </row>
    <row r="751" spans="58:58" x14ac:dyDescent="0.3">
      <c r="BF751" t="e">
        <f>solver_rel227=3</f>
        <v>#NAME?</v>
      </c>
    </row>
    <row r="752" spans="58:58" x14ac:dyDescent="0.3">
      <c r="BF752" t="e">
        <f>solver_rel228=2</f>
        <v>#NAME?</v>
      </c>
    </row>
    <row r="753" spans="58:58" x14ac:dyDescent="0.3">
      <c r="BF753" t="e">
        <f>solver_rel229=1</f>
        <v>#NAME?</v>
      </c>
    </row>
    <row r="754" spans="58:58" x14ac:dyDescent="0.3">
      <c r="BF754" t="e">
        <f>solver_rel23=3</f>
        <v>#NAME?</v>
      </c>
    </row>
    <row r="755" spans="58:58" x14ac:dyDescent="0.3">
      <c r="BF755" t="e">
        <f>solver_rel230=3</f>
        <v>#NAME?</v>
      </c>
    </row>
    <row r="756" spans="58:58" x14ac:dyDescent="0.3">
      <c r="BF756" t="e">
        <f>solver_rel231=2</f>
        <v>#NAME?</v>
      </c>
    </row>
    <row r="757" spans="58:58" x14ac:dyDescent="0.3">
      <c r="BF757" t="e">
        <f>solver_rel232=1</f>
        <v>#NAME?</v>
      </c>
    </row>
    <row r="758" spans="58:58" x14ac:dyDescent="0.3">
      <c r="BF758" t="e">
        <f>solver_rel233=3</f>
        <v>#NAME?</v>
      </c>
    </row>
    <row r="759" spans="58:58" x14ac:dyDescent="0.3">
      <c r="BF759" t="e">
        <f>solver_rel234=2</f>
        <v>#NAME?</v>
      </c>
    </row>
    <row r="760" spans="58:58" x14ac:dyDescent="0.3">
      <c r="BF760" t="e">
        <f>solver_rel235=1</f>
        <v>#NAME?</v>
      </c>
    </row>
    <row r="761" spans="58:58" x14ac:dyDescent="0.3">
      <c r="BF761" t="e">
        <f>solver_rel236=3</f>
        <v>#NAME?</v>
      </c>
    </row>
    <row r="762" spans="58:58" x14ac:dyDescent="0.3">
      <c r="BF762" t="e">
        <f>solver_rel237=2</f>
        <v>#NAME?</v>
      </c>
    </row>
    <row r="763" spans="58:58" x14ac:dyDescent="0.3">
      <c r="BF763" t="e">
        <f>solver_rel238=1</f>
        <v>#NAME?</v>
      </c>
    </row>
    <row r="764" spans="58:58" x14ac:dyDescent="0.3">
      <c r="BF764" t="e">
        <f>solver_rel239=3</f>
        <v>#NAME?</v>
      </c>
    </row>
    <row r="765" spans="58:58" x14ac:dyDescent="0.3">
      <c r="BF765" t="e">
        <f>solver_rel24=2</f>
        <v>#NAME?</v>
      </c>
    </row>
    <row r="766" spans="58:58" x14ac:dyDescent="0.3">
      <c r="BF766" t="e">
        <f>solver_rel240=2</f>
        <v>#NAME?</v>
      </c>
    </row>
    <row r="767" spans="58:58" x14ac:dyDescent="0.3">
      <c r="BF767" t="e">
        <f>solver_rel241=1</f>
        <v>#NAME?</v>
      </c>
    </row>
    <row r="768" spans="58:58" x14ac:dyDescent="0.3">
      <c r="BF768" t="e">
        <f>solver_rel242=3</f>
        <v>#NAME?</v>
      </c>
    </row>
    <row r="769" spans="58:58" x14ac:dyDescent="0.3">
      <c r="BF769" t="e">
        <f>solver_rel243=2</f>
        <v>#NAME?</v>
      </c>
    </row>
    <row r="770" spans="58:58" x14ac:dyDescent="0.3">
      <c r="BF770" t="e">
        <f>solver_rel244=1</f>
        <v>#NAME?</v>
      </c>
    </row>
    <row r="771" spans="58:58" x14ac:dyDescent="0.3">
      <c r="BF771" t="e">
        <f>solver_rel245=3</f>
        <v>#NAME?</v>
      </c>
    </row>
    <row r="772" spans="58:58" x14ac:dyDescent="0.3">
      <c r="BF772" t="e">
        <f>solver_rel246=2</f>
        <v>#NAME?</v>
      </c>
    </row>
    <row r="773" spans="58:58" x14ac:dyDescent="0.3">
      <c r="BF773" t="e">
        <f>solver_rel247=1</f>
        <v>#NAME?</v>
      </c>
    </row>
    <row r="774" spans="58:58" x14ac:dyDescent="0.3">
      <c r="BF774" t="e">
        <f>solver_rel248=3</f>
        <v>#NAME?</v>
      </c>
    </row>
    <row r="775" spans="58:58" x14ac:dyDescent="0.3">
      <c r="BF775" t="e">
        <f>solver_rel249=2</f>
        <v>#NAME?</v>
      </c>
    </row>
    <row r="776" spans="58:58" x14ac:dyDescent="0.3">
      <c r="BF776" t="e">
        <f>solver_rel25=1</f>
        <v>#NAME?</v>
      </c>
    </row>
    <row r="777" spans="58:58" x14ac:dyDescent="0.3">
      <c r="BF777" t="e">
        <f>solver_rel250=1</f>
        <v>#NAME?</v>
      </c>
    </row>
    <row r="778" spans="58:58" x14ac:dyDescent="0.3">
      <c r="BF778" t="e">
        <f>solver_rel251=3</f>
        <v>#NAME?</v>
      </c>
    </row>
    <row r="779" spans="58:58" x14ac:dyDescent="0.3">
      <c r="BF779" t="e">
        <f>solver_rel252=2</f>
        <v>#NAME?</v>
      </c>
    </row>
    <row r="780" spans="58:58" x14ac:dyDescent="0.3">
      <c r="BF780" t="e">
        <f>solver_rel253=1</f>
        <v>#NAME?</v>
      </c>
    </row>
    <row r="781" spans="58:58" x14ac:dyDescent="0.3">
      <c r="BF781" t="e">
        <f>solver_rel254=3</f>
        <v>#NAME?</v>
      </c>
    </row>
    <row r="782" spans="58:58" x14ac:dyDescent="0.3">
      <c r="BF782" t="e">
        <f>solver_rel255=2</f>
        <v>#NAME?</v>
      </c>
    </row>
    <row r="783" spans="58:58" x14ac:dyDescent="0.3">
      <c r="BF783" t="e">
        <f>solver_rel256=1</f>
        <v>#NAME?</v>
      </c>
    </row>
    <row r="784" spans="58:58" x14ac:dyDescent="0.3">
      <c r="BF784" t="e">
        <f>solver_rel257=3</f>
        <v>#NAME?</v>
      </c>
    </row>
    <row r="785" spans="58:58" x14ac:dyDescent="0.3">
      <c r="BF785" t="e">
        <f>solver_rel258=2</f>
        <v>#NAME?</v>
      </c>
    </row>
    <row r="786" spans="58:58" x14ac:dyDescent="0.3">
      <c r="BF786" t="e">
        <f>solver_rel259=1</f>
        <v>#NAME?</v>
      </c>
    </row>
    <row r="787" spans="58:58" x14ac:dyDescent="0.3">
      <c r="BF787" t="e">
        <f>solver_rel26=3</f>
        <v>#NAME?</v>
      </c>
    </row>
    <row r="788" spans="58:58" x14ac:dyDescent="0.3">
      <c r="BF788" t="e">
        <f>solver_rel260=3</f>
        <v>#NAME?</v>
      </c>
    </row>
    <row r="789" spans="58:58" x14ac:dyDescent="0.3">
      <c r="BF789" t="e">
        <f>solver_rel261=2</f>
        <v>#NAME?</v>
      </c>
    </row>
    <row r="790" spans="58:58" x14ac:dyDescent="0.3">
      <c r="BF790" t="e">
        <f>solver_rel262=1</f>
        <v>#NAME?</v>
      </c>
    </row>
    <row r="791" spans="58:58" x14ac:dyDescent="0.3">
      <c r="BF791" t="e">
        <f>solver_rel263=3</f>
        <v>#NAME?</v>
      </c>
    </row>
    <row r="792" spans="58:58" x14ac:dyDescent="0.3">
      <c r="BF792" t="e">
        <f>solver_rel264=2</f>
        <v>#NAME?</v>
      </c>
    </row>
    <row r="793" spans="58:58" x14ac:dyDescent="0.3">
      <c r="BF793" t="e">
        <f>solver_rel265=1</f>
        <v>#NAME?</v>
      </c>
    </row>
    <row r="794" spans="58:58" x14ac:dyDescent="0.3">
      <c r="BF794" t="e">
        <f>solver_rel266=3</f>
        <v>#NAME?</v>
      </c>
    </row>
    <row r="795" spans="58:58" x14ac:dyDescent="0.3">
      <c r="BF795" t="e">
        <f>solver_rel267=2</f>
        <v>#NAME?</v>
      </c>
    </row>
    <row r="796" spans="58:58" x14ac:dyDescent="0.3">
      <c r="BF796" t="e">
        <f>solver_rel268=1</f>
        <v>#NAME?</v>
      </c>
    </row>
    <row r="797" spans="58:58" x14ac:dyDescent="0.3">
      <c r="BF797" t="e">
        <f>solver_rel269=3</f>
        <v>#NAME?</v>
      </c>
    </row>
    <row r="798" spans="58:58" x14ac:dyDescent="0.3">
      <c r="BF798" t="e">
        <f>solver_rel27=2</f>
        <v>#NAME?</v>
      </c>
    </row>
    <row r="799" spans="58:58" x14ac:dyDescent="0.3">
      <c r="BF799" t="e">
        <f>solver_rel270=2</f>
        <v>#NAME?</v>
      </c>
    </row>
    <row r="800" spans="58:58" x14ac:dyDescent="0.3">
      <c r="BF800" t="e">
        <f>solver_rel271=1</f>
        <v>#NAME?</v>
      </c>
    </row>
    <row r="801" spans="58:58" x14ac:dyDescent="0.3">
      <c r="BF801" t="e">
        <f>solver_rel272=3</f>
        <v>#NAME?</v>
      </c>
    </row>
    <row r="802" spans="58:58" x14ac:dyDescent="0.3">
      <c r="BF802" t="e">
        <f>solver_rel273=2</f>
        <v>#NAME?</v>
      </c>
    </row>
    <row r="803" spans="58:58" x14ac:dyDescent="0.3">
      <c r="BF803" t="e">
        <f>solver_rel274=1</f>
        <v>#NAME?</v>
      </c>
    </row>
    <row r="804" spans="58:58" x14ac:dyDescent="0.3">
      <c r="BF804" t="e">
        <f>solver_rel275=3</f>
        <v>#NAME?</v>
      </c>
    </row>
    <row r="805" spans="58:58" x14ac:dyDescent="0.3">
      <c r="BF805" t="e">
        <f>solver_rel276=2</f>
        <v>#NAME?</v>
      </c>
    </row>
    <row r="806" spans="58:58" x14ac:dyDescent="0.3">
      <c r="BF806" t="e">
        <f>solver_rel277=1</f>
        <v>#NAME?</v>
      </c>
    </row>
    <row r="807" spans="58:58" x14ac:dyDescent="0.3">
      <c r="BF807" t="e">
        <f>solver_rel278=3</f>
        <v>#NAME?</v>
      </c>
    </row>
    <row r="808" spans="58:58" x14ac:dyDescent="0.3">
      <c r="BF808" t="e">
        <f>solver_rel279=2</f>
        <v>#NAME?</v>
      </c>
    </row>
    <row r="809" spans="58:58" x14ac:dyDescent="0.3">
      <c r="BF809" t="e">
        <f>solver_rel28=1</f>
        <v>#NAME?</v>
      </c>
    </row>
    <row r="810" spans="58:58" x14ac:dyDescent="0.3">
      <c r="BF810" t="e">
        <f>solver_rel280=1</f>
        <v>#NAME?</v>
      </c>
    </row>
    <row r="811" spans="58:58" x14ac:dyDescent="0.3">
      <c r="BF811" t="e">
        <f>solver_rel281=3</f>
        <v>#NAME?</v>
      </c>
    </row>
    <row r="812" spans="58:58" x14ac:dyDescent="0.3">
      <c r="BF812" t="e">
        <f>solver_rel282=2</f>
        <v>#NAME?</v>
      </c>
    </row>
    <row r="813" spans="58:58" x14ac:dyDescent="0.3">
      <c r="BF813" t="e">
        <f>solver_rel283=1</f>
        <v>#NAME?</v>
      </c>
    </row>
    <row r="814" spans="58:58" x14ac:dyDescent="0.3">
      <c r="BF814" t="e">
        <f>solver_rel284=3</f>
        <v>#NAME?</v>
      </c>
    </row>
    <row r="815" spans="58:58" x14ac:dyDescent="0.3">
      <c r="BF815" t="e">
        <f>solver_rel285=2</f>
        <v>#NAME?</v>
      </c>
    </row>
    <row r="816" spans="58:58" x14ac:dyDescent="0.3">
      <c r="BF816" t="e">
        <f>solver_rel286=1</f>
        <v>#NAME?</v>
      </c>
    </row>
    <row r="817" spans="58:58" x14ac:dyDescent="0.3">
      <c r="BF817" t="e">
        <f>solver_rel287=3</f>
        <v>#NAME?</v>
      </c>
    </row>
    <row r="818" spans="58:58" x14ac:dyDescent="0.3">
      <c r="BF818" t="e">
        <f>solver_rel288=2</f>
        <v>#NAME?</v>
      </c>
    </row>
    <row r="819" spans="58:58" x14ac:dyDescent="0.3">
      <c r="BF819" t="e">
        <f>solver_rel289=1</f>
        <v>#NAME?</v>
      </c>
    </row>
    <row r="820" spans="58:58" x14ac:dyDescent="0.3">
      <c r="BF820" t="e">
        <f>solver_rel29=3</f>
        <v>#NAME?</v>
      </c>
    </row>
    <row r="821" spans="58:58" x14ac:dyDescent="0.3">
      <c r="BF821" t="e">
        <f>solver_rel290=3</f>
        <v>#NAME?</v>
      </c>
    </row>
    <row r="822" spans="58:58" x14ac:dyDescent="0.3">
      <c r="BF822" t="e">
        <f>solver_rel291=2</f>
        <v>#NAME?</v>
      </c>
    </row>
    <row r="823" spans="58:58" x14ac:dyDescent="0.3">
      <c r="BF823" t="e">
        <f>solver_rel292=1</f>
        <v>#NAME?</v>
      </c>
    </row>
    <row r="824" spans="58:58" x14ac:dyDescent="0.3">
      <c r="BF824" t="e">
        <f>solver_rel293=3</f>
        <v>#NAME?</v>
      </c>
    </row>
    <row r="825" spans="58:58" x14ac:dyDescent="0.3">
      <c r="BF825" t="e">
        <f>solver_rel294=2</f>
        <v>#NAME?</v>
      </c>
    </row>
    <row r="826" spans="58:58" x14ac:dyDescent="0.3">
      <c r="BF826" t="e">
        <f>solver_rel295=1</f>
        <v>#NAME?</v>
      </c>
    </row>
    <row r="827" spans="58:58" x14ac:dyDescent="0.3">
      <c r="BF827" t="e">
        <f>solver_rel296=3</f>
        <v>#NAME?</v>
      </c>
    </row>
    <row r="828" spans="58:58" x14ac:dyDescent="0.3">
      <c r="BF828" t="e">
        <f>solver_rel297=2</f>
        <v>#NAME?</v>
      </c>
    </row>
    <row r="829" spans="58:58" x14ac:dyDescent="0.3">
      <c r="BF829" t="e">
        <f>solver_rel298=1</f>
        <v>#NAME?</v>
      </c>
    </row>
    <row r="830" spans="58:58" x14ac:dyDescent="0.3">
      <c r="BF830" t="e">
        <f>solver_rel299=3</f>
        <v>#NAME?</v>
      </c>
    </row>
    <row r="831" spans="58:58" x14ac:dyDescent="0.3">
      <c r="BF831" t="e">
        <f>solver_rel3=2</f>
        <v>#NAME?</v>
      </c>
    </row>
    <row r="832" spans="58:58" x14ac:dyDescent="0.3">
      <c r="BF832" t="e">
        <f>solver_rel30=2</f>
        <v>#NAME?</v>
      </c>
    </row>
    <row r="833" spans="58:58" x14ac:dyDescent="0.3">
      <c r="BF833" t="e">
        <f>solver_rel300=2</f>
        <v>#NAME?</v>
      </c>
    </row>
    <row r="834" spans="58:58" x14ac:dyDescent="0.3">
      <c r="BF834" t="e">
        <f>solver_rel301=1</f>
        <v>#NAME?</v>
      </c>
    </row>
    <row r="835" spans="58:58" x14ac:dyDescent="0.3">
      <c r="BF835" t="e">
        <f>solver_rel302=3</f>
        <v>#NAME?</v>
      </c>
    </row>
    <row r="836" spans="58:58" x14ac:dyDescent="0.3">
      <c r="BF836" t="e">
        <f>solver_rel303=2</f>
        <v>#NAME?</v>
      </c>
    </row>
    <row r="837" spans="58:58" x14ac:dyDescent="0.3">
      <c r="BF837" t="e">
        <f>solver_rel304=1</f>
        <v>#NAME?</v>
      </c>
    </row>
    <row r="838" spans="58:58" x14ac:dyDescent="0.3">
      <c r="BF838" t="e">
        <f>solver_rel305=3</f>
        <v>#NAME?</v>
      </c>
    </row>
    <row r="839" spans="58:58" x14ac:dyDescent="0.3">
      <c r="BF839" t="e">
        <f>solver_rel306=2</f>
        <v>#NAME?</v>
      </c>
    </row>
    <row r="840" spans="58:58" x14ac:dyDescent="0.3">
      <c r="BF840" t="e">
        <f>solver_rel307=1</f>
        <v>#NAME?</v>
      </c>
    </row>
    <row r="841" spans="58:58" x14ac:dyDescent="0.3">
      <c r="BF841" t="e">
        <f>solver_rel308=3</f>
        <v>#NAME?</v>
      </c>
    </row>
    <row r="842" spans="58:58" x14ac:dyDescent="0.3">
      <c r="BF842" t="e">
        <f>solver_rel309=2</f>
        <v>#NAME?</v>
      </c>
    </row>
    <row r="843" spans="58:58" x14ac:dyDescent="0.3">
      <c r="BF843" t="e">
        <f>solver_rel31=1</f>
        <v>#NAME?</v>
      </c>
    </row>
    <row r="844" spans="58:58" x14ac:dyDescent="0.3">
      <c r="BF844" t="e">
        <f>solver_rel310=1</f>
        <v>#NAME?</v>
      </c>
    </row>
    <row r="845" spans="58:58" x14ac:dyDescent="0.3">
      <c r="BF845" t="e">
        <f>solver_rel311=3</f>
        <v>#NAME?</v>
      </c>
    </row>
    <row r="846" spans="58:58" x14ac:dyDescent="0.3">
      <c r="BF846" t="e">
        <f>solver_rel312=2</f>
        <v>#NAME?</v>
      </c>
    </row>
    <row r="847" spans="58:58" x14ac:dyDescent="0.3">
      <c r="BF847" t="e">
        <f>solver_rel313=1</f>
        <v>#NAME?</v>
      </c>
    </row>
    <row r="848" spans="58:58" x14ac:dyDescent="0.3">
      <c r="BF848" t="e">
        <f>solver_rel314=3</f>
        <v>#NAME?</v>
      </c>
    </row>
    <row r="849" spans="58:58" x14ac:dyDescent="0.3">
      <c r="BF849" t="e">
        <f>solver_rel315=2</f>
        <v>#NAME?</v>
      </c>
    </row>
    <row r="850" spans="58:58" x14ac:dyDescent="0.3">
      <c r="BF850" t="e">
        <f>solver_rel316=1</f>
        <v>#NAME?</v>
      </c>
    </row>
    <row r="851" spans="58:58" x14ac:dyDescent="0.3">
      <c r="BF851" t="e">
        <f>solver_rel317=3</f>
        <v>#NAME?</v>
      </c>
    </row>
    <row r="852" spans="58:58" x14ac:dyDescent="0.3">
      <c r="BF852" t="e">
        <f>solver_rel318=2</f>
        <v>#NAME?</v>
      </c>
    </row>
    <row r="853" spans="58:58" x14ac:dyDescent="0.3">
      <c r="BF853" t="e">
        <f>solver_rel319=1</f>
        <v>#NAME?</v>
      </c>
    </row>
    <row r="854" spans="58:58" x14ac:dyDescent="0.3">
      <c r="BF854" t="e">
        <f>solver_rel32=3</f>
        <v>#NAME?</v>
      </c>
    </row>
    <row r="855" spans="58:58" x14ac:dyDescent="0.3">
      <c r="BF855" t="e">
        <f>solver_rel320=3</f>
        <v>#NAME?</v>
      </c>
    </row>
    <row r="856" spans="58:58" x14ac:dyDescent="0.3">
      <c r="BF856" t="e">
        <f>solver_rel321=2</f>
        <v>#NAME?</v>
      </c>
    </row>
    <row r="857" spans="58:58" x14ac:dyDescent="0.3">
      <c r="BF857" t="e">
        <f>solver_rel322=1</f>
        <v>#NAME?</v>
      </c>
    </row>
    <row r="858" spans="58:58" x14ac:dyDescent="0.3">
      <c r="BF858" t="e">
        <f>solver_rel323=3</f>
        <v>#NAME?</v>
      </c>
    </row>
    <row r="859" spans="58:58" x14ac:dyDescent="0.3">
      <c r="BF859" t="e">
        <f>solver_rel324=2</f>
        <v>#NAME?</v>
      </c>
    </row>
    <row r="860" spans="58:58" x14ac:dyDescent="0.3">
      <c r="BF860" t="e">
        <f>solver_rel325=1</f>
        <v>#NAME?</v>
      </c>
    </row>
    <row r="861" spans="58:58" x14ac:dyDescent="0.3">
      <c r="BF861" t="e">
        <f>solver_rel326=3</f>
        <v>#NAME?</v>
      </c>
    </row>
    <row r="862" spans="58:58" x14ac:dyDescent="0.3">
      <c r="BF862" t="e">
        <f>solver_rel327=2</f>
        <v>#NAME?</v>
      </c>
    </row>
    <row r="863" spans="58:58" x14ac:dyDescent="0.3">
      <c r="BF863" t="e">
        <f>solver_rel328=1</f>
        <v>#NAME?</v>
      </c>
    </row>
    <row r="864" spans="58:58" x14ac:dyDescent="0.3">
      <c r="BF864" t="e">
        <f>solver_rel329=3</f>
        <v>#NAME?</v>
      </c>
    </row>
    <row r="865" spans="58:58" x14ac:dyDescent="0.3">
      <c r="BF865" t="e">
        <f>solver_rel33=2</f>
        <v>#NAME?</v>
      </c>
    </row>
    <row r="866" spans="58:58" x14ac:dyDescent="0.3">
      <c r="BF866" t="e">
        <f>solver_rel330=2</f>
        <v>#NAME?</v>
      </c>
    </row>
    <row r="867" spans="58:58" x14ac:dyDescent="0.3">
      <c r="BF867" t="e">
        <f>solver_rel331=1</f>
        <v>#NAME?</v>
      </c>
    </row>
    <row r="868" spans="58:58" x14ac:dyDescent="0.3">
      <c r="BF868" t="e">
        <f>solver_rel332=3</f>
        <v>#NAME?</v>
      </c>
    </row>
    <row r="869" spans="58:58" x14ac:dyDescent="0.3">
      <c r="BF869" t="e">
        <f>solver_rel333=2</f>
        <v>#NAME?</v>
      </c>
    </row>
    <row r="870" spans="58:58" x14ac:dyDescent="0.3">
      <c r="BF870" t="e">
        <f>solver_rel334=1</f>
        <v>#NAME?</v>
      </c>
    </row>
    <row r="871" spans="58:58" x14ac:dyDescent="0.3">
      <c r="BF871" t="e">
        <f>solver_rel335=3</f>
        <v>#NAME?</v>
      </c>
    </row>
    <row r="872" spans="58:58" x14ac:dyDescent="0.3">
      <c r="BF872" t="e">
        <f>solver_rel336=2</f>
        <v>#NAME?</v>
      </c>
    </row>
    <row r="873" spans="58:58" x14ac:dyDescent="0.3">
      <c r="BF873" t="e">
        <f>solver_rel337=1</f>
        <v>#NAME?</v>
      </c>
    </row>
    <row r="874" spans="58:58" x14ac:dyDescent="0.3">
      <c r="BF874" t="e">
        <f>solver_rel338=3</f>
        <v>#NAME?</v>
      </c>
    </row>
    <row r="875" spans="58:58" x14ac:dyDescent="0.3">
      <c r="BF875" t="e">
        <f>solver_rel339=2</f>
        <v>#NAME?</v>
      </c>
    </row>
    <row r="876" spans="58:58" x14ac:dyDescent="0.3">
      <c r="BF876" t="e">
        <f>solver_rel34=1</f>
        <v>#NAME?</v>
      </c>
    </row>
    <row r="877" spans="58:58" x14ac:dyDescent="0.3">
      <c r="BF877" t="e">
        <f>solver_rel340=1</f>
        <v>#NAME?</v>
      </c>
    </row>
    <row r="878" spans="58:58" x14ac:dyDescent="0.3">
      <c r="BF878" t="e">
        <f>solver_rel341=3</f>
        <v>#NAME?</v>
      </c>
    </row>
    <row r="879" spans="58:58" x14ac:dyDescent="0.3">
      <c r="BF879" t="e">
        <f>solver_rel342=2</f>
        <v>#NAME?</v>
      </c>
    </row>
    <row r="880" spans="58:58" x14ac:dyDescent="0.3">
      <c r="BF880" t="e">
        <f>solver_rel343=1</f>
        <v>#NAME?</v>
      </c>
    </row>
    <row r="881" spans="58:58" x14ac:dyDescent="0.3">
      <c r="BF881" t="e">
        <f>solver_rel344=3</f>
        <v>#NAME?</v>
      </c>
    </row>
    <row r="882" spans="58:58" x14ac:dyDescent="0.3">
      <c r="BF882" t="e">
        <f>solver_rel345=2</f>
        <v>#NAME?</v>
      </c>
    </row>
    <row r="883" spans="58:58" x14ac:dyDescent="0.3">
      <c r="BF883" t="e">
        <f>solver_rel346=1</f>
        <v>#NAME?</v>
      </c>
    </row>
    <row r="884" spans="58:58" x14ac:dyDescent="0.3">
      <c r="BF884" t="e">
        <f>solver_rel347=3</f>
        <v>#NAME?</v>
      </c>
    </row>
    <row r="885" spans="58:58" x14ac:dyDescent="0.3">
      <c r="BF885" t="e">
        <f>solver_rel348=2</f>
        <v>#NAME?</v>
      </c>
    </row>
    <row r="886" spans="58:58" x14ac:dyDescent="0.3">
      <c r="BF886" t="e">
        <f>solver_rel349=1</f>
        <v>#NAME?</v>
      </c>
    </row>
    <row r="887" spans="58:58" x14ac:dyDescent="0.3">
      <c r="BF887" t="e">
        <f>solver_rel35=3</f>
        <v>#NAME?</v>
      </c>
    </row>
    <row r="888" spans="58:58" x14ac:dyDescent="0.3">
      <c r="BF888" t="e">
        <f>solver_rel350=3</f>
        <v>#NAME?</v>
      </c>
    </row>
    <row r="889" spans="58:58" x14ac:dyDescent="0.3">
      <c r="BF889" t="e">
        <f>solver_rel351=2</f>
        <v>#NAME?</v>
      </c>
    </row>
    <row r="890" spans="58:58" x14ac:dyDescent="0.3">
      <c r="BF890" t="e">
        <f>solver_rel352=1</f>
        <v>#NAME?</v>
      </c>
    </row>
    <row r="891" spans="58:58" x14ac:dyDescent="0.3">
      <c r="BF891" t="e">
        <f>solver_rel353=3</f>
        <v>#NAME?</v>
      </c>
    </row>
    <row r="892" spans="58:58" x14ac:dyDescent="0.3">
      <c r="BF892" t="e">
        <f>solver_rel354=2</f>
        <v>#NAME?</v>
      </c>
    </row>
    <row r="893" spans="58:58" x14ac:dyDescent="0.3">
      <c r="BF893" t="e">
        <f>solver_rel355=1</f>
        <v>#NAME?</v>
      </c>
    </row>
    <row r="894" spans="58:58" x14ac:dyDescent="0.3">
      <c r="BF894" t="e">
        <f>solver_rel356=3</f>
        <v>#NAME?</v>
      </c>
    </row>
    <row r="895" spans="58:58" x14ac:dyDescent="0.3">
      <c r="BF895" t="e">
        <f>solver_rel357=2</f>
        <v>#NAME?</v>
      </c>
    </row>
    <row r="896" spans="58:58" x14ac:dyDescent="0.3">
      <c r="BF896" t="e">
        <f>solver_rel358=1</f>
        <v>#NAME?</v>
      </c>
    </row>
    <row r="897" spans="58:58" x14ac:dyDescent="0.3">
      <c r="BF897" t="e">
        <f>solver_rel359=3</f>
        <v>#NAME?</v>
      </c>
    </row>
    <row r="898" spans="58:58" x14ac:dyDescent="0.3">
      <c r="BF898" t="e">
        <f>solver_rel36=2</f>
        <v>#NAME?</v>
      </c>
    </row>
    <row r="899" spans="58:58" x14ac:dyDescent="0.3">
      <c r="BF899" t="e">
        <f>solver_rel360=2</f>
        <v>#NAME?</v>
      </c>
    </row>
    <row r="900" spans="58:58" x14ac:dyDescent="0.3">
      <c r="BF900" t="e">
        <f>solver_rel361=1</f>
        <v>#NAME?</v>
      </c>
    </row>
    <row r="901" spans="58:58" x14ac:dyDescent="0.3">
      <c r="BF901" t="e">
        <f>solver_rel362=3</f>
        <v>#NAME?</v>
      </c>
    </row>
    <row r="902" spans="58:58" x14ac:dyDescent="0.3">
      <c r="BF902" t="e">
        <f>solver_rel363=2</f>
        <v>#NAME?</v>
      </c>
    </row>
    <row r="903" spans="58:58" x14ac:dyDescent="0.3">
      <c r="BF903" t="e">
        <f>solver_rel364=1</f>
        <v>#NAME?</v>
      </c>
    </row>
    <row r="904" spans="58:58" x14ac:dyDescent="0.3">
      <c r="BF904" t="e">
        <f>solver_rel365=3</f>
        <v>#NAME?</v>
      </c>
    </row>
    <row r="905" spans="58:58" x14ac:dyDescent="0.3">
      <c r="BF905" t="e">
        <f>solver_rel366=2</f>
        <v>#NAME?</v>
      </c>
    </row>
    <row r="906" spans="58:58" x14ac:dyDescent="0.3">
      <c r="BF906" t="e">
        <f>solver_rel367=1</f>
        <v>#NAME?</v>
      </c>
    </row>
    <row r="907" spans="58:58" x14ac:dyDescent="0.3">
      <c r="BF907" t="e">
        <f>solver_rel368=3</f>
        <v>#NAME?</v>
      </c>
    </row>
    <row r="908" spans="58:58" x14ac:dyDescent="0.3">
      <c r="BF908" t="e">
        <f>solver_rel369=2</f>
        <v>#NAME?</v>
      </c>
    </row>
    <row r="909" spans="58:58" x14ac:dyDescent="0.3">
      <c r="BF909" t="e">
        <f>solver_rel37=1</f>
        <v>#NAME?</v>
      </c>
    </row>
    <row r="910" spans="58:58" x14ac:dyDescent="0.3">
      <c r="BF910" t="e">
        <f>solver_rel370=1</f>
        <v>#NAME?</v>
      </c>
    </row>
    <row r="911" spans="58:58" x14ac:dyDescent="0.3">
      <c r="BF911" t="e">
        <f>solver_rel371=3</f>
        <v>#NAME?</v>
      </c>
    </row>
    <row r="912" spans="58:58" x14ac:dyDescent="0.3">
      <c r="BF912" t="e">
        <f>solver_rel372=2</f>
        <v>#NAME?</v>
      </c>
    </row>
    <row r="913" spans="58:58" x14ac:dyDescent="0.3">
      <c r="BF913" t="e">
        <f>solver_rel373=1</f>
        <v>#NAME?</v>
      </c>
    </row>
    <row r="914" spans="58:58" x14ac:dyDescent="0.3">
      <c r="BF914" t="e">
        <f>solver_rel374=3</f>
        <v>#NAME?</v>
      </c>
    </row>
    <row r="915" spans="58:58" x14ac:dyDescent="0.3">
      <c r="BF915" t="e">
        <f>solver_rel375=2</f>
        <v>#NAME?</v>
      </c>
    </row>
    <row r="916" spans="58:58" x14ac:dyDescent="0.3">
      <c r="BF916" t="e">
        <f>solver_rel376=1</f>
        <v>#NAME?</v>
      </c>
    </row>
    <row r="917" spans="58:58" x14ac:dyDescent="0.3">
      <c r="BF917" t="e">
        <f>solver_rel377=3</f>
        <v>#NAME?</v>
      </c>
    </row>
    <row r="918" spans="58:58" x14ac:dyDescent="0.3">
      <c r="BF918" t="e">
        <f>solver_rel378=2</f>
        <v>#NAME?</v>
      </c>
    </row>
    <row r="919" spans="58:58" x14ac:dyDescent="0.3">
      <c r="BF919" t="e">
        <f>solver_rel379=1</f>
        <v>#NAME?</v>
      </c>
    </row>
    <row r="920" spans="58:58" x14ac:dyDescent="0.3">
      <c r="BF920" t="e">
        <f>solver_rel38=3</f>
        <v>#NAME?</v>
      </c>
    </row>
    <row r="921" spans="58:58" x14ac:dyDescent="0.3">
      <c r="BF921" t="e">
        <f>solver_rel380=3</f>
        <v>#NAME?</v>
      </c>
    </row>
    <row r="922" spans="58:58" x14ac:dyDescent="0.3">
      <c r="BF922" t="e">
        <f>solver_rel381=2</f>
        <v>#NAME?</v>
      </c>
    </row>
    <row r="923" spans="58:58" x14ac:dyDescent="0.3">
      <c r="BF923" t="e">
        <f>solver_rel382=1</f>
        <v>#NAME?</v>
      </c>
    </row>
    <row r="924" spans="58:58" x14ac:dyDescent="0.3">
      <c r="BF924" t="e">
        <f>solver_rel383=3</f>
        <v>#NAME?</v>
      </c>
    </row>
    <row r="925" spans="58:58" x14ac:dyDescent="0.3">
      <c r="BF925" t="e">
        <f>solver_rel384=2</f>
        <v>#NAME?</v>
      </c>
    </row>
    <row r="926" spans="58:58" x14ac:dyDescent="0.3">
      <c r="BF926" t="e">
        <f>solver_rel385=1</f>
        <v>#NAME?</v>
      </c>
    </row>
    <row r="927" spans="58:58" x14ac:dyDescent="0.3">
      <c r="BF927" t="e">
        <f>solver_rel386=3</f>
        <v>#NAME?</v>
      </c>
    </row>
    <row r="928" spans="58:58" x14ac:dyDescent="0.3">
      <c r="BF928" t="e">
        <f>solver_rel387=2</f>
        <v>#NAME?</v>
      </c>
    </row>
    <row r="929" spans="58:58" x14ac:dyDescent="0.3">
      <c r="BF929" t="e">
        <f>solver_rel388=1</f>
        <v>#NAME?</v>
      </c>
    </row>
    <row r="930" spans="58:58" x14ac:dyDescent="0.3">
      <c r="BF930" t="e">
        <f>solver_rel389=3</f>
        <v>#NAME?</v>
      </c>
    </row>
    <row r="931" spans="58:58" x14ac:dyDescent="0.3">
      <c r="BF931" t="e">
        <f>solver_rel39=2</f>
        <v>#NAME?</v>
      </c>
    </row>
    <row r="932" spans="58:58" x14ac:dyDescent="0.3">
      <c r="BF932" t="e">
        <f>solver_rel390=2</f>
        <v>#NAME?</v>
      </c>
    </row>
    <row r="933" spans="58:58" x14ac:dyDescent="0.3">
      <c r="BF933" t="e">
        <f>solver_rel391=1</f>
        <v>#NAME?</v>
      </c>
    </row>
    <row r="934" spans="58:58" x14ac:dyDescent="0.3">
      <c r="BF934" t="e">
        <f>solver_rel392=3</f>
        <v>#NAME?</v>
      </c>
    </row>
    <row r="935" spans="58:58" x14ac:dyDescent="0.3">
      <c r="BF935" t="e">
        <f>solver_rel393=2</f>
        <v>#NAME?</v>
      </c>
    </row>
    <row r="936" spans="58:58" x14ac:dyDescent="0.3">
      <c r="BF936" t="e">
        <f>solver_rel394=1</f>
        <v>#NAME?</v>
      </c>
    </row>
    <row r="937" spans="58:58" x14ac:dyDescent="0.3">
      <c r="BF937" t="e">
        <f>solver_rel395=3</f>
        <v>#NAME?</v>
      </c>
    </row>
    <row r="938" spans="58:58" x14ac:dyDescent="0.3">
      <c r="BF938" t="e">
        <f>solver_rel396=2</f>
        <v>#NAME?</v>
      </c>
    </row>
    <row r="939" spans="58:58" x14ac:dyDescent="0.3">
      <c r="BF939" t="e">
        <f>solver_rel397=1</f>
        <v>#NAME?</v>
      </c>
    </row>
    <row r="940" spans="58:58" x14ac:dyDescent="0.3">
      <c r="BF940" t="e">
        <f>solver_rel398=3</f>
        <v>#NAME?</v>
      </c>
    </row>
    <row r="941" spans="58:58" x14ac:dyDescent="0.3">
      <c r="BF941" t="e">
        <f>solver_rel399=2</f>
        <v>#NAME?</v>
      </c>
    </row>
    <row r="942" spans="58:58" x14ac:dyDescent="0.3">
      <c r="BF942" t="e">
        <f>solver_rel4=1</f>
        <v>#NAME?</v>
      </c>
    </row>
    <row r="943" spans="58:58" x14ac:dyDescent="0.3">
      <c r="BF943" t="e">
        <f>solver_rel40=1</f>
        <v>#NAME?</v>
      </c>
    </row>
    <row r="944" spans="58:58" x14ac:dyDescent="0.3">
      <c r="BF944" t="e">
        <f>solver_rel400=1</f>
        <v>#NAME?</v>
      </c>
    </row>
    <row r="945" spans="58:58" x14ac:dyDescent="0.3">
      <c r="BF945" t="e">
        <f>solver_rel401=3</f>
        <v>#NAME?</v>
      </c>
    </row>
    <row r="946" spans="58:58" x14ac:dyDescent="0.3">
      <c r="BF946" t="e">
        <f>solver_rel402=2</f>
        <v>#NAME?</v>
      </c>
    </row>
    <row r="947" spans="58:58" x14ac:dyDescent="0.3">
      <c r="BF947" t="e">
        <f>solver_rel403=1</f>
        <v>#NAME?</v>
      </c>
    </row>
    <row r="948" spans="58:58" x14ac:dyDescent="0.3">
      <c r="BF948" t="e">
        <f>solver_rel404=3</f>
        <v>#NAME?</v>
      </c>
    </row>
    <row r="949" spans="58:58" x14ac:dyDescent="0.3">
      <c r="BF949" t="e">
        <f>solver_rel405=2</f>
        <v>#NAME?</v>
      </c>
    </row>
    <row r="950" spans="58:58" x14ac:dyDescent="0.3">
      <c r="BF950" t="e">
        <f>solver_rel406=1</f>
        <v>#NAME?</v>
      </c>
    </row>
    <row r="951" spans="58:58" x14ac:dyDescent="0.3">
      <c r="BF951" t="e">
        <f>solver_rel407=3</f>
        <v>#NAME?</v>
      </c>
    </row>
    <row r="952" spans="58:58" x14ac:dyDescent="0.3">
      <c r="BF952" t="e">
        <f>solver_rel408=2</f>
        <v>#NAME?</v>
      </c>
    </row>
    <row r="953" spans="58:58" x14ac:dyDescent="0.3">
      <c r="BF953" t="e">
        <f>solver_rel409=1</f>
        <v>#NAME?</v>
      </c>
    </row>
    <row r="954" spans="58:58" x14ac:dyDescent="0.3">
      <c r="BF954" t="e">
        <f>solver_rel41=3</f>
        <v>#NAME?</v>
      </c>
    </row>
    <row r="955" spans="58:58" x14ac:dyDescent="0.3">
      <c r="BF955" t="e">
        <f>solver_rel410=3</f>
        <v>#NAME?</v>
      </c>
    </row>
    <row r="956" spans="58:58" x14ac:dyDescent="0.3">
      <c r="BF956" t="e">
        <f>solver_rel411=2</f>
        <v>#NAME?</v>
      </c>
    </row>
    <row r="957" spans="58:58" x14ac:dyDescent="0.3">
      <c r="BF957" t="e">
        <f>solver_rel412=1</f>
        <v>#NAME?</v>
      </c>
    </row>
    <row r="958" spans="58:58" x14ac:dyDescent="0.3">
      <c r="BF958" t="e">
        <f>solver_rel413=3</f>
        <v>#NAME?</v>
      </c>
    </row>
    <row r="959" spans="58:58" x14ac:dyDescent="0.3">
      <c r="BF959" t="e">
        <f>solver_rel414=2</f>
        <v>#NAME?</v>
      </c>
    </row>
    <row r="960" spans="58:58" x14ac:dyDescent="0.3">
      <c r="BF960" t="e">
        <f>solver_rel415=1</f>
        <v>#NAME?</v>
      </c>
    </row>
    <row r="961" spans="58:58" x14ac:dyDescent="0.3">
      <c r="BF961" t="e">
        <f>solver_rel416=3</f>
        <v>#NAME?</v>
      </c>
    </row>
    <row r="962" spans="58:58" x14ac:dyDescent="0.3">
      <c r="BF962" t="e">
        <f>solver_rel417=2</f>
        <v>#NAME?</v>
      </c>
    </row>
    <row r="963" spans="58:58" x14ac:dyDescent="0.3">
      <c r="BF963" t="e">
        <f>solver_rel418=1</f>
        <v>#NAME?</v>
      </c>
    </row>
    <row r="964" spans="58:58" x14ac:dyDescent="0.3">
      <c r="BF964" t="e">
        <f>solver_rel419=3</f>
        <v>#NAME?</v>
      </c>
    </row>
    <row r="965" spans="58:58" x14ac:dyDescent="0.3">
      <c r="BF965" t="e">
        <f>solver_rel42=2</f>
        <v>#NAME?</v>
      </c>
    </row>
    <row r="966" spans="58:58" x14ac:dyDescent="0.3">
      <c r="BF966" t="e">
        <f>solver_rel420=2</f>
        <v>#NAME?</v>
      </c>
    </row>
    <row r="967" spans="58:58" x14ac:dyDescent="0.3">
      <c r="BF967" t="e">
        <f>solver_rel421=1</f>
        <v>#NAME?</v>
      </c>
    </row>
    <row r="968" spans="58:58" x14ac:dyDescent="0.3">
      <c r="BF968" t="e">
        <f>solver_rel422=3</f>
        <v>#NAME?</v>
      </c>
    </row>
    <row r="969" spans="58:58" x14ac:dyDescent="0.3">
      <c r="BF969" t="e">
        <f>solver_rel423=2</f>
        <v>#NAME?</v>
      </c>
    </row>
    <row r="970" spans="58:58" x14ac:dyDescent="0.3">
      <c r="BF970" t="e">
        <f>solver_rel424=1</f>
        <v>#NAME?</v>
      </c>
    </row>
    <row r="971" spans="58:58" x14ac:dyDescent="0.3">
      <c r="BF971" t="e">
        <f>solver_rel425=3</f>
        <v>#NAME?</v>
      </c>
    </row>
    <row r="972" spans="58:58" x14ac:dyDescent="0.3">
      <c r="BF972" t="e">
        <f>solver_rel426=2</f>
        <v>#NAME?</v>
      </c>
    </row>
    <row r="973" spans="58:58" x14ac:dyDescent="0.3">
      <c r="BF973" t="e">
        <f>solver_rel427=1</f>
        <v>#NAME?</v>
      </c>
    </row>
    <row r="974" spans="58:58" x14ac:dyDescent="0.3">
      <c r="BF974" t="e">
        <f>solver_rel428=3</f>
        <v>#NAME?</v>
      </c>
    </row>
    <row r="975" spans="58:58" x14ac:dyDescent="0.3">
      <c r="BF975" t="e">
        <f>solver_rel429=2</f>
        <v>#NAME?</v>
      </c>
    </row>
    <row r="976" spans="58:58" x14ac:dyDescent="0.3">
      <c r="BF976" t="e">
        <f>solver_rel43=1</f>
        <v>#NAME?</v>
      </c>
    </row>
    <row r="977" spans="58:58" x14ac:dyDescent="0.3">
      <c r="BF977" t="e">
        <f>solver_rel430=1</f>
        <v>#NAME?</v>
      </c>
    </row>
    <row r="978" spans="58:58" x14ac:dyDescent="0.3">
      <c r="BF978" t="e">
        <f>solver_rel431=3</f>
        <v>#NAME?</v>
      </c>
    </row>
    <row r="979" spans="58:58" x14ac:dyDescent="0.3">
      <c r="BF979" t="e">
        <f>solver_rel432=2</f>
        <v>#NAME?</v>
      </c>
    </row>
    <row r="980" spans="58:58" x14ac:dyDescent="0.3">
      <c r="BF980" t="e">
        <f>solver_rel433=1</f>
        <v>#NAME?</v>
      </c>
    </row>
    <row r="981" spans="58:58" x14ac:dyDescent="0.3">
      <c r="BF981" t="e">
        <f>solver_rel434=3</f>
        <v>#NAME?</v>
      </c>
    </row>
    <row r="982" spans="58:58" x14ac:dyDescent="0.3">
      <c r="BF982" t="e">
        <f>solver_rel435=2</f>
        <v>#NAME?</v>
      </c>
    </row>
    <row r="983" spans="58:58" x14ac:dyDescent="0.3">
      <c r="BF983" t="e">
        <f>solver_rel436=1</f>
        <v>#NAME?</v>
      </c>
    </row>
    <row r="984" spans="58:58" x14ac:dyDescent="0.3">
      <c r="BF984" t="e">
        <f>solver_rel437=3</f>
        <v>#NAME?</v>
      </c>
    </row>
    <row r="985" spans="58:58" x14ac:dyDescent="0.3">
      <c r="BF985" t="e">
        <f>solver_rel438=2</f>
        <v>#NAME?</v>
      </c>
    </row>
    <row r="986" spans="58:58" x14ac:dyDescent="0.3">
      <c r="BF986" t="e">
        <f>solver_rel439=1</f>
        <v>#NAME?</v>
      </c>
    </row>
    <row r="987" spans="58:58" x14ac:dyDescent="0.3">
      <c r="BF987" t="e">
        <f>solver_rel44=3</f>
        <v>#NAME?</v>
      </c>
    </row>
    <row r="988" spans="58:58" x14ac:dyDescent="0.3">
      <c r="BF988" t="e">
        <f>solver_rel440=3</f>
        <v>#NAME?</v>
      </c>
    </row>
    <row r="989" spans="58:58" x14ac:dyDescent="0.3">
      <c r="BF989" t="e">
        <f>solver_rel441=2</f>
        <v>#NAME?</v>
      </c>
    </row>
    <row r="990" spans="58:58" x14ac:dyDescent="0.3">
      <c r="BF990" t="e">
        <f>solver_rel442=1</f>
        <v>#NAME?</v>
      </c>
    </row>
    <row r="991" spans="58:58" x14ac:dyDescent="0.3">
      <c r="BF991" t="e">
        <f>solver_rel443=3</f>
        <v>#NAME?</v>
      </c>
    </row>
    <row r="992" spans="58:58" x14ac:dyDescent="0.3">
      <c r="BF992" t="e">
        <f>solver_rel444=2</f>
        <v>#NAME?</v>
      </c>
    </row>
    <row r="993" spans="58:58" x14ac:dyDescent="0.3">
      <c r="BF993" t="e">
        <f>solver_rel445=1</f>
        <v>#NAME?</v>
      </c>
    </row>
    <row r="994" spans="58:58" x14ac:dyDescent="0.3">
      <c r="BF994" t="e">
        <f>solver_rel446=3</f>
        <v>#NAME?</v>
      </c>
    </row>
    <row r="995" spans="58:58" x14ac:dyDescent="0.3">
      <c r="BF995" t="e">
        <f>solver_rel447=2</f>
        <v>#NAME?</v>
      </c>
    </row>
    <row r="996" spans="58:58" x14ac:dyDescent="0.3">
      <c r="BF996" t="e">
        <f>solver_rel448=1</f>
        <v>#NAME?</v>
      </c>
    </row>
    <row r="997" spans="58:58" x14ac:dyDescent="0.3">
      <c r="BF997" t="e">
        <f>solver_rel449=3</f>
        <v>#NAME?</v>
      </c>
    </row>
    <row r="998" spans="58:58" x14ac:dyDescent="0.3">
      <c r="BF998" t="e">
        <f>solver_rel45=2</f>
        <v>#NAME?</v>
      </c>
    </row>
    <row r="999" spans="58:58" x14ac:dyDescent="0.3">
      <c r="BF999" t="e">
        <f>solver_rel450=2</f>
        <v>#NAME?</v>
      </c>
    </row>
    <row r="1000" spans="58:58" x14ac:dyDescent="0.3">
      <c r="BF1000" t="e">
        <f>solver_rel451=1</f>
        <v>#NAME?</v>
      </c>
    </row>
    <row r="1001" spans="58:58" x14ac:dyDescent="0.3">
      <c r="BF1001" t="e">
        <f>solver_rel452=3</f>
        <v>#NAME?</v>
      </c>
    </row>
    <row r="1002" spans="58:58" x14ac:dyDescent="0.3">
      <c r="BF1002" t="e">
        <f>solver_rel453=2</f>
        <v>#NAME?</v>
      </c>
    </row>
    <row r="1003" spans="58:58" x14ac:dyDescent="0.3">
      <c r="BF1003" t="e">
        <f>solver_rel454=1</f>
        <v>#NAME?</v>
      </c>
    </row>
    <row r="1004" spans="58:58" x14ac:dyDescent="0.3">
      <c r="BF1004" t="e">
        <f>solver_rel455=3</f>
        <v>#NAME?</v>
      </c>
    </row>
    <row r="1005" spans="58:58" x14ac:dyDescent="0.3">
      <c r="BF1005" t="e">
        <f>solver_rel456=2</f>
        <v>#NAME?</v>
      </c>
    </row>
    <row r="1006" spans="58:58" x14ac:dyDescent="0.3">
      <c r="BF1006" t="e">
        <f>solver_rel457=1</f>
        <v>#NAME?</v>
      </c>
    </row>
    <row r="1007" spans="58:58" x14ac:dyDescent="0.3">
      <c r="BF1007" t="e">
        <f>solver_rel458=3</f>
        <v>#NAME?</v>
      </c>
    </row>
    <row r="1008" spans="58:58" x14ac:dyDescent="0.3">
      <c r="BF1008" t="e">
        <f>solver_rel459=2</f>
        <v>#NAME?</v>
      </c>
    </row>
    <row r="1009" spans="58:58" x14ac:dyDescent="0.3">
      <c r="BF1009" t="e">
        <f>solver_rel46=1</f>
        <v>#NAME?</v>
      </c>
    </row>
    <row r="1010" spans="58:58" x14ac:dyDescent="0.3">
      <c r="BF1010" t="e">
        <f>solver_rel460=1</f>
        <v>#NAME?</v>
      </c>
    </row>
    <row r="1011" spans="58:58" x14ac:dyDescent="0.3">
      <c r="BF1011" t="e">
        <f>solver_rel461=3</f>
        <v>#NAME?</v>
      </c>
    </row>
    <row r="1012" spans="58:58" x14ac:dyDescent="0.3">
      <c r="BF1012" t="e">
        <f>solver_rel462=2</f>
        <v>#NAME?</v>
      </c>
    </row>
    <row r="1013" spans="58:58" x14ac:dyDescent="0.3">
      <c r="BF1013" t="e">
        <f>solver_rel463=1</f>
        <v>#NAME?</v>
      </c>
    </row>
    <row r="1014" spans="58:58" x14ac:dyDescent="0.3">
      <c r="BF1014" t="e">
        <f>solver_rel464=3</f>
        <v>#NAME?</v>
      </c>
    </row>
    <row r="1015" spans="58:58" x14ac:dyDescent="0.3">
      <c r="BF1015" t="e">
        <f>solver_rel465=2</f>
        <v>#NAME?</v>
      </c>
    </row>
    <row r="1016" spans="58:58" x14ac:dyDescent="0.3">
      <c r="BF1016" t="e">
        <f>solver_rel466=1</f>
        <v>#NAME?</v>
      </c>
    </row>
    <row r="1017" spans="58:58" x14ac:dyDescent="0.3">
      <c r="BF1017" t="e">
        <f>solver_rel467=3</f>
        <v>#NAME?</v>
      </c>
    </row>
    <row r="1018" spans="58:58" x14ac:dyDescent="0.3">
      <c r="BF1018" t="e">
        <f>solver_rel468=2</f>
        <v>#NAME?</v>
      </c>
    </row>
    <row r="1019" spans="58:58" x14ac:dyDescent="0.3">
      <c r="BF1019" t="e">
        <f>solver_rel469=1</f>
        <v>#NAME?</v>
      </c>
    </row>
    <row r="1020" spans="58:58" x14ac:dyDescent="0.3">
      <c r="BF1020" t="e">
        <f>solver_rel47=3</f>
        <v>#NAME?</v>
      </c>
    </row>
    <row r="1021" spans="58:58" x14ac:dyDescent="0.3">
      <c r="BF1021" t="e">
        <f>solver_rel470=3</f>
        <v>#NAME?</v>
      </c>
    </row>
    <row r="1022" spans="58:58" x14ac:dyDescent="0.3">
      <c r="BF1022" t="e">
        <f>solver_rel471=2</f>
        <v>#NAME?</v>
      </c>
    </row>
    <row r="1023" spans="58:58" x14ac:dyDescent="0.3">
      <c r="BF1023" t="e">
        <f>solver_rel472=1</f>
        <v>#NAME?</v>
      </c>
    </row>
    <row r="1024" spans="58:58" x14ac:dyDescent="0.3">
      <c r="BF1024" t="e">
        <f>solver_rel473=3</f>
        <v>#NAME?</v>
      </c>
    </row>
    <row r="1025" spans="58:58" x14ac:dyDescent="0.3">
      <c r="BF1025" t="e">
        <f>solver_rel474=2</f>
        <v>#NAME?</v>
      </c>
    </row>
    <row r="1026" spans="58:58" x14ac:dyDescent="0.3">
      <c r="BF1026" t="e">
        <f>solver_rel475=1</f>
        <v>#NAME?</v>
      </c>
    </row>
    <row r="1027" spans="58:58" x14ac:dyDescent="0.3">
      <c r="BF1027" t="e">
        <f>solver_rel476=3</f>
        <v>#NAME?</v>
      </c>
    </row>
    <row r="1028" spans="58:58" x14ac:dyDescent="0.3">
      <c r="BF1028" t="e">
        <f>solver_rel477=2</f>
        <v>#NAME?</v>
      </c>
    </row>
    <row r="1029" spans="58:58" x14ac:dyDescent="0.3">
      <c r="BF1029" t="e">
        <f>solver_rel478=1</f>
        <v>#NAME?</v>
      </c>
    </row>
    <row r="1030" spans="58:58" x14ac:dyDescent="0.3">
      <c r="BF1030" t="e">
        <f>solver_rel479=3</f>
        <v>#NAME?</v>
      </c>
    </row>
    <row r="1031" spans="58:58" x14ac:dyDescent="0.3">
      <c r="BF1031" t="e">
        <f>solver_rel48=2</f>
        <v>#NAME?</v>
      </c>
    </row>
    <row r="1032" spans="58:58" x14ac:dyDescent="0.3">
      <c r="BF1032" t="e">
        <f>solver_rel480=2</f>
        <v>#NAME?</v>
      </c>
    </row>
    <row r="1033" spans="58:58" x14ac:dyDescent="0.3">
      <c r="BF1033" t="e">
        <f>solver_rel481=1</f>
        <v>#NAME?</v>
      </c>
    </row>
    <row r="1034" spans="58:58" x14ac:dyDescent="0.3">
      <c r="BF1034" t="e">
        <f>solver_rel482=3</f>
        <v>#NAME?</v>
      </c>
    </row>
    <row r="1035" spans="58:58" x14ac:dyDescent="0.3">
      <c r="BF1035" t="e">
        <f>solver_rel483=2</f>
        <v>#NAME?</v>
      </c>
    </row>
    <row r="1036" spans="58:58" x14ac:dyDescent="0.3">
      <c r="BF1036" t="e">
        <f>solver_rel484=1</f>
        <v>#NAME?</v>
      </c>
    </row>
    <row r="1037" spans="58:58" x14ac:dyDescent="0.3">
      <c r="BF1037" t="e">
        <f>solver_rel485=3</f>
        <v>#NAME?</v>
      </c>
    </row>
    <row r="1038" spans="58:58" x14ac:dyDescent="0.3">
      <c r="BF1038" t="e">
        <f>solver_rel486=2</f>
        <v>#NAME?</v>
      </c>
    </row>
    <row r="1039" spans="58:58" x14ac:dyDescent="0.3">
      <c r="BF1039" t="e">
        <f>solver_rel487=1</f>
        <v>#NAME?</v>
      </c>
    </row>
    <row r="1040" spans="58:58" x14ac:dyDescent="0.3">
      <c r="BF1040" t="e">
        <f>solver_rel488=3</f>
        <v>#NAME?</v>
      </c>
    </row>
    <row r="1041" spans="58:58" x14ac:dyDescent="0.3">
      <c r="BF1041" t="e">
        <f>solver_rel489=2</f>
        <v>#NAME?</v>
      </c>
    </row>
    <row r="1042" spans="58:58" x14ac:dyDescent="0.3">
      <c r="BF1042" t="e">
        <f>solver_rel49=1</f>
        <v>#NAME?</v>
      </c>
    </row>
    <row r="1043" spans="58:58" x14ac:dyDescent="0.3">
      <c r="BF1043" t="e">
        <f>solver_rel490=1</f>
        <v>#NAME?</v>
      </c>
    </row>
    <row r="1044" spans="58:58" x14ac:dyDescent="0.3">
      <c r="BF1044" t="e">
        <f>solver_rel491=3</f>
        <v>#NAME?</v>
      </c>
    </row>
    <row r="1045" spans="58:58" x14ac:dyDescent="0.3">
      <c r="BF1045" t="e">
        <f>solver_rel492=2</f>
        <v>#NAME?</v>
      </c>
    </row>
    <row r="1046" spans="58:58" x14ac:dyDescent="0.3">
      <c r="BF1046" t="e">
        <f>solver_rel493=1</f>
        <v>#NAME?</v>
      </c>
    </row>
    <row r="1047" spans="58:58" x14ac:dyDescent="0.3">
      <c r="BF1047" t="e">
        <f>solver_rel494=3</f>
        <v>#NAME?</v>
      </c>
    </row>
    <row r="1048" spans="58:58" x14ac:dyDescent="0.3">
      <c r="BF1048" t="e">
        <f>solver_rel495=2</f>
        <v>#NAME?</v>
      </c>
    </row>
    <row r="1049" spans="58:58" x14ac:dyDescent="0.3">
      <c r="BF1049" t="e">
        <f>solver_rel496=1</f>
        <v>#NAME?</v>
      </c>
    </row>
    <row r="1050" spans="58:58" x14ac:dyDescent="0.3">
      <c r="BF1050" t="e">
        <f>solver_rel497=3</f>
        <v>#NAME?</v>
      </c>
    </row>
    <row r="1051" spans="58:58" x14ac:dyDescent="0.3">
      <c r="BF1051" t="e">
        <f>solver_rel498=2</f>
        <v>#NAME?</v>
      </c>
    </row>
    <row r="1052" spans="58:58" x14ac:dyDescent="0.3">
      <c r="BF1052" t="e">
        <f>solver_rel499=1</f>
        <v>#NAME?</v>
      </c>
    </row>
    <row r="1053" spans="58:58" x14ac:dyDescent="0.3">
      <c r="BF1053" t="e">
        <f>solver_rel5=3</f>
        <v>#NAME?</v>
      </c>
    </row>
    <row r="1054" spans="58:58" x14ac:dyDescent="0.3">
      <c r="BF1054" t="e">
        <f>solver_rel50=3</f>
        <v>#NAME?</v>
      </c>
    </row>
    <row r="1055" spans="58:58" x14ac:dyDescent="0.3">
      <c r="BF1055" t="e">
        <f>solver_rel500=3</f>
        <v>#NAME?</v>
      </c>
    </row>
    <row r="1056" spans="58:58" x14ac:dyDescent="0.3">
      <c r="BF1056" t="e">
        <f>solver_rel501=2</f>
        <v>#NAME?</v>
      </c>
    </row>
    <row r="1057" spans="58:58" x14ac:dyDescent="0.3">
      <c r="BF1057" t="e">
        <f>solver_rel502=1</f>
        <v>#NAME?</v>
      </c>
    </row>
    <row r="1058" spans="58:58" x14ac:dyDescent="0.3">
      <c r="BF1058" t="e">
        <f>solver_rel503=3</f>
        <v>#NAME?</v>
      </c>
    </row>
    <row r="1059" spans="58:58" x14ac:dyDescent="0.3">
      <c r="BF1059" t="e">
        <f>solver_rel504=2</f>
        <v>#NAME?</v>
      </c>
    </row>
    <row r="1060" spans="58:58" x14ac:dyDescent="0.3">
      <c r="BF1060" t="e">
        <f>solver_rel505=1</f>
        <v>#NAME?</v>
      </c>
    </row>
    <row r="1061" spans="58:58" x14ac:dyDescent="0.3">
      <c r="BF1061" t="e">
        <f>solver_rel506=3</f>
        <v>#NAME?</v>
      </c>
    </row>
    <row r="1062" spans="58:58" x14ac:dyDescent="0.3">
      <c r="BF1062" t="e">
        <f>solver_rel507=2</f>
        <v>#NAME?</v>
      </c>
    </row>
    <row r="1063" spans="58:58" x14ac:dyDescent="0.3">
      <c r="BF1063" t="e">
        <f>solver_rel508=1</f>
        <v>#NAME?</v>
      </c>
    </row>
    <row r="1064" spans="58:58" x14ac:dyDescent="0.3">
      <c r="BF1064" t="e">
        <f>solver_rel509=3</f>
        <v>#NAME?</v>
      </c>
    </row>
    <row r="1065" spans="58:58" x14ac:dyDescent="0.3">
      <c r="BF1065" t="e">
        <f>solver_rel51=2</f>
        <v>#NAME?</v>
      </c>
    </row>
    <row r="1066" spans="58:58" x14ac:dyDescent="0.3">
      <c r="BF1066" t="e">
        <f>solver_rel510=2</f>
        <v>#NAME?</v>
      </c>
    </row>
    <row r="1067" spans="58:58" x14ac:dyDescent="0.3">
      <c r="BF1067" t="e">
        <f>solver_rel511=1</f>
        <v>#NAME?</v>
      </c>
    </row>
    <row r="1068" spans="58:58" x14ac:dyDescent="0.3">
      <c r="BF1068" t="e">
        <f>solver_rel512=3</f>
        <v>#NAME?</v>
      </c>
    </row>
    <row r="1069" spans="58:58" x14ac:dyDescent="0.3">
      <c r="BF1069" t="e">
        <f>solver_rel513=2</f>
        <v>#NAME?</v>
      </c>
    </row>
    <row r="1070" spans="58:58" x14ac:dyDescent="0.3">
      <c r="BF1070" t="e">
        <f>solver_rel514=1</f>
        <v>#NAME?</v>
      </c>
    </row>
    <row r="1071" spans="58:58" x14ac:dyDescent="0.3">
      <c r="BF1071" t="e">
        <f>solver_rel515=3</f>
        <v>#NAME?</v>
      </c>
    </row>
    <row r="1072" spans="58:58" x14ac:dyDescent="0.3">
      <c r="BF1072" t="e">
        <f>solver_rel516=2</f>
        <v>#NAME?</v>
      </c>
    </row>
    <row r="1073" spans="58:58" x14ac:dyDescent="0.3">
      <c r="BF1073" t="e">
        <f>solver_rel517=1</f>
        <v>#NAME?</v>
      </c>
    </row>
    <row r="1074" spans="58:58" x14ac:dyDescent="0.3">
      <c r="BF1074" t="e">
        <f>solver_rel518=3</f>
        <v>#NAME?</v>
      </c>
    </row>
    <row r="1075" spans="58:58" x14ac:dyDescent="0.3">
      <c r="BF1075" t="e">
        <f>solver_rel519=2</f>
        <v>#NAME?</v>
      </c>
    </row>
    <row r="1076" spans="58:58" x14ac:dyDescent="0.3">
      <c r="BF1076" t="e">
        <f>solver_rel52=1</f>
        <v>#NAME?</v>
      </c>
    </row>
    <row r="1077" spans="58:58" x14ac:dyDescent="0.3">
      <c r="BF1077" t="e">
        <f>solver_rel520=1</f>
        <v>#NAME?</v>
      </c>
    </row>
    <row r="1078" spans="58:58" x14ac:dyDescent="0.3">
      <c r="BF1078" t="e">
        <f>solver_rel521=3</f>
        <v>#NAME?</v>
      </c>
    </row>
    <row r="1079" spans="58:58" x14ac:dyDescent="0.3">
      <c r="BF1079" t="e">
        <f>solver_rel522=2</f>
        <v>#NAME?</v>
      </c>
    </row>
    <row r="1080" spans="58:58" x14ac:dyDescent="0.3">
      <c r="BF1080" t="e">
        <f>solver_rel523=1</f>
        <v>#NAME?</v>
      </c>
    </row>
    <row r="1081" spans="58:58" x14ac:dyDescent="0.3">
      <c r="BF1081" t="e">
        <f>solver_rel524=3</f>
        <v>#NAME?</v>
      </c>
    </row>
    <row r="1082" spans="58:58" x14ac:dyDescent="0.3">
      <c r="BF1082" t="e">
        <f>solver_rel525=2</f>
        <v>#NAME?</v>
      </c>
    </row>
    <row r="1083" spans="58:58" x14ac:dyDescent="0.3">
      <c r="BF1083" t="e">
        <f>solver_rel526=1</f>
        <v>#NAME?</v>
      </c>
    </row>
    <row r="1084" spans="58:58" x14ac:dyDescent="0.3">
      <c r="BF1084" t="e">
        <f>solver_rel527=3</f>
        <v>#NAME?</v>
      </c>
    </row>
    <row r="1085" spans="58:58" x14ac:dyDescent="0.3">
      <c r="BF1085" t="e">
        <f>solver_rel528=2</f>
        <v>#NAME?</v>
      </c>
    </row>
    <row r="1086" spans="58:58" x14ac:dyDescent="0.3">
      <c r="BF1086" t="e">
        <f>solver_rel529=1</f>
        <v>#NAME?</v>
      </c>
    </row>
    <row r="1087" spans="58:58" x14ac:dyDescent="0.3">
      <c r="BF1087" t="e">
        <f>solver_rel53=3</f>
        <v>#NAME?</v>
      </c>
    </row>
    <row r="1088" spans="58:58" x14ac:dyDescent="0.3">
      <c r="BF1088" t="e">
        <f>solver_rel530=3</f>
        <v>#NAME?</v>
      </c>
    </row>
    <row r="1089" spans="58:58" x14ac:dyDescent="0.3">
      <c r="BF1089" t="e">
        <f>solver_rel531=2</f>
        <v>#NAME?</v>
      </c>
    </row>
    <row r="1090" spans="58:58" x14ac:dyDescent="0.3">
      <c r="BF1090" t="e">
        <f>solver_rel532=1</f>
        <v>#NAME?</v>
      </c>
    </row>
    <row r="1091" spans="58:58" x14ac:dyDescent="0.3">
      <c r="BF1091" t="e">
        <f>solver_rel533=3</f>
        <v>#NAME?</v>
      </c>
    </row>
    <row r="1092" spans="58:58" x14ac:dyDescent="0.3">
      <c r="BF1092" t="e">
        <f>solver_rel534=2</f>
        <v>#NAME?</v>
      </c>
    </row>
    <row r="1093" spans="58:58" x14ac:dyDescent="0.3">
      <c r="BF1093" t="e">
        <f>solver_rel535=1</f>
        <v>#NAME?</v>
      </c>
    </row>
    <row r="1094" spans="58:58" x14ac:dyDescent="0.3">
      <c r="BF1094" t="e">
        <f>solver_rel536=3</f>
        <v>#NAME?</v>
      </c>
    </row>
    <row r="1095" spans="58:58" x14ac:dyDescent="0.3">
      <c r="BF1095" t="e">
        <f>solver_rel537=2</f>
        <v>#NAME?</v>
      </c>
    </row>
    <row r="1096" spans="58:58" x14ac:dyDescent="0.3">
      <c r="BF1096" t="e">
        <f>solver_rel538=1</f>
        <v>#NAME?</v>
      </c>
    </row>
    <row r="1097" spans="58:58" x14ac:dyDescent="0.3">
      <c r="BF1097" t="e">
        <f>solver_rel539=3</f>
        <v>#NAME?</v>
      </c>
    </row>
    <row r="1098" spans="58:58" x14ac:dyDescent="0.3">
      <c r="BF1098" t="e">
        <f>solver_rel54=2</f>
        <v>#NAME?</v>
      </c>
    </row>
    <row r="1099" spans="58:58" x14ac:dyDescent="0.3">
      <c r="BF1099" t="e">
        <f>solver_rel540=2</f>
        <v>#NAME?</v>
      </c>
    </row>
    <row r="1100" spans="58:58" x14ac:dyDescent="0.3">
      <c r="BF1100" t="e">
        <f>solver_rel541=1</f>
        <v>#NAME?</v>
      </c>
    </row>
    <row r="1101" spans="58:58" x14ac:dyDescent="0.3">
      <c r="BF1101" t="e">
        <f>solver_rel542=3</f>
        <v>#NAME?</v>
      </c>
    </row>
    <row r="1102" spans="58:58" x14ac:dyDescent="0.3">
      <c r="BF1102" t="e">
        <f>solver_rel543=2</f>
        <v>#NAME?</v>
      </c>
    </row>
    <row r="1103" spans="58:58" x14ac:dyDescent="0.3">
      <c r="BF1103" t="e">
        <f>solver_rel544=1</f>
        <v>#NAME?</v>
      </c>
    </row>
    <row r="1104" spans="58:58" x14ac:dyDescent="0.3">
      <c r="BF1104" t="e">
        <f>solver_rel545=3</f>
        <v>#NAME?</v>
      </c>
    </row>
    <row r="1105" spans="58:58" x14ac:dyDescent="0.3">
      <c r="BF1105" t="e">
        <f>solver_rel546=2</f>
        <v>#NAME?</v>
      </c>
    </row>
    <row r="1106" spans="58:58" x14ac:dyDescent="0.3">
      <c r="BF1106" t="e">
        <f>solver_rel547=1</f>
        <v>#NAME?</v>
      </c>
    </row>
    <row r="1107" spans="58:58" x14ac:dyDescent="0.3">
      <c r="BF1107" t="e">
        <f>solver_rel548=3</f>
        <v>#NAME?</v>
      </c>
    </row>
    <row r="1108" spans="58:58" x14ac:dyDescent="0.3">
      <c r="BF1108" t="e">
        <f>solver_rel549=2</f>
        <v>#NAME?</v>
      </c>
    </row>
    <row r="1109" spans="58:58" x14ac:dyDescent="0.3">
      <c r="BF1109" t="e">
        <f>solver_rel55=1</f>
        <v>#NAME?</v>
      </c>
    </row>
    <row r="1110" spans="58:58" x14ac:dyDescent="0.3">
      <c r="BF1110" t="e">
        <f>solver_rel550=1</f>
        <v>#NAME?</v>
      </c>
    </row>
    <row r="1111" spans="58:58" x14ac:dyDescent="0.3">
      <c r="BF1111" t="e">
        <f>solver_rel551=3</f>
        <v>#NAME?</v>
      </c>
    </row>
    <row r="1112" spans="58:58" x14ac:dyDescent="0.3">
      <c r="BF1112" t="e">
        <f>solver_rel552=2</f>
        <v>#NAME?</v>
      </c>
    </row>
    <row r="1113" spans="58:58" x14ac:dyDescent="0.3">
      <c r="BF1113" t="e">
        <f>solver_rel553=1</f>
        <v>#NAME?</v>
      </c>
    </row>
    <row r="1114" spans="58:58" x14ac:dyDescent="0.3">
      <c r="BF1114" t="e">
        <f>solver_rel554=3</f>
        <v>#NAME?</v>
      </c>
    </row>
    <row r="1115" spans="58:58" x14ac:dyDescent="0.3">
      <c r="BF1115" t="e">
        <f>solver_rel555=2</f>
        <v>#NAME?</v>
      </c>
    </row>
    <row r="1116" spans="58:58" x14ac:dyDescent="0.3">
      <c r="BF1116" t="e">
        <f>solver_rel556=1</f>
        <v>#NAME?</v>
      </c>
    </row>
    <row r="1117" spans="58:58" x14ac:dyDescent="0.3">
      <c r="BF1117" t="e">
        <f>solver_rel557=3</f>
        <v>#NAME?</v>
      </c>
    </row>
    <row r="1118" spans="58:58" x14ac:dyDescent="0.3">
      <c r="BF1118" t="e">
        <f>solver_rel558=2</f>
        <v>#NAME?</v>
      </c>
    </row>
    <row r="1119" spans="58:58" x14ac:dyDescent="0.3">
      <c r="BF1119" t="e">
        <f>solver_rel559=1</f>
        <v>#NAME?</v>
      </c>
    </row>
    <row r="1120" spans="58:58" x14ac:dyDescent="0.3">
      <c r="BF1120" t="e">
        <f>solver_rel56=3</f>
        <v>#NAME?</v>
      </c>
    </row>
    <row r="1121" spans="58:58" x14ac:dyDescent="0.3">
      <c r="BF1121" t="e">
        <f>solver_rel560=3</f>
        <v>#NAME?</v>
      </c>
    </row>
    <row r="1122" spans="58:58" x14ac:dyDescent="0.3">
      <c r="BF1122" t="e">
        <f>solver_rel561=2</f>
        <v>#NAME?</v>
      </c>
    </row>
    <row r="1123" spans="58:58" x14ac:dyDescent="0.3">
      <c r="BF1123" t="e">
        <f>solver_rel562=1</f>
        <v>#NAME?</v>
      </c>
    </row>
    <row r="1124" spans="58:58" x14ac:dyDescent="0.3">
      <c r="BF1124" t="e">
        <f>solver_rel563=3</f>
        <v>#NAME?</v>
      </c>
    </row>
    <row r="1125" spans="58:58" x14ac:dyDescent="0.3">
      <c r="BF1125" t="e">
        <f>solver_rel564=2</f>
        <v>#NAME?</v>
      </c>
    </row>
    <row r="1126" spans="58:58" x14ac:dyDescent="0.3">
      <c r="BF1126" t="e">
        <f>solver_rel565=1</f>
        <v>#NAME?</v>
      </c>
    </row>
    <row r="1127" spans="58:58" x14ac:dyDescent="0.3">
      <c r="BF1127" t="e">
        <f>solver_rel566=3</f>
        <v>#NAME?</v>
      </c>
    </row>
    <row r="1128" spans="58:58" x14ac:dyDescent="0.3">
      <c r="BF1128" t="e">
        <f>solver_rel567=2</f>
        <v>#NAME?</v>
      </c>
    </row>
    <row r="1129" spans="58:58" x14ac:dyDescent="0.3">
      <c r="BF1129" t="e">
        <f>solver_rel568=1</f>
        <v>#NAME?</v>
      </c>
    </row>
    <row r="1130" spans="58:58" x14ac:dyDescent="0.3">
      <c r="BF1130" t="e">
        <f>solver_rel569=3</f>
        <v>#NAME?</v>
      </c>
    </row>
    <row r="1131" spans="58:58" x14ac:dyDescent="0.3">
      <c r="BF1131" t="e">
        <f>solver_rel57=2</f>
        <v>#NAME?</v>
      </c>
    </row>
    <row r="1132" spans="58:58" x14ac:dyDescent="0.3">
      <c r="BF1132" t="e">
        <f>solver_rel570=2</f>
        <v>#NAME?</v>
      </c>
    </row>
    <row r="1133" spans="58:58" x14ac:dyDescent="0.3">
      <c r="BF1133" t="e">
        <f>solver_rel571=1</f>
        <v>#NAME?</v>
      </c>
    </row>
    <row r="1134" spans="58:58" x14ac:dyDescent="0.3">
      <c r="BF1134" t="e">
        <f>solver_rel572=3</f>
        <v>#NAME?</v>
      </c>
    </row>
    <row r="1135" spans="58:58" x14ac:dyDescent="0.3">
      <c r="BF1135" t="e">
        <f>solver_rel573=2</f>
        <v>#NAME?</v>
      </c>
    </row>
    <row r="1136" spans="58:58" x14ac:dyDescent="0.3">
      <c r="BF1136" t="e">
        <f>solver_rel574=1</f>
        <v>#NAME?</v>
      </c>
    </row>
    <row r="1137" spans="58:58" x14ac:dyDescent="0.3">
      <c r="BF1137" t="e">
        <f>solver_rel575=3</f>
        <v>#NAME?</v>
      </c>
    </row>
    <row r="1138" spans="58:58" x14ac:dyDescent="0.3">
      <c r="BF1138" t="e">
        <f>solver_rel576=2</f>
        <v>#NAME?</v>
      </c>
    </row>
    <row r="1139" spans="58:58" x14ac:dyDescent="0.3">
      <c r="BF1139" t="e">
        <f>solver_rel577=1</f>
        <v>#NAME?</v>
      </c>
    </row>
    <row r="1140" spans="58:58" x14ac:dyDescent="0.3">
      <c r="BF1140" t="e">
        <f>solver_rel578=3</f>
        <v>#NAME?</v>
      </c>
    </row>
    <row r="1141" spans="58:58" x14ac:dyDescent="0.3">
      <c r="BF1141" t="e">
        <f>solver_rel579=2</f>
        <v>#NAME?</v>
      </c>
    </row>
    <row r="1142" spans="58:58" x14ac:dyDescent="0.3">
      <c r="BF1142" t="e">
        <f>solver_rel58=1</f>
        <v>#NAME?</v>
      </c>
    </row>
    <row r="1143" spans="58:58" x14ac:dyDescent="0.3">
      <c r="BF1143" t="e">
        <f>solver_rel580=1</f>
        <v>#NAME?</v>
      </c>
    </row>
    <row r="1144" spans="58:58" x14ac:dyDescent="0.3">
      <c r="BF1144" t="e">
        <f>solver_rel581=3</f>
        <v>#NAME?</v>
      </c>
    </row>
    <row r="1145" spans="58:58" x14ac:dyDescent="0.3">
      <c r="BF1145" t="e">
        <f>solver_rel582=2</f>
        <v>#NAME?</v>
      </c>
    </row>
    <row r="1146" spans="58:58" x14ac:dyDescent="0.3">
      <c r="BF1146" t="e">
        <f>solver_rel583=1</f>
        <v>#NAME?</v>
      </c>
    </row>
    <row r="1147" spans="58:58" x14ac:dyDescent="0.3">
      <c r="BF1147" t="e">
        <f>solver_rel584=3</f>
        <v>#NAME?</v>
      </c>
    </row>
    <row r="1148" spans="58:58" x14ac:dyDescent="0.3">
      <c r="BF1148" t="e">
        <f>solver_rel585=2</f>
        <v>#NAME?</v>
      </c>
    </row>
    <row r="1149" spans="58:58" x14ac:dyDescent="0.3">
      <c r="BF1149" t="e">
        <f>solver_rel586=1</f>
        <v>#NAME?</v>
      </c>
    </row>
    <row r="1150" spans="58:58" x14ac:dyDescent="0.3">
      <c r="BF1150" t="e">
        <f>solver_rel587=3</f>
        <v>#NAME?</v>
      </c>
    </row>
    <row r="1151" spans="58:58" x14ac:dyDescent="0.3">
      <c r="BF1151" t="e">
        <f>solver_rel588=2</f>
        <v>#NAME?</v>
      </c>
    </row>
    <row r="1152" spans="58:58" x14ac:dyDescent="0.3">
      <c r="BF1152" t="e">
        <f>solver_rel589=1</f>
        <v>#NAME?</v>
      </c>
    </row>
    <row r="1153" spans="58:58" x14ac:dyDescent="0.3">
      <c r="BF1153" t="e">
        <f>solver_rel59=3</f>
        <v>#NAME?</v>
      </c>
    </row>
    <row r="1154" spans="58:58" x14ac:dyDescent="0.3">
      <c r="BF1154" t="e">
        <f>solver_rel590=3</f>
        <v>#NAME?</v>
      </c>
    </row>
    <row r="1155" spans="58:58" x14ac:dyDescent="0.3">
      <c r="BF1155" t="e">
        <f>solver_rel591=2</f>
        <v>#NAME?</v>
      </c>
    </row>
    <row r="1156" spans="58:58" x14ac:dyDescent="0.3">
      <c r="BF1156" t="e">
        <f>solver_rel592=1</f>
        <v>#NAME?</v>
      </c>
    </row>
    <row r="1157" spans="58:58" x14ac:dyDescent="0.3">
      <c r="BF1157" t="e">
        <f>solver_rel593=3</f>
        <v>#NAME?</v>
      </c>
    </row>
    <row r="1158" spans="58:58" x14ac:dyDescent="0.3">
      <c r="BF1158" t="e">
        <f>solver_rel594=2</f>
        <v>#NAME?</v>
      </c>
    </row>
    <row r="1159" spans="58:58" x14ac:dyDescent="0.3">
      <c r="BF1159" t="e">
        <f>solver_rel595=1</f>
        <v>#NAME?</v>
      </c>
    </row>
    <row r="1160" spans="58:58" x14ac:dyDescent="0.3">
      <c r="BF1160" t="e">
        <f>solver_rel596=3</f>
        <v>#NAME?</v>
      </c>
    </row>
    <row r="1161" spans="58:58" x14ac:dyDescent="0.3">
      <c r="BF1161" t="e">
        <f>solver_rel597=2</f>
        <v>#NAME?</v>
      </c>
    </row>
    <row r="1162" spans="58:58" x14ac:dyDescent="0.3">
      <c r="BF1162" t="e">
        <f>solver_rel598=1</f>
        <v>#NAME?</v>
      </c>
    </row>
    <row r="1163" spans="58:58" x14ac:dyDescent="0.3">
      <c r="BF1163" t="e">
        <f>solver_rel599=3</f>
        <v>#NAME?</v>
      </c>
    </row>
    <row r="1164" spans="58:58" x14ac:dyDescent="0.3">
      <c r="BF1164" t="e">
        <f>solver_rel6=2</f>
        <v>#NAME?</v>
      </c>
    </row>
    <row r="1165" spans="58:58" x14ac:dyDescent="0.3">
      <c r="BF1165" t="e">
        <f>solver_rel60=2</f>
        <v>#NAME?</v>
      </c>
    </row>
    <row r="1166" spans="58:58" x14ac:dyDescent="0.3">
      <c r="BF1166" t="e">
        <f>solver_rel600=2</f>
        <v>#NAME?</v>
      </c>
    </row>
    <row r="1167" spans="58:58" x14ac:dyDescent="0.3">
      <c r="BF1167" t="e">
        <f>solver_rel61=1</f>
        <v>#NAME?</v>
      </c>
    </row>
    <row r="1168" spans="58:58" x14ac:dyDescent="0.3">
      <c r="BF1168" t="e">
        <f>solver_rel62=3</f>
        <v>#NAME?</v>
      </c>
    </row>
    <row r="1169" spans="58:58" x14ac:dyDescent="0.3">
      <c r="BF1169" t="e">
        <f>solver_rel63=2</f>
        <v>#NAME?</v>
      </c>
    </row>
    <row r="1170" spans="58:58" x14ac:dyDescent="0.3">
      <c r="BF1170" t="e">
        <f>solver_rel64=1</f>
        <v>#NAME?</v>
      </c>
    </row>
    <row r="1171" spans="58:58" x14ac:dyDescent="0.3">
      <c r="BF1171" t="e">
        <f>solver_rel65=3</f>
        <v>#NAME?</v>
      </c>
    </row>
    <row r="1172" spans="58:58" x14ac:dyDescent="0.3">
      <c r="BF1172" t="e">
        <f>solver_rel66=2</f>
        <v>#NAME?</v>
      </c>
    </row>
    <row r="1173" spans="58:58" x14ac:dyDescent="0.3">
      <c r="BF1173" t="e">
        <f>solver_rel67=1</f>
        <v>#NAME?</v>
      </c>
    </row>
    <row r="1174" spans="58:58" x14ac:dyDescent="0.3">
      <c r="BF1174" t="e">
        <f>solver_rel68=3</f>
        <v>#NAME?</v>
      </c>
    </row>
    <row r="1175" spans="58:58" x14ac:dyDescent="0.3">
      <c r="BF1175" t="e">
        <f>solver_rel69=2</f>
        <v>#NAME?</v>
      </c>
    </row>
    <row r="1176" spans="58:58" x14ac:dyDescent="0.3">
      <c r="BF1176" t="e">
        <f>solver_rel7=1</f>
        <v>#NAME?</v>
      </c>
    </row>
    <row r="1177" spans="58:58" x14ac:dyDescent="0.3">
      <c r="BF1177" t="e">
        <f>solver_rel70=1</f>
        <v>#NAME?</v>
      </c>
    </row>
    <row r="1178" spans="58:58" x14ac:dyDescent="0.3">
      <c r="BF1178" t="e">
        <f>solver_rel71=3</f>
        <v>#NAME?</v>
      </c>
    </row>
    <row r="1179" spans="58:58" x14ac:dyDescent="0.3">
      <c r="BF1179" t="e">
        <f>solver_rel72=2</f>
        <v>#NAME?</v>
      </c>
    </row>
    <row r="1180" spans="58:58" x14ac:dyDescent="0.3">
      <c r="BF1180" t="e">
        <f>solver_rel73=1</f>
        <v>#NAME?</v>
      </c>
    </row>
    <row r="1181" spans="58:58" x14ac:dyDescent="0.3">
      <c r="BF1181" t="e">
        <f>solver_rel74=3</f>
        <v>#NAME?</v>
      </c>
    </row>
    <row r="1182" spans="58:58" x14ac:dyDescent="0.3">
      <c r="BF1182" t="e">
        <f>solver_rel75=2</f>
        <v>#NAME?</v>
      </c>
    </row>
    <row r="1183" spans="58:58" x14ac:dyDescent="0.3">
      <c r="BF1183" t="e">
        <f>solver_rel76=1</f>
        <v>#NAME?</v>
      </c>
    </row>
    <row r="1184" spans="58:58" x14ac:dyDescent="0.3">
      <c r="BF1184" t="e">
        <f>solver_rel77=3</f>
        <v>#NAME?</v>
      </c>
    </row>
    <row r="1185" spans="58:58" x14ac:dyDescent="0.3">
      <c r="BF1185" t="e">
        <f>solver_rel78=2</f>
        <v>#NAME?</v>
      </c>
    </row>
    <row r="1186" spans="58:58" x14ac:dyDescent="0.3">
      <c r="BF1186" t="e">
        <f>solver_rel79=1</f>
        <v>#NAME?</v>
      </c>
    </row>
    <row r="1187" spans="58:58" x14ac:dyDescent="0.3">
      <c r="BF1187" t="e">
        <f>solver_rel8=3</f>
        <v>#NAME?</v>
      </c>
    </row>
    <row r="1188" spans="58:58" x14ac:dyDescent="0.3">
      <c r="BF1188" t="e">
        <f>solver_rel80=3</f>
        <v>#NAME?</v>
      </c>
    </row>
    <row r="1189" spans="58:58" x14ac:dyDescent="0.3">
      <c r="BF1189" t="e">
        <f>solver_rel81=2</f>
        <v>#NAME?</v>
      </c>
    </row>
    <row r="1190" spans="58:58" x14ac:dyDescent="0.3">
      <c r="BF1190" t="e">
        <f>solver_rel82=1</f>
        <v>#NAME?</v>
      </c>
    </row>
    <row r="1191" spans="58:58" x14ac:dyDescent="0.3">
      <c r="BF1191" t="e">
        <f>solver_rel83=3</f>
        <v>#NAME?</v>
      </c>
    </row>
    <row r="1192" spans="58:58" x14ac:dyDescent="0.3">
      <c r="BF1192" t="e">
        <f>solver_rel84=2</f>
        <v>#NAME?</v>
      </c>
    </row>
    <row r="1193" spans="58:58" x14ac:dyDescent="0.3">
      <c r="BF1193" t="e">
        <f>solver_rel85=1</f>
        <v>#NAME?</v>
      </c>
    </row>
    <row r="1194" spans="58:58" x14ac:dyDescent="0.3">
      <c r="BF1194" t="e">
        <f>solver_rel86=3</f>
        <v>#NAME?</v>
      </c>
    </row>
    <row r="1195" spans="58:58" x14ac:dyDescent="0.3">
      <c r="BF1195" t="e">
        <f>solver_rel87=2</f>
        <v>#NAME?</v>
      </c>
    </row>
    <row r="1196" spans="58:58" x14ac:dyDescent="0.3">
      <c r="BF1196" t="e">
        <f>solver_rel88=1</f>
        <v>#NAME?</v>
      </c>
    </row>
    <row r="1197" spans="58:58" x14ac:dyDescent="0.3">
      <c r="BF1197" t="e">
        <f>solver_rel89=3</f>
        <v>#NAME?</v>
      </c>
    </row>
    <row r="1198" spans="58:58" x14ac:dyDescent="0.3">
      <c r="BF1198" t="e">
        <f>solver_rel9=2</f>
        <v>#NAME?</v>
      </c>
    </row>
    <row r="1199" spans="58:58" x14ac:dyDescent="0.3">
      <c r="BF1199" t="e">
        <f>solver_rel90=2</f>
        <v>#NAME?</v>
      </c>
    </row>
    <row r="1200" spans="58:58" x14ac:dyDescent="0.3">
      <c r="BF1200" t="e">
        <f>solver_rel91=1</f>
        <v>#NAME?</v>
      </c>
    </row>
    <row r="1201" spans="58:58" x14ac:dyDescent="0.3">
      <c r="BF1201" t="e">
        <f>solver_rel92=3</f>
        <v>#NAME?</v>
      </c>
    </row>
    <row r="1202" spans="58:58" x14ac:dyDescent="0.3">
      <c r="BF1202" t="e">
        <f>solver_rel93=2</f>
        <v>#NAME?</v>
      </c>
    </row>
    <row r="1203" spans="58:58" x14ac:dyDescent="0.3">
      <c r="BF1203" t="e">
        <f>solver_rel94=1</f>
        <v>#NAME?</v>
      </c>
    </row>
    <row r="1204" spans="58:58" x14ac:dyDescent="0.3">
      <c r="BF1204" t="e">
        <f>solver_rel95=3</f>
        <v>#NAME?</v>
      </c>
    </row>
    <row r="1205" spans="58:58" x14ac:dyDescent="0.3">
      <c r="BF1205" t="e">
        <f>solver_rel96=2</f>
        <v>#NAME?</v>
      </c>
    </row>
    <row r="1206" spans="58:58" x14ac:dyDescent="0.3">
      <c r="BF1206" t="e">
        <f>solver_rel97=1</f>
        <v>#NAME?</v>
      </c>
    </row>
    <row r="1207" spans="58:58" x14ac:dyDescent="0.3">
      <c r="BF1207" t="e">
        <f>solver_rel98=3</f>
        <v>#NAME?</v>
      </c>
    </row>
    <row r="1208" spans="58:58" x14ac:dyDescent="0.3">
      <c r="BF1208" t="e">
        <f>solver_rel99=2</f>
        <v>#NAME?</v>
      </c>
    </row>
    <row r="1209" spans="58:58" x14ac:dyDescent="0.3">
      <c r="BF1209" t="e">
        <f>solver_rhs1=#REF!</f>
        <v>#NAME?</v>
      </c>
    </row>
    <row r="1210" spans="58:58" x14ac:dyDescent="0.3">
      <c r="BF1210" t="e">
        <f>solver_rhs10=#REF!</f>
        <v>#NAME?</v>
      </c>
    </row>
    <row r="1211" spans="58:58" x14ac:dyDescent="0.3">
      <c r="BF1211" t="e">
        <f>solver_rhs100=#REF!</f>
        <v>#NAME?</v>
      </c>
    </row>
    <row r="1212" spans="58:58" x14ac:dyDescent="0.3">
      <c r="BF1212" t="e">
        <f>solver_rhs101=#REF!</f>
        <v>#NAME?</v>
      </c>
    </row>
    <row r="1213" spans="58:58" x14ac:dyDescent="0.3">
      <c r="BF1213" t="e">
        <f>solver_rhs102=#REF!</f>
        <v>#NAME?</v>
      </c>
    </row>
    <row r="1214" spans="58:58" x14ac:dyDescent="0.3">
      <c r="BF1214" t="e">
        <f>solver_rhs103=#REF!</f>
        <v>#NAME?</v>
      </c>
    </row>
    <row r="1215" spans="58:58" x14ac:dyDescent="0.3">
      <c r="BF1215" t="e">
        <f>solver_rhs104=#REF!</f>
        <v>#NAME?</v>
      </c>
    </row>
    <row r="1216" spans="58:58" x14ac:dyDescent="0.3">
      <c r="BF1216" t="e">
        <f>solver_rhs105=#REF!</f>
        <v>#NAME?</v>
      </c>
    </row>
    <row r="1217" spans="58:58" x14ac:dyDescent="0.3">
      <c r="BF1217" t="e">
        <f>solver_rhs106=#REF!</f>
        <v>#NAME?</v>
      </c>
    </row>
    <row r="1218" spans="58:58" x14ac:dyDescent="0.3">
      <c r="BF1218" t="e">
        <f>solver_rhs107=#REF!</f>
        <v>#NAME?</v>
      </c>
    </row>
    <row r="1219" spans="58:58" x14ac:dyDescent="0.3">
      <c r="BF1219" t="e">
        <f>solver_rhs108=#REF!</f>
        <v>#NAME?</v>
      </c>
    </row>
    <row r="1220" spans="58:58" x14ac:dyDescent="0.3">
      <c r="BF1220" t="e">
        <f>solver_rhs109=#REF!</f>
        <v>#NAME?</v>
      </c>
    </row>
    <row r="1221" spans="58:58" x14ac:dyDescent="0.3">
      <c r="BF1221" t="e">
        <f>solver_rhs11=#REF!</f>
        <v>#NAME?</v>
      </c>
    </row>
    <row r="1222" spans="58:58" x14ac:dyDescent="0.3">
      <c r="BF1222" t="e">
        <f>solver_rhs110=#REF!</f>
        <v>#NAME?</v>
      </c>
    </row>
    <row r="1223" spans="58:58" x14ac:dyDescent="0.3">
      <c r="BF1223" t="e">
        <f>solver_rhs111=#REF!</f>
        <v>#NAME?</v>
      </c>
    </row>
    <row r="1224" spans="58:58" x14ac:dyDescent="0.3">
      <c r="BF1224" t="e">
        <f>solver_rhs112=#REF!</f>
        <v>#NAME?</v>
      </c>
    </row>
    <row r="1225" spans="58:58" x14ac:dyDescent="0.3">
      <c r="BF1225" t="e">
        <f>solver_rhs113=#REF!</f>
        <v>#NAME?</v>
      </c>
    </row>
    <row r="1226" spans="58:58" x14ac:dyDescent="0.3">
      <c r="BF1226" t="e">
        <f>solver_rhs114=#REF!</f>
        <v>#NAME?</v>
      </c>
    </row>
    <row r="1227" spans="58:58" x14ac:dyDescent="0.3">
      <c r="BF1227" t="e">
        <f>solver_rhs115=#REF!</f>
        <v>#NAME?</v>
      </c>
    </row>
    <row r="1228" spans="58:58" x14ac:dyDescent="0.3">
      <c r="BF1228" t="e">
        <f>solver_rhs116=#REF!</f>
        <v>#NAME?</v>
      </c>
    </row>
    <row r="1229" spans="58:58" x14ac:dyDescent="0.3">
      <c r="BF1229" t="e">
        <f>solver_rhs117=#REF!</f>
        <v>#NAME?</v>
      </c>
    </row>
    <row r="1230" spans="58:58" x14ac:dyDescent="0.3">
      <c r="BF1230" t="e">
        <f>solver_rhs118=#REF!</f>
        <v>#NAME?</v>
      </c>
    </row>
    <row r="1231" spans="58:58" x14ac:dyDescent="0.3">
      <c r="BF1231" t="e">
        <f>solver_rhs119=#REF!</f>
        <v>#NAME?</v>
      </c>
    </row>
    <row r="1232" spans="58:58" x14ac:dyDescent="0.3">
      <c r="BF1232" t="e">
        <f>solver_rhs12=#REF!</f>
        <v>#NAME?</v>
      </c>
    </row>
    <row r="1233" spans="58:58" x14ac:dyDescent="0.3">
      <c r="BF1233" t="e">
        <f>solver_rhs120=#REF!</f>
        <v>#NAME?</v>
      </c>
    </row>
    <row r="1234" spans="58:58" x14ac:dyDescent="0.3">
      <c r="BF1234" t="e">
        <f>solver_rhs121=#REF!</f>
        <v>#NAME?</v>
      </c>
    </row>
    <row r="1235" spans="58:58" x14ac:dyDescent="0.3">
      <c r="BF1235" t="e">
        <f>solver_rhs122=#REF!</f>
        <v>#NAME?</v>
      </c>
    </row>
    <row r="1236" spans="58:58" x14ac:dyDescent="0.3">
      <c r="BF1236" t="e">
        <f>solver_rhs123=#REF!</f>
        <v>#NAME?</v>
      </c>
    </row>
    <row r="1237" spans="58:58" x14ac:dyDescent="0.3">
      <c r="BF1237" t="e">
        <f>solver_rhs124=#REF!</f>
        <v>#NAME?</v>
      </c>
    </row>
    <row r="1238" spans="58:58" x14ac:dyDescent="0.3">
      <c r="BF1238" t="e">
        <f>solver_rhs125=#REF!</f>
        <v>#NAME?</v>
      </c>
    </row>
    <row r="1239" spans="58:58" x14ac:dyDescent="0.3">
      <c r="BF1239" t="e">
        <f>solver_rhs126=#REF!</f>
        <v>#NAME?</v>
      </c>
    </row>
    <row r="1240" spans="58:58" x14ac:dyDescent="0.3">
      <c r="BF1240" t="e">
        <f>solver_rhs127=#REF!</f>
        <v>#NAME?</v>
      </c>
    </row>
    <row r="1241" spans="58:58" x14ac:dyDescent="0.3">
      <c r="BF1241" t="e">
        <f>solver_rhs128=#REF!</f>
        <v>#NAME?</v>
      </c>
    </row>
    <row r="1242" spans="58:58" x14ac:dyDescent="0.3">
      <c r="BF1242" t="e">
        <f>solver_rhs129=#REF!</f>
        <v>#NAME?</v>
      </c>
    </row>
    <row r="1243" spans="58:58" x14ac:dyDescent="0.3">
      <c r="BF1243" t="e">
        <f>solver_rhs13=#REF!</f>
        <v>#NAME?</v>
      </c>
    </row>
    <row r="1244" spans="58:58" x14ac:dyDescent="0.3">
      <c r="BF1244" t="e">
        <f>solver_rhs130=#REF!</f>
        <v>#NAME?</v>
      </c>
    </row>
    <row r="1245" spans="58:58" x14ac:dyDescent="0.3">
      <c r="BF1245" t="e">
        <f>solver_rhs131=#REF!</f>
        <v>#NAME?</v>
      </c>
    </row>
    <row r="1246" spans="58:58" x14ac:dyDescent="0.3">
      <c r="BF1246" t="e">
        <f>solver_rhs132=#REF!</f>
        <v>#NAME?</v>
      </c>
    </row>
    <row r="1247" spans="58:58" x14ac:dyDescent="0.3">
      <c r="BF1247" t="e">
        <f>solver_rhs133=#REF!</f>
        <v>#NAME?</v>
      </c>
    </row>
    <row r="1248" spans="58:58" x14ac:dyDescent="0.3">
      <c r="BF1248" t="e">
        <f>solver_rhs134=#REF!</f>
        <v>#NAME?</v>
      </c>
    </row>
    <row r="1249" spans="58:58" x14ac:dyDescent="0.3">
      <c r="BF1249" t="e">
        <f>solver_rhs135=#REF!</f>
        <v>#NAME?</v>
      </c>
    </row>
    <row r="1250" spans="58:58" x14ac:dyDescent="0.3">
      <c r="BF1250" t="e">
        <f>solver_rhs136=#REF!</f>
        <v>#NAME?</v>
      </c>
    </row>
    <row r="1251" spans="58:58" x14ac:dyDescent="0.3">
      <c r="BF1251" t="e">
        <f>solver_rhs137=#REF!</f>
        <v>#NAME?</v>
      </c>
    </row>
    <row r="1252" spans="58:58" x14ac:dyDescent="0.3">
      <c r="BF1252" t="e">
        <f>solver_rhs138=#REF!</f>
        <v>#NAME?</v>
      </c>
    </row>
    <row r="1253" spans="58:58" x14ac:dyDescent="0.3">
      <c r="BF1253" t="e">
        <f>solver_rhs139=#REF!</f>
        <v>#NAME?</v>
      </c>
    </row>
    <row r="1254" spans="58:58" x14ac:dyDescent="0.3">
      <c r="BF1254" t="e">
        <f>solver_rhs14=#REF!</f>
        <v>#NAME?</v>
      </c>
    </row>
    <row r="1255" spans="58:58" x14ac:dyDescent="0.3">
      <c r="BF1255" t="e">
        <f>solver_rhs140=#REF!</f>
        <v>#NAME?</v>
      </c>
    </row>
    <row r="1256" spans="58:58" x14ac:dyDescent="0.3">
      <c r="BF1256" t="e">
        <f>solver_rhs141=#REF!</f>
        <v>#NAME?</v>
      </c>
    </row>
    <row r="1257" spans="58:58" x14ac:dyDescent="0.3">
      <c r="BF1257" t="e">
        <f>solver_rhs142=#REF!</f>
        <v>#NAME?</v>
      </c>
    </row>
    <row r="1258" spans="58:58" x14ac:dyDescent="0.3">
      <c r="BF1258" t="e">
        <f>solver_rhs143=#REF!</f>
        <v>#NAME?</v>
      </c>
    </row>
    <row r="1259" spans="58:58" x14ac:dyDescent="0.3">
      <c r="BF1259" t="e">
        <f>solver_rhs144=#REF!</f>
        <v>#NAME?</v>
      </c>
    </row>
    <row r="1260" spans="58:58" x14ac:dyDescent="0.3">
      <c r="BF1260" t="e">
        <f>solver_rhs145=#REF!</f>
        <v>#NAME?</v>
      </c>
    </row>
    <row r="1261" spans="58:58" x14ac:dyDescent="0.3">
      <c r="BF1261" t="e">
        <f>solver_rhs146=#REF!</f>
        <v>#NAME?</v>
      </c>
    </row>
    <row r="1262" spans="58:58" x14ac:dyDescent="0.3">
      <c r="BF1262" t="e">
        <f>solver_rhs147=#REF!</f>
        <v>#NAME?</v>
      </c>
    </row>
    <row r="1263" spans="58:58" x14ac:dyDescent="0.3">
      <c r="BF1263" t="e">
        <f>solver_rhs148=#REF!</f>
        <v>#NAME?</v>
      </c>
    </row>
    <row r="1264" spans="58:58" x14ac:dyDescent="0.3">
      <c r="BF1264" t="e">
        <f>solver_rhs149=#REF!</f>
        <v>#NAME?</v>
      </c>
    </row>
    <row r="1265" spans="58:58" x14ac:dyDescent="0.3">
      <c r="BF1265" t="e">
        <f>solver_rhs15=#REF!</f>
        <v>#NAME?</v>
      </c>
    </row>
    <row r="1266" spans="58:58" x14ac:dyDescent="0.3">
      <c r="BF1266" t="e">
        <f>solver_rhs150=#REF!</f>
        <v>#NAME?</v>
      </c>
    </row>
    <row r="1267" spans="58:58" x14ac:dyDescent="0.3">
      <c r="BF1267" t="e">
        <f>solver_rhs151=#REF!</f>
        <v>#NAME?</v>
      </c>
    </row>
    <row r="1268" spans="58:58" x14ac:dyDescent="0.3">
      <c r="BF1268" t="e">
        <f>solver_rhs152=#REF!</f>
        <v>#NAME?</v>
      </c>
    </row>
    <row r="1269" spans="58:58" x14ac:dyDescent="0.3">
      <c r="BF1269" t="e">
        <f>solver_rhs153=#REF!</f>
        <v>#NAME?</v>
      </c>
    </row>
    <row r="1270" spans="58:58" x14ac:dyDescent="0.3">
      <c r="BF1270" t="e">
        <f>solver_rhs154=#REF!</f>
        <v>#NAME?</v>
      </c>
    </row>
    <row r="1271" spans="58:58" x14ac:dyDescent="0.3">
      <c r="BF1271" t="e">
        <f>solver_rhs155=#REF!</f>
        <v>#NAME?</v>
      </c>
    </row>
    <row r="1272" spans="58:58" x14ac:dyDescent="0.3">
      <c r="BF1272" t="e">
        <f>solver_rhs156=#REF!</f>
        <v>#NAME?</v>
      </c>
    </row>
    <row r="1273" spans="58:58" x14ac:dyDescent="0.3">
      <c r="BF1273" t="e">
        <f>solver_rhs157=#REF!</f>
        <v>#NAME?</v>
      </c>
    </row>
    <row r="1274" spans="58:58" x14ac:dyDescent="0.3">
      <c r="BF1274" t="e">
        <f>solver_rhs158=#REF!</f>
        <v>#NAME?</v>
      </c>
    </row>
    <row r="1275" spans="58:58" x14ac:dyDescent="0.3">
      <c r="BF1275" t="e">
        <f>solver_rhs159=#REF!</f>
        <v>#NAME?</v>
      </c>
    </row>
    <row r="1276" spans="58:58" x14ac:dyDescent="0.3">
      <c r="BF1276" t="e">
        <f>solver_rhs16=#REF!</f>
        <v>#NAME?</v>
      </c>
    </row>
    <row r="1277" spans="58:58" x14ac:dyDescent="0.3">
      <c r="BF1277" t="e">
        <f>solver_rhs160=#REF!</f>
        <v>#NAME?</v>
      </c>
    </row>
    <row r="1278" spans="58:58" x14ac:dyDescent="0.3">
      <c r="BF1278" t="e">
        <f>solver_rhs161=#REF!</f>
        <v>#NAME?</v>
      </c>
    </row>
    <row r="1279" spans="58:58" x14ac:dyDescent="0.3">
      <c r="BF1279" t="e">
        <f>solver_rhs162=#REF!</f>
        <v>#NAME?</v>
      </c>
    </row>
    <row r="1280" spans="58:58" x14ac:dyDescent="0.3">
      <c r="BF1280" t="e">
        <f>solver_rhs163=#REF!</f>
        <v>#NAME?</v>
      </c>
    </row>
    <row r="1281" spans="58:58" x14ac:dyDescent="0.3">
      <c r="BF1281" t="e">
        <f>solver_rhs164=#REF!</f>
        <v>#NAME?</v>
      </c>
    </row>
    <row r="1282" spans="58:58" x14ac:dyDescent="0.3">
      <c r="BF1282" t="e">
        <f>solver_rhs165=#REF!</f>
        <v>#NAME?</v>
      </c>
    </row>
    <row r="1283" spans="58:58" x14ac:dyDescent="0.3">
      <c r="BF1283" t="e">
        <f>solver_rhs166=#REF!</f>
        <v>#NAME?</v>
      </c>
    </row>
    <row r="1284" spans="58:58" x14ac:dyDescent="0.3">
      <c r="BF1284" t="e">
        <f>solver_rhs167=#REF!</f>
        <v>#NAME?</v>
      </c>
    </row>
    <row r="1285" spans="58:58" x14ac:dyDescent="0.3">
      <c r="BF1285" t="e">
        <f>solver_rhs168=#REF!</f>
        <v>#NAME?</v>
      </c>
    </row>
    <row r="1286" spans="58:58" x14ac:dyDescent="0.3">
      <c r="BF1286" t="e">
        <f>solver_rhs169=#REF!</f>
        <v>#NAME?</v>
      </c>
    </row>
    <row r="1287" spans="58:58" x14ac:dyDescent="0.3">
      <c r="BF1287" t="e">
        <f>solver_rhs17=#REF!</f>
        <v>#NAME?</v>
      </c>
    </row>
    <row r="1288" spans="58:58" x14ac:dyDescent="0.3">
      <c r="BF1288" t="e">
        <f>solver_rhs170=#REF!</f>
        <v>#NAME?</v>
      </c>
    </row>
    <row r="1289" spans="58:58" x14ac:dyDescent="0.3">
      <c r="BF1289" t="e">
        <f>solver_rhs171=#REF!</f>
        <v>#NAME?</v>
      </c>
    </row>
    <row r="1290" spans="58:58" x14ac:dyDescent="0.3">
      <c r="BF1290" t="e">
        <f>solver_rhs172=#REF!</f>
        <v>#NAME?</v>
      </c>
    </row>
    <row r="1291" spans="58:58" x14ac:dyDescent="0.3">
      <c r="BF1291" t="e">
        <f>solver_rhs173=#REF!</f>
        <v>#NAME?</v>
      </c>
    </row>
    <row r="1292" spans="58:58" x14ac:dyDescent="0.3">
      <c r="BF1292" t="e">
        <f>solver_rhs174=#REF!</f>
        <v>#NAME?</v>
      </c>
    </row>
    <row r="1293" spans="58:58" x14ac:dyDescent="0.3">
      <c r="BF1293" t="e">
        <f>solver_rhs175=#REF!</f>
        <v>#NAME?</v>
      </c>
    </row>
    <row r="1294" spans="58:58" x14ac:dyDescent="0.3">
      <c r="BF1294" t="e">
        <f>solver_rhs176=#REF!</f>
        <v>#NAME?</v>
      </c>
    </row>
    <row r="1295" spans="58:58" x14ac:dyDescent="0.3">
      <c r="BF1295" t="e">
        <f>solver_rhs177=#REF!</f>
        <v>#NAME?</v>
      </c>
    </row>
    <row r="1296" spans="58:58" x14ac:dyDescent="0.3">
      <c r="BF1296" t="e">
        <f>solver_rhs178=#REF!</f>
        <v>#NAME?</v>
      </c>
    </row>
    <row r="1297" spans="58:58" x14ac:dyDescent="0.3">
      <c r="BF1297" t="e">
        <f>solver_rhs179=#REF!</f>
        <v>#NAME?</v>
      </c>
    </row>
    <row r="1298" spans="58:58" x14ac:dyDescent="0.3">
      <c r="BF1298" t="e">
        <f>solver_rhs18=#REF!</f>
        <v>#NAME?</v>
      </c>
    </row>
    <row r="1299" spans="58:58" x14ac:dyDescent="0.3">
      <c r="BF1299" t="e">
        <f>solver_rhs180=#REF!</f>
        <v>#NAME?</v>
      </c>
    </row>
    <row r="1300" spans="58:58" x14ac:dyDescent="0.3">
      <c r="BF1300" t="e">
        <f>solver_rhs181=#REF!</f>
        <v>#NAME?</v>
      </c>
    </row>
    <row r="1301" spans="58:58" x14ac:dyDescent="0.3">
      <c r="BF1301" t="e">
        <f>solver_rhs182=#REF!</f>
        <v>#NAME?</v>
      </c>
    </row>
    <row r="1302" spans="58:58" x14ac:dyDescent="0.3">
      <c r="BF1302" t="e">
        <f>solver_rhs183=#REF!</f>
        <v>#NAME?</v>
      </c>
    </row>
    <row r="1303" spans="58:58" x14ac:dyDescent="0.3">
      <c r="BF1303" t="e">
        <f>solver_rhs184=#REF!</f>
        <v>#NAME?</v>
      </c>
    </row>
    <row r="1304" spans="58:58" x14ac:dyDescent="0.3">
      <c r="BF1304" t="e">
        <f>solver_rhs185=#REF!</f>
        <v>#NAME?</v>
      </c>
    </row>
    <row r="1305" spans="58:58" x14ac:dyDescent="0.3">
      <c r="BF1305" t="e">
        <f>solver_rhs186=#REF!</f>
        <v>#NAME?</v>
      </c>
    </row>
    <row r="1306" spans="58:58" x14ac:dyDescent="0.3">
      <c r="BF1306" t="e">
        <f>solver_rhs187=#REF!</f>
        <v>#NAME?</v>
      </c>
    </row>
    <row r="1307" spans="58:58" x14ac:dyDescent="0.3">
      <c r="BF1307" t="e">
        <f>solver_rhs188=#REF!</f>
        <v>#NAME?</v>
      </c>
    </row>
    <row r="1308" spans="58:58" x14ac:dyDescent="0.3">
      <c r="BF1308" t="e">
        <f>solver_rhs189=#REF!</f>
        <v>#NAME?</v>
      </c>
    </row>
    <row r="1309" spans="58:58" x14ac:dyDescent="0.3">
      <c r="BF1309" t="e">
        <f>solver_rhs19=#REF!</f>
        <v>#NAME?</v>
      </c>
    </row>
    <row r="1310" spans="58:58" x14ac:dyDescent="0.3">
      <c r="BF1310" t="e">
        <f>solver_rhs190=#REF!</f>
        <v>#NAME?</v>
      </c>
    </row>
    <row r="1311" spans="58:58" x14ac:dyDescent="0.3">
      <c r="BF1311" t="e">
        <f>solver_rhs191=#REF!</f>
        <v>#NAME?</v>
      </c>
    </row>
    <row r="1312" spans="58:58" x14ac:dyDescent="0.3">
      <c r="BF1312" t="e">
        <f>solver_rhs192=#REF!</f>
        <v>#NAME?</v>
      </c>
    </row>
    <row r="1313" spans="58:58" x14ac:dyDescent="0.3">
      <c r="BF1313" t="e">
        <f>solver_rhs193=#REF!</f>
        <v>#NAME?</v>
      </c>
    </row>
    <row r="1314" spans="58:58" x14ac:dyDescent="0.3">
      <c r="BF1314" t="e">
        <f>solver_rhs194=#REF!</f>
        <v>#NAME?</v>
      </c>
    </row>
    <row r="1315" spans="58:58" x14ac:dyDescent="0.3">
      <c r="BF1315" t="e">
        <f>solver_rhs195=#REF!</f>
        <v>#NAME?</v>
      </c>
    </row>
    <row r="1316" spans="58:58" x14ac:dyDescent="0.3">
      <c r="BF1316" t="e">
        <f>solver_rhs196=#REF!</f>
        <v>#NAME?</v>
      </c>
    </row>
    <row r="1317" spans="58:58" x14ac:dyDescent="0.3">
      <c r="BF1317" t="e">
        <f>solver_rhs197=#REF!</f>
        <v>#NAME?</v>
      </c>
    </row>
    <row r="1318" spans="58:58" x14ac:dyDescent="0.3">
      <c r="BF1318" t="e">
        <f>solver_rhs198=#REF!</f>
        <v>#NAME?</v>
      </c>
    </row>
    <row r="1319" spans="58:58" x14ac:dyDescent="0.3">
      <c r="BF1319" t="e">
        <f>solver_rhs199=#REF!</f>
        <v>#NAME?</v>
      </c>
    </row>
    <row r="1320" spans="58:58" x14ac:dyDescent="0.3">
      <c r="BF1320" t="e">
        <f>solver_rhs2=#REF!</f>
        <v>#NAME?</v>
      </c>
    </row>
    <row r="1321" spans="58:58" x14ac:dyDescent="0.3">
      <c r="BF1321" t="e">
        <f>solver_rhs20=#REF!</f>
        <v>#NAME?</v>
      </c>
    </row>
    <row r="1322" spans="58:58" x14ac:dyDescent="0.3">
      <c r="BF1322" t="e">
        <f>solver_rhs200=#REF!</f>
        <v>#NAME?</v>
      </c>
    </row>
    <row r="1323" spans="58:58" x14ac:dyDescent="0.3">
      <c r="BF1323" t="e">
        <f>solver_rhs201=#REF!</f>
        <v>#NAME?</v>
      </c>
    </row>
    <row r="1324" spans="58:58" x14ac:dyDescent="0.3">
      <c r="BF1324" t="e">
        <f>solver_rhs202=#REF!</f>
        <v>#NAME?</v>
      </c>
    </row>
    <row r="1325" spans="58:58" x14ac:dyDescent="0.3">
      <c r="BF1325" t="e">
        <f>solver_rhs203=#REF!</f>
        <v>#NAME?</v>
      </c>
    </row>
    <row r="1326" spans="58:58" x14ac:dyDescent="0.3">
      <c r="BF1326" t="e">
        <f>solver_rhs204=#REF!</f>
        <v>#NAME?</v>
      </c>
    </row>
    <row r="1327" spans="58:58" x14ac:dyDescent="0.3">
      <c r="BF1327" t="e">
        <f>solver_rhs205=#REF!</f>
        <v>#NAME?</v>
      </c>
    </row>
    <row r="1328" spans="58:58" x14ac:dyDescent="0.3">
      <c r="BF1328" t="e">
        <f>solver_rhs206=#REF!</f>
        <v>#NAME?</v>
      </c>
    </row>
    <row r="1329" spans="58:58" x14ac:dyDescent="0.3">
      <c r="BF1329" t="e">
        <f>solver_rhs207=#REF!</f>
        <v>#NAME?</v>
      </c>
    </row>
    <row r="1330" spans="58:58" x14ac:dyDescent="0.3">
      <c r="BF1330" t="e">
        <f>solver_rhs208=#REF!</f>
        <v>#NAME?</v>
      </c>
    </row>
    <row r="1331" spans="58:58" x14ac:dyDescent="0.3">
      <c r="BF1331" t="e">
        <f>solver_rhs209=#REF!</f>
        <v>#NAME?</v>
      </c>
    </row>
    <row r="1332" spans="58:58" x14ac:dyDescent="0.3">
      <c r="BF1332" t="e">
        <f>solver_rhs21=#REF!</f>
        <v>#NAME?</v>
      </c>
    </row>
    <row r="1333" spans="58:58" x14ac:dyDescent="0.3">
      <c r="BF1333" t="e">
        <f>solver_rhs210=#REF!</f>
        <v>#NAME?</v>
      </c>
    </row>
    <row r="1334" spans="58:58" x14ac:dyDescent="0.3">
      <c r="BF1334" t="e">
        <f>solver_rhs211=#REF!</f>
        <v>#NAME?</v>
      </c>
    </row>
    <row r="1335" spans="58:58" x14ac:dyDescent="0.3">
      <c r="BF1335" t="e">
        <f>solver_rhs212=#REF!</f>
        <v>#NAME?</v>
      </c>
    </row>
    <row r="1336" spans="58:58" x14ac:dyDescent="0.3">
      <c r="BF1336" t="e">
        <f>solver_rhs213=#REF!</f>
        <v>#NAME?</v>
      </c>
    </row>
    <row r="1337" spans="58:58" x14ac:dyDescent="0.3">
      <c r="BF1337" t="e">
        <f>solver_rhs214=#REF!</f>
        <v>#NAME?</v>
      </c>
    </row>
    <row r="1338" spans="58:58" x14ac:dyDescent="0.3">
      <c r="BF1338" t="e">
        <f>solver_rhs215=#REF!</f>
        <v>#NAME?</v>
      </c>
    </row>
    <row r="1339" spans="58:58" x14ac:dyDescent="0.3">
      <c r="BF1339" t="e">
        <f>solver_rhs216=#REF!</f>
        <v>#NAME?</v>
      </c>
    </row>
    <row r="1340" spans="58:58" x14ac:dyDescent="0.3">
      <c r="BF1340" t="e">
        <f>solver_rhs217=#REF!</f>
        <v>#NAME?</v>
      </c>
    </row>
    <row r="1341" spans="58:58" x14ac:dyDescent="0.3">
      <c r="BF1341" t="e">
        <f>solver_rhs218=#REF!</f>
        <v>#NAME?</v>
      </c>
    </row>
    <row r="1342" spans="58:58" x14ac:dyDescent="0.3">
      <c r="BF1342" t="e">
        <f>solver_rhs219=#REF!</f>
        <v>#NAME?</v>
      </c>
    </row>
    <row r="1343" spans="58:58" x14ac:dyDescent="0.3">
      <c r="BF1343" t="e">
        <f>solver_rhs22=#REF!</f>
        <v>#NAME?</v>
      </c>
    </row>
    <row r="1344" spans="58:58" x14ac:dyDescent="0.3">
      <c r="BF1344" t="e">
        <f>solver_rhs220=#REF!</f>
        <v>#NAME?</v>
      </c>
    </row>
    <row r="1345" spans="58:58" x14ac:dyDescent="0.3">
      <c r="BF1345" t="e">
        <f>solver_rhs221=#REF!</f>
        <v>#NAME?</v>
      </c>
    </row>
    <row r="1346" spans="58:58" x14ac:dyDescent="0.3">
      <c r="BF1346" t="e">
        <f>solver_rhs222=#REF!</f>
        <v>#NAME?</v>
      </c>
    </row>
    <row r="1347" spans="58:58" x14ac:dyDescent="0.3">
      <c r="BF1347" t="e">
        <f>solver_rhs223=#REF!</f>
        <v>#NAME?</v>
      </c>
    </row>
    <row r="1348" spans="58:58" x14ac:dyDescent="0.3">
      <c r="BF1348" t="e">
        <f>solver_rhs224=#REF!</f>
        <v>#NAME?</v>
      </c>
    </row>
    <row r="1349" spans="58:58" x14ac:dyDescent="0.3">
      <c r="BF1349" t="e">
        <f>solver_rhs225=#REF!</f>
        <v>#NAME?</v>
      </c>
    </row>
    <row r="1350" spans="58:58" x14ac:dyDescent="0.3">
      <c r="BF1350" t="e">
        <f>solver_rhs226=#REF!</f>
        <v>#NAME?</v>
      </c>
    </row>
    <row r="1351" spans="58:58" x14ac:dyDescent="0.3">
      <c r="BF1351" t="e">
        <f>solver_rhs227=#REF!</f>
        <v>#NAME?</v>
      </c>
    </row>
    <row r="1352" spans="58:58" x14ac:dyDescent="0.3">
      <c r="BF1352" t="e">
        <f>solver_rhs228=#REF!</f>
        <v>#NAME?</v>
      </c>
    </row>
    <row r="1353" spans="58:58" x14ac:dyDescent="0.3">
      <c r="BF1353" t="e">
        <f>solver_rhs229=#REF!</f>
        <v>#NAME?</v>
      </c>
    </row>
    <row r="1354" spans="58:58" x14ac:dyDescent="0.3">
      <c r="BF1354" t="e">
        <f>solver_rhs23=#REF!</f>
        <v>#NAME?</v>
      </c>
    </row>
    <row r="1355" spans="58:58" x14ac:dyDescent="0.3">
      <c r="BF1355" t="e">
        <f>solver_rhs230=#REF!</f>
        <v>#NAME?</v>
      </c>
    </row>
    <row r="1356" spans="58:58" x14ac:dyDescent="0.3">
      <c r="BF1356" t="e">
        <f>solver_rhs231=#REF!</f>
        <v>#NAME?</v>
      </c>
    </row>
    <row r="1357" spans="58:58" x14ac:dyDescent="0.3">
      <c r="BF1357" t="e">
        <f>solver_rhs232=#REF!</f>
        <v>#NAME?</v>
      </c>
    </row>
    <row r="1358" spans="58:58" x14ac:dyDescent="0.3">
      <c r="BF1358" t="e">
        <f>solver_rhs233=#REF!</f>
        <v>#NAME?</v>
      </c>
    </row>
    <row r="1359" spans="58:58" x14ac:dyDescent="0.3">
      <c r="BF1359" t="e">
        <f>solver_rhs234=#REF!</f>
        <v>#NAME?</v>
      </c>
    </row>
    <row r="1360" spans="58:58" x14ac:dyDescent="0.3">
      <c r="BF1360" t="e">
        <f>solver_rhs235=#REF!</f>
        <v>#NAME?</v>
      </c>
    </row>
    <row r="1361" spans="58:58" x14ac:dyDescent="0.3">
      <c r="BF1361" t="e">
        <f>solver_rhs236=#REF!</f>
        <v>#NAME?</v>
      </c>
    </row>
    <row r="1362" spans="58:58" x14ac:dyDescent="0.3">
      <c r="BF1362" t="e">
        <f>solver_rhs237=#REF!</f>
        <v>#NAME?</v>
      </c>
    </row>
    <row r="1363" spans="58:58" x14ac:dyDescent="0.3">
      <c r="BF1363" t="e">
        <f>solver_rhs238=#REF!</f>
        <v>#NAME?</v>
      </c>
    </row>
    <row r="1364" spans="58:58" x14ac:dyDescent="0.3">
      <c r="BF1364" t="e">
        <f>solver_rhs239=#REF!</f>
        <v>#NAME?</v>
      </c>
    </row>
    <row r="1365" spans="58:58" x14ac:dyDescent="0.3">
      <c r="BF1365" t="e">
        <f>solver_rhs24=#REF!</f>
        <v>#NAME?</v>
      </c>
    </row>
    <row r="1366" spans="58:58" x14ac:dyDescent="0.3">
      <c r="BF1366" t="e">
        <f>solver_rhs240=#REF!</f>
        <v>#NAME?</v>
      </c>
    </row>
    <row r="1367" spans="58:58" x14ac:dyDescent="0.3">
      <c r="BF1367" t="e">
        <f>solver_rhs241=#REF!</f>
        <v>#NAME?</v>
      </c>
    </row>
    <row r="1368" spans="58:58" x14ac:dyDescent="0.3">
      <c r="BF1368" t="e">
        <f>solver_rhs242=#REF!</f>
        <v>#NAME?</v>
      </c>
    </row>
    <row r="1369" spans="58:58" x14ac:dyDescent="0.3">
      <c r="BF1369" t="e">
        <f>solver_rhs243=#REF!</f>
        <v>#NAME?</v>
      </c>
    </row>
    <row r="1370" spans="58:58" x14ac:dyDescent="0.3">
      <c r="BF1370" t="e">
        <f>solver_rhs244=#REF!</f>
        <v>#NAME?</v>
      </c>
    </row>
    <row r="1371" spans="58:58" x14ac:dyDescent="0.3">
      <c r="BF1371" t="e">
        <f>solver_rhs245=#REF!</f>
        <v>#NAME?</v>
      </c>
    </row>
    <row r="1372" spans="58:58" x14ac:dyDescent="0.3">
      <c r="BF1372" t="e">
        <f>solver_rhs246=#REF!</f>
        <v>#NAME?</v>
      </c>
    </row>
    <row r="1373" spans="58:58" x14ac:dyDescent="0.3">
      <c r="BF1373" t="e">
        <f>solver_rhs247=#REF!</f>
        <v>#NAME?</v>
      </c>
    </row>
    <row r="1374" spans="58:58" x14ac:dyDescent="0.3">
      <c r="BF1374" t="e">
        <f>solver_rhs248=#REF!</f>
        <v>#NAME?</v>
      </c>
    </row>
    <row r="1375" spans="58:58" x14ac:dyDescent="0.3">
      <c r="BF1375" t="e">
        <f>solver_rhs249=#REF!</f>
        <v>#NAME?</v>
      </c>
    </row>
    <row r="1376" spans="58:58" x14ac:dyDescent="0.3">
      <c r="BF1376" t="e">
        <f>solver_rhs25=#REF!</f>
        <v>#NAME?</v>
      </c>
    </row>
    <row r="1377" spans="58:58" x14ac:dyDescent="0.3">
      <c r="BF1377" t="e">
        <f>solver_rhs250=#REF!</f>
        <v>#NAME?</v>
      </c>
    </row>
    <row r="1378" spans="58:58" x14ac:dyDescent="0.3">
      <c r="BF1378" t="e">
        <f>solver_rhs251=#REF!</f>
        <v>#NAME?</v>
      </c>
    </row>
    <row r="1379" spans="58:58" x14ac:dyDescent="0.3">
      <c r="BF1379" t="e">
        <f>solver_rhs252=#REF!</f>
        <v>#NAME?</v>
      </c>
    </row>
    <row r="1380" spans="58:58" x14ac:dyDescent="0.3">
      <c r="BF1380" t="e">
        <f>solver_rhs253=#REF!</f>
        <v>#NAME?</v>
      </c>
    </row>
    <row r="1381" spans="58:58" x14ac:dyDescent="0.3">
      <c r="BF1381" t="e">
        <f>solver_rhs254=#REF!</f>
        <v>#NAME?</v>
      </c>
    </row>
    <row r="1382" spans="58:58" x14ac:dyDescent="0.3">
      <c r="BF1382" t="e">
        <f>solver_rhs255=#REF!</f>
        <v>#NAME?</v>
      </c>
    </row>
    <row r="1383" spans="58:58" x14ac:dyDescent="0.3">
      <c r="BF1383" t="e">
        <f>solver_rhs256=#REF!</f>
        <v>#NAME?</v>
      </c>
    </row>
    <row r="1384" spans="58:58" x14ac:dyDescent="0.3">
      <c r="BF1384" t="e">
        <f>solver_rhs257=#REF!</f>
        <v>#NAME?</v>
      </c>
    </row>
    <row r="1385" spans="58:58" x14ac:dyDescent="0.3">
      <c r="BF1385" t="e">
        <f>solver_rhs258=#REF!</f>
        <v>#NAME?</v>
      </c>
    </row>
    <row r="1386" spans="58:58" x14ac:dyDescent="0.3">
      <c r="BF1386" t="e">
        <f>solver_rhs259=#REF!</f>
        <v>#NAME?</v>
      </c>
    </row>
    <row r="1387" spans="58:58" x14ac:dyDescent="0.3">
      <c r="BF1387" t="e">
        <f>solver_rhs26=#REF!</f>
        <v>#NAME?</v>
      </c>
    </row>
    <row r="1388" spans="58:58" x14ac:dyDescent="0.3">
      <c r="BF1388" t="e">
        <f>solver_rhs260=#REF!</f>
        <v>#NAME?</v>
      </c>
    </row>
    <row r="1389" spans="58:58" x14ac:dyDescent="0.3">
      <c r="BF1389" t="e">
        <f>solver_rhs261=#REF!</f>
        <v>#NAME?</v>
      </c>
    </row>
    <row r="1390" spans="58:58" x14ac:dyDescent="0.3">
      <c r="BF1390" t="e">
        <f>solver_rhs262=#REF!</f>
        <v>#NAME?</v>
      </c>
    </row>
    <row r="1391" spans="58:58" x14ac:dyDescent="0.3">
      <c r="BF1391" t="e">
        <f>solver_rhs263=#REF!</f>
        <v>#NAME?</v>
      </c>
    </row>
    <row r="1392" spans="58:58" x14ac:dyDescent="0.3">
      <c r="BF1392" t="e">
        <f>solver_rhs264=#REF!</f>
        <v>#NAME?</v>
      </c>
    </row>
    <row r="1393" spans="58:58" x14ac:dyDescent="0.3">
      <c r="BF1393" t="e">
        <f>solver_rhs265=#REF!</f>
        <v>#NAME?</v>
      </c>
    </row>
    <row r="1394" spans="58:58" x14ac:dyDescent="0.3">
      <c r="BF1394" t="e">
        <f>solver_rhs266=#REF!</f>
        <v>#NAME?</v>
      </c>
    </row>
    <row r="1395" spans="58:58" x14ac:dyDescent="0.3">
      <c r="BF1395" t="e">
        <f>solver_rhs267=#REF!</f>
        <v>#NAME?</v>
      </c>
    </row>
    <row r="1396" spans="58:58" x14ac:dyDescent="0.3">
      <c r="BF1396" t="e">
        <f>solver_rhs268=#REF!</f>
        <v>#NAME?</v>
      </c>
    </row>
    <row r="1397" spans="58:58" x14ac:dyDescent="0.3">
      <c r="BF1397" t="e">
        <f>solver_rhs269=#REF!</f>
        <v>#NAME?</v>
      </c>
    </row>
    <row r="1398" spans="58:58" x14ac:dyDescent="0.3">
      <c r="BF1398" t="e">
        <f>solver_rhs27=#REF!</f>
        <v>#NAME?</v>
      </c>
    </row>
    <row r="1399" spans="58:58" x14ac:dyDescent="0.3">
      <c r="BF1399" t="e">
        <f>solver_rhs270=#REF!</f>
        <v>#NAME?</v>
      </c>
    </row>
    <row r="1400" spans="58:58" x14ac:dyDescent="0.3">
      <c r="BF1400" t="e">
        <f>solver_rhs271=#REF!</f>
        <v>#NAME?</v>
      </c>
    </row>
    <row r="1401" spans="58:58" x14ac:dyDescent="0.3">
      <c r="BF1401" t="e">
        <f>solver_rhs272=#REF!</f>
        <v>#NAME?</v>
      </c>
    </row>
    <row r="1402" spans="58:58" x14ac:dyDescent="0.3">
      <c r="BF1402" t="e">
        <f>solver_rhs273=#REF!</f>
        <v>#NAME?</v>
      </c>
    </row>
    <row r="1403" spans="58:58" x14ac:dyDescent="0.3">
      <c r="BF1403" t="e">
        <f>solver_rhs274=#REF!</f>
        <v>#NAME?</v>
      </c>
    </row>
    <row r="1404" spans="58:58" x14ac:dyDescent="0.3">
      <c r="BF1404" t="e">
        <f>solver_rhs275=#REF!</f>
        <v>#NAME?</v>
      </c>
    </row>
    <row r="1405" spans="58:58" x14ac:dyDescent="0.3">
      <c r="BF1405" t="e">
        <f>solver_rhs276=#REF!</f>
        <v>#NAME?</v>
      </c>
    </row>
    <row r="1406" spans="58:58" x14ac:dyDescent="0.3">
      <c r="BF1406" t="e">
        <f>solver_rhs277=#REF!</f>
        <v>#NAME?</v>
      </c>
    </row>
    <row r="1407" spans="58:58" x14ac:dyDescent="0.3">
      <c r="BF1407" t="e">
        <f>solver_rhs278=#REF!</f>
        <v>#NAME?</v>
      </c>
    </row>
    <row r="1408" spans="58:58" x14ac:dyDescent="0.3">
      <c r="BF1408" t="e">
        <f>solver_rhs279=#REF!</f>
        <v>#NAME?</v>
      </c>
    </row>
    <row r="1409" spans="58:58" x14ac:dyDescent="0.3">
      <c r="BF1409" t="e">
        <f>solver_rhs28=#REF!</f>
        <v>#NAME?</v>
      </c>
    </row>
    <row r="1410" spans="58:58" x14ac:dyDescent="0.3">
      <c r="BF1410" t="e">
        <f>solver_rhs280=#REF!</f>
        <v>#NAME?</v>
      </c>
    </row>
    <row r="1411" spans="58:58" x14ac:dyDescent="0.3">
      <c r="BF1411" t="e">
        <f>solver_rhs281=#REF!</f>
        <v>#NAME?</v>
      </c>
    </row>
    <row r="1412" spans="58:58" x14ac:dyDescent="0.3">
      <c r="BF1412" t="e">
        <f>solver_rhs282=#REF!</f>
        <v>#NAME?</v>
      </c>
    </row>
    <row r="1413" spans="58:58" x14ac:dyDescent="0.3">
      <c r="BF1413" t="e">
        <f>solver_rhs283=#REF!</f>
        <v>#NAME?</v>
      </c>
    </row>
    <row r="1414" spans="58:58" x14ac:dyDescent="0.3">
      <c r="BF1414" t="e">
        <f>solver_rhs284=#REF!</f>
        <v>#NAME?</v>
      </c>
    </row>
    <row r="1415" spans="58:58" x14ac:dyDescent="0.3">
      <c r="BF1415" t="e">
        <f>solver_rhs285=#REF!</f>
        <v>#NAME?</v>
      </c>
    </row>
    <row r="1416" spans="58:58" x14ac:dyDescent="0.3">
      <c r="BF1416" t="e">
        <f>solver_rhs286=#REF!</f>
        <v>#NAME?</v>
      </c>
    </row>
    <row r="1417" spans="58:58" x14ac:dyDescent="0.3">
      <c r="BF1417" t="e">
        <f>solver_rhs287=#REF!</f>
        <v>#NAME?</v>
      </c>
    </row>
    <row r="1418" spans="58:58" x14ac:dyDescent="0.3">
      <c r="BF1418" t="e">
        <f>solver_rhs288=#REF!</f>
        <v>#NAME?</v>
      </c>
    </row>
    <row r="1419" spans="58:58" x14ac:dyDescent="0.3">
      <c r="BF1419" t="e">
        <f>solver_rhs289=#REF!</f>
        <v>#NAME?</v>
      </c>
    </row>
    <row r="1420" spans="58:58" x14ac:dyDescent="0.3">
      <c r="BF1420" t="e">
        <f>solver_rhs29=#REF!</f>
        <v>#NAME?</v>
      </c>
    </row>
    <row r="1421" spans="58:58" x14ac:dyDescent="0.3">
      <c r="BF1421" t="e">
        <f>solver_rhs290=#REF!</f>
        <v>#NAME?</v>
      </c>
    </row>
    <row r="1422" spans="58:58" x14ac:dyDescent="0.3">
      <c r="BF1422" t="e">
        <f>solver_rhs291=#REF!</f>
        <v>#NAME?</v>
      </c>
    </row>
    <row r="1423" spans="58:58" x14ac:dyDescent="0.3">
      <c r="BF1423" t="e">
        <f>solver_rhs292=#REF!</f>
        <v>#NAME?</v>
      </c>
    </row>
    <row r="1424" spans="58:58" x14ac:dyDescent="0.3">
      <c r="BF1424" t="e">
        <f>solver_rhs293=#REF!</f>
        <v>#NAME?</v>
      </c>
    </row>
    <row r="1425" spans="58:58" x14ac:dyDescent="0.3">
      <c r="BF1425" t="e">
        <f>solver_rhs294=#REF!</f>
        <v>#NAME?</v>
      </c>
    </row>
    <row r="1426" spans="58:58" x14ac:dyDescent="0.3">
      <c r="BF1426" t="e">
        <f>solver_rhs295=#REF!</f>
        <v>#NAME?</v>
      </c>
    </row>
    <row r="1427" spans="58:58" x14ac:dyDescent="0.3">
      <c r="BF1427" t="e">
        <f>solver_rhs296=#REF!</f>
        <v>#NAME?</v>
      </c>
    </row>
    <row r="1428" spans="58:58" x14ac:dyDescent="0.3">
      <c r="BF1428" t="e">
        <f>solver_rhs297=#REF!</f>
        <v>#NAME?</v>
      </c>
    </row>
    <row r="1429" spans="58:58" x14ac:dyDescent="0.3">
      <c r="BF1429" t="e">
        <f>solver_rhs298=#REF!</f>
        <v>#NAME?</v>
      </c>
    </row>
    <row r="1430" spans="58:58" x14ac:dyDescent="0.3">
      <c r="BF1430" t="e">
        <f>solver_rhs299=#REF!</f>
        <v>#NAME?</v>
      </c>
    </row>
    <row r="1431" spans="58:58" x14ac:dyDescent="0.3">
      <c r="BF1431" t="e">
        <f>solver_rhs3=#REF!</f>
        <v>#NAME?</v>
      </c>
    </row>
    <row r="1432" spans="58:58" x14ac:dyDescent="0.3">
      <c r="BF1432" t="e">
        <f>solver_rhs30=#REF!</f>
        <v>#NAME?</v>
      </c>
    </row>
    <row r="1433" spans="58:58" x14ac:dyDescent="0.3">
      <c r="BF1433" t="e">
        <f>solver_rhs300=#REF!</f>
        <v>#NAME?</v>
      </c>
    </row>
    <row r="1434" spans="58:58" x14ac:dyDescent="0.3">
      <c r="BF1434" t="e">
        <f>solver_rhs301=#REF!</f>
        <v>#NAME?</v>
      </c>
    </row>
    <row r="1435" spans="58:58" x14ac:dyDescent="0.3">
      <c r="BF1435" t="e">
        <f>solver_rhs302=#REF!</f>
        <v>#NAME?</v>
      </c>
    </row>
    <row r="1436" spans="58:58" x14ac:dyDescent="0.3">
      <c r="BF1436" t="e">
        <f>solver_rhs303=#REF!</f>
        <v>#NAME?</v>
      </c>
    </row>
    <row r="1437" spans="58:58" x14ac:dyDescent="0.3">
      <c r="BF1437" t="e">
        <f>solver_rhs304=#REF!</f>
        <v>#NAME?</v>
      </c>
    </row>
    <row r="1438" spans="58:58" x14ac:dyDescent="0.3">
      <c r="BF1438" t="e">
        <f>solver_rhs305=#REF!</f>
        <v>#NAME?</v>
      </c>
    </row>
    <row r="1439" spans="58:58" x14ac:dyDescent="0.3">
      <c r="BF1439" t="e">
        <f>solver_rhs306=#REF!</f>
        <v>#NAME?</v>
      </c>
    </row>
    <row r="1440" spans="58:58" x14ac:dyDescent="0.3">
      <c r="BF1440" t="e">
        <f>solver_rhs307=#REF!</f>
        <v>#NAME?</v>
      </c>
    </row>
    <row r="1441" spans="58:58" x14ac:dyDescent="0.3">
      <c r="BF1441" t="e">
        <f>solver_rhs308=#REF!</f>
        <v>#NAME?</v>
      </c>
    </row>
    <row r="1442" spans="58:58" x14ac:dyDescent="0.3">
      <c r="BF1442" t="e">
        <f>solver_rhs309=#REF!</f>
        <v>#NAME?</v>
      </c>
    </row>
    <row r="1443" spans="58:58" x14ac:dyDescent="0.3">
      <c r="BF1443" t="e">
        <f>solver_rhs31=#REF!</f>
        <v>#NAME?</v>
      </c>
    </row>
    <row r="1444" spans="58:58" x14ac:dyDescent="0.3">
      <c r="BF1444" t="e">
        <f>solver_rhs310=#REF!</f>
        <v>#NAME?</v>
      </c>
    </row>
    <row r="1445" spans="58:58" x14ac:dyDescent="0.3">
      <c r="BF1445" t="e">
        <f>solver_rhs311=#REF!</f>
        <v>#NAME?</v>
      </c>
    </row>
    <row r="1446" spans="58:58" x14ac:dyDescent="0.3">
      <c r="BF1446" t="e">
        <f>solver_rhs312=#REF!</f>
        <v>#NAME?</v>
      </c>
    </row>
    <row r="1447" spans="58:58" x14ac:dyDescent="0.3">
      <c r="BF1447" t="e">
        <f>solver_rhs313=#REF!</f>
        <v>#NAME?</v>
      </c>
    </row>
    <row r="1448" spans="58:58" x14ac:dyDescent="0.3">
      <c r="BF1448" t="e">
        <f>solver_rhs314=#REF!</f>
        <v>#NAME?</v>
      </c>
    </row>
    <row r="1449" spans="58:58" x14ac:dyDescent="0.3">
      <c r="BF1449" t="e">
        <f>solver_rhs315=#REF!</f>
        <v>#NAME?</v>
      </c>
    </row>
    <row r="1450" spans="58:58" x14ac:dyDescent="0.3">
      <c r="BF1450" t="e">
        <f>solver_rhs316=#REF!</f>
        <v>#NAME?</v>
      </c>
    </row>
    <row r="1451" spans="58:58" x14ac:dyDescent="0.3">
      <c r="BF1451" t="e">
        <f>solver_rhs317=#REF!</f>
        <v>#NAME?</v>
      </c>
    </row>
    <row r="1452" spans="58:58" x14ac:dyDescent="0.3">
      <c r="BF1452" t="e">
        <f>solver_rhs318=#REF!</f>
        <v>#NAME?</v>
      </c>
    </row>
    <row r="1453" spans="58:58" x14ac:dyDescent="0.3">
      <c r="BF1453" t="e">
        <f>solver_rhs319=#REF!</f>
        <v>#NAME?</v>
      </c>
    </row>
    <row r="1454" spans="58:58" x14ac:dyDescent="0.3">
      <c r="BF1454" t="e">
        <f>solver_rhs32=#REF!</f>
        <v>#NAME?</v>
      </c>
    </row>
    <row r="1455" spans="58:58" x14ac:dyDescent="0.3">
      <c r="BF1455" t="e">
        <f>solver_rhs320=#REF!</f>
        <v>#NAME?</v>
      </c>
    </row>
    <row r="1456" spans="58:58" x14ac:dyDescent="0.3">
      <c r="BF1456" t="e">
        <f>solver_rhs321=#REF!</f>
        <v>#NAME?</v>
      </c>
    </row>
    <row r="1457" spans="58:58" x14ac:dyDescent="0.3">
      <c r="BF1457" t="e">
        <f>solver_rhs322=#REF!</f>
        <v>#NAME?</v>
      </c>
    </row>
    <row r="1458" spans="58:58" x14ac:dyDescent="0.3">
      <c r="BF1458" t="e">
        <f>solver_rhs323=#REF!</f>
        <v>#NAME?</v>
      </c>
    </row>
    <row r="1459" spans="58:58" x14ac:dyDescent="0.3">
      <c r="BF1459" t="e">
        <f>solver_rhs324=#REF!</f>
        <v>#NAME?</v>
      </c>
    </row>
    <row r="1460" spans="58:58" x14ac:dyDescent="0.3">
      <c r="BF1460" t="e">
        <f>solver_rhs325=#REF!</f>
        <v>#NAME?</v>
      </c>
    </row>
    <row r="1461" spans="58:58" x14ac:dyDescent="0.3">
      <c r="BF1461" t="e">
        <f>solver_rhs326=#REF!</f>
        <v>#NAME?</v>
      </c>
    </row>
    <row r="1462" spans="58:58" x14ac:dyDescent="0.3">
      <c r="BF1462" t="e">
        <f>solver_rhs327=#REF!</f>
        <v>#NAME?</v>
      </c>
    </row>
    <row r="1463" spans="58:58" x14ac:dyDescent="0.3">
      <c r="BF1463" t="e">
        <f>solver_rhs328=#REF!</f>
        <v>#NAME?</v>
      </c>
    </row>
    <row r="1464" spans="58:58" x14ac:dyDescent="0.3">
      <c r="BF1464" t="e">
        <f>solver_rhs329=#REF!</f>
        <v>#NAME?</v>
      </c>
    </row>
    <row r="1465" spans="58:58" x14ac:dyDescent="0.3">
      <c r="BF1465" t="e">
        <f>solver_rhs33=#REF!</f>
        <v>#NAME?</v>
      </c>
    </row>
    <row r="1466" spans="58:58" x14ac:dyDescent="0.3">
      <c r="BF1466" t="e">
        <f>solver_rhs330=#REF!</f>
        <v>#NAME?</v>
      </c>
    </row>
    <row r="1467" spans="58:58" x14ac:dyDescent="0.3">
      <c r="BF1467" t="e">
        <f>solver_rhs331=#REF!</f>
        <v>#NAME?</v>
      </c>
    </row>
    <row r="1468" spans="58:58" x14ac:dyDescent="0.3">
      <c r="BF1468" t="e">
        <f>solver_rhs332=#REF!</f>
        <v>#NAME?</v>
      </c>
    </row>
    <row r="1469" spans="58:58" x14ac:dyDescent="0.3">
      <c r="BF1469" t="e">
        <f>solver_rhs333=#REF!</f>
        <v>#NAME?</v>
      </c>
    </row>
    <row r="1470" spans="58:58" x14ac:dyDescent="0.3">
      <c r="BF1470" t="e">
        <f>solver_rhs334=#REF!</f>
        <v>#NAME?</v>
      </c>
    </row>
    <row r="1471" spans="58:58" x14ac:dyDescent="0.3">
      <c r="BF1471" t="e">
        <f>solver_rhs335=#REF!</f>
        <v>#NAME?</v>
      </c>
    </row>
    <row r="1472" spans="58:58" x14ac:dyDescent="0.3">
      <c r="BF1472" t="e">
        <f>solver_rhs336=#REF!</f>
        <v>#NAME?</v>
      </c>
    </row>
    <row r="1473" spans="58:58" x14ac:dyDescent="0.3">
      <c r="BF1473" t="e">
        <f>solver_rhs337=#REF!</f>
        <v>#NAME?</v>
      </c>
    </row>
    <row r="1474" spans="58:58" x14ac:dyDescent="0.3">
      <c r="BF1474" t="e">
        <f>solver_rhs338=#REF!</f>
        <v>#NAME?</v>
      </c>
    </row>
    <row r="1475" spans="58:58" x14ac:dyDescent="0.3">
      <c r="BF1475" t="e">
        <f>solver_rhs339=#REF!</f>
        <v>#NAME?</v>
      </c>
    </row>
    <row r="1476" spans="58:58" x14ac:dyDescent="0.3">
      <c r="BF1476" t="e">
        <f>solver_rhs34=#REF!</f>
        <v>#NAME?</v>
      </c>
    </row>
    <row r="1477" spans="58:58" x14ac:dyDescent="0.3">
      <c r="BF1477" t="e">
        <f>solver_rhs340=#REF!</f>
        <v>#NAME?</v>
      </c>
    </row>
    <row r="1478" spans="58:58" x14ac:dyDescent="0.3">
      <c r="BF1478" t="e">
        <f>solver_rhs341=#REF!</f>
        <v>#NAME?</v>
      </c>
    </row>
    <row r="1479" spans="58:58" x14ac:dyDescent="0.3">
      <c r="BF1479" t="e">
        <f>solver_rhs342=#REF!</f>
        <v>#NAME?</v>
      </c>
    </row>
    <row r="1480" spans="58:58" x14ac:dyDescent="0.3">
      <c r="BF1480" t="e">
        <f>solver_rhs343=#REF!</f>
        <v>#NAME?</v>
      </c>
    </row>
    <row r="1481" spans="58:58" x14ac:dyDescent="0.3">
      <c r="BF1481" t="e">
        <f>solver_rhs344=#REF!</f>
        <v>#NAME?</v>
      </c>
    </row>
    <row r="1482" spans="58:58" x14ac:dyDescent="0.3">
      <c r="BF1482" t="e">
        <f>solver_rhs345=#REF!</f>
        <v>#NAME?</v>
      </c>
    </row>
    <row r="1483" spans="58:58" x14ac:dyDescent="0.3">
      <c r="BF1483" t="e">
        <f>solver_rhs346=#REF!</f>
        <v>#NAME?</v>
      </c>
    </row>
    <row r="1484" spans="58:58" x14ac:dyDescent="0.3">
      <c r="BF1484" t="e">
        <f>solver_rhs347=#REF!</f>
        <v>#NAME?</v>
      </c>
    </row>
    <row r="1485" spans="58:58" x14ac:dyDescent="0.3">
      <c r="BF1485" t="e">
        <f>solver_rhs348=#REF!</f>
        <v>#NAME?</v>
      </c>
    </row>
    <row r="1486" spans="58:58" x14ac:dyDescent="0.3">
      <c r="BF1486" t="e">
        <f>solver_rhs349=#REF!</f>
        <v>#NAME?</v>
      </c>
    </row>
    <row r="1487" spans="58:58" x14ac:dyDescent="0.3">
      <c r="BF1487" t="e">
        <f>solver_rhs35=#REF!</f>
        <v>#NAME?</v>
      </c>
    </row>
    <row r="1488" spans="58:58" x14ac:dyDescent="0.3">
      <c r="BF1488" t="e">
        <f>solver_rhs350=#REF!</f>
        <v>#NAME?</v>
      </c>
    </row>
    <row r="1489" spans="58:58" x14ac:dyDescent="0.3">
      <c r="BF1489" t="e">
        <f>solver_rhs351=#REF!</f>
        <v>#NAME?</v>
      </c>
    </row>
    <row r="1490" spans="58:58" x14ac:dyDescent="0.3">
      <c r="BF1490" t="e">
        <f>solver_rhs352=#REF!</f>
        <v>#NAME?</v>
      </c>
    </row>
    <row r="1491" spans="58:58" x14ac:dyDescent="0.3">
      <c r="BF1491" t="e">
        <f>solver_rhs353=#REF!</f>
        <v>#NAME?</v>
      </c>
    </row>
    <row r="1492" spans="58:58" x14ac:dyDescent="0.3">
      <c r="BF1492" t="e">
        <f>solver_rhs354=#REF!</f>
        <v>#NAME?</v>
      </c>
    </row>
    <row r="1493" spans="58:58" x14ac:dyDescent="0.3">
      <c r="BF1493" t="e">
        <f>solver_rhs355=#REF!</f>
        <v>#NAME?</v>
      </c>
    </row>
    <row r="1494" spans="58:58" x14ac:dyDescent="0.3">
      <c r="BF1494" t="e">
        <f>solver_rhs356=#REF!</f>
        <v>#NAME?</v>
      </c>
    </row>
    <row r="1495" spans="58:58" x14ac:dyDescent="0.3">
      <c r="BF1495" t="e">
        <f>solver_rhs357=#REF!</f>
        <v>#NAME?</v>
      </c>
    </row>
    <row r="1496" spans="58:58" x14ac:dyDescent="0.3">
      <c r="BF1496" t="e">
        <f>solver_rhs358=#REF!</f>
        <v>#NAME?</v>
      </c>
    </row>
    <row r="1497" spans="58:58" x14ac:dyDescent="0.3">
      <c r="BF1497" t="e">
        <f>solver_rhs359=#REF!</f>
        <v>#NAME?</v>
      </c>
    </row>
    <row r="1498" spans="58:58" x14ac:dyDescent="0.3">
      <c r="BF1498" t="e">
        <f>solver_rhs36=#REF!</f>
        <v>#NAME?</v>
      </c>
    </row>
    <row r="1499" spans="58:58" x14ac:dyDescent="0.3">
      <c r="BF1499" t="e">
        <f>solver_rhs360=#REF!</f>
        <v>#NAME?</v>
      </c>
    </row>
    <row r="1500" spans="58:58" x14ac:dyDescent="0.3">
      <c r="BF1500" t="e">
        <f>solver_rhs361=#REF!</f>
        <v>#NAME?</v>
      </c>
    </row>
    <row r="1501" spans="58:58" x14ac:dyDescent="0.3">
      <c r="BF1501" t="e">
        <f>solver_rhs362=#REF!</f>
        <v>#NAME?</v>
      </c>
    </row>
    <row r="1502" spans="58:58" x14ac:dyDescent="0.3">
      <c r="BF1502" t="e">
        <f>solver_rhs363=#REF!</f>
        <v>#NAME?</v>
      </c>
    </row>
    <row r="1503" spans="58:58" x14ac:dyDescent="0.3">
      <c r="BF1503" t="e">
        <f>solver_rhs364=#REF!</f>
        <v>#NAME?</v>
      </c>
    </row>
    <row r="1504" spans="58:58" x14ac:dyDescent="0.3">
      <c r="BF1504" t="e">
        <f>solver_rhs365=#REF!</f>
        <v>#NAME?</v>
      </c>
    </row>
    <row r="1505" spans="58:58" x14ac:dyDescent="0.3">
      <c r="BF1505" t="e">
        <f>solver_rhs366=#REF!</f>
        <v>#NAME?</v>
      </c>
    </row>
    <row r="1506" spans="58:58" x14ac:dyDescent="0.3">
      <c r="BF1506" t="e">
        <f>solver_rhs367=#REF!</f>
        <v>#NAME?</v>
      </c>
    </row>
    <row r="1507" spans="58:58" x14ac:dyDescent="0.3">
      <c r="BF1507" t="e">
        <f>solver_rhs368=#REF!</f>
        <v>#NAME?</v>
      </c>
    </row>
    <row r="1508" spans="58:58" x14ac:dyDescent="0.3">
      <c r="BF1508" t="e">
        <f>solver_rhs369=#REF!</f>
        <v>#NAME?</v>
      </c>
    </row>
    <row r="1509" spans="58:58" x14ac:dyDescent="0.3">
      <c r="BF1509" t="e">
        <f>solver_rhs37=#REF!</f>
        <v>#NAME?</v>
      </c>
    </row>
    <row r="1510" spans="58:58" x14ac:dyDescent="0.3">
      <c r="BF1510" t="e">
        <f>solver_rhs370=#REF!</f>
        <v>#NAME?</v>
      </c>
    </row>
    <row r="1511" spans="58:58" x14ac:dyDescent="0.3">
      <c r="BF1511" t="e">
        <f>solver_rhs371=#REF!</f>
        <v>#NAME?</v>
      </c>
    </row>
    <row r="1512" spans="58:58" x14ac:dyDescent="0.3">
      <c r="BF1512" t="e">
        <f>solver_rhs372=#REF!</f>
        <v>#NAME?</v>
      </c>
    </row>
    <row r="1513" spans="58:58" x14ac:dyDescent="0.3">
      <c r="BF1513" t="e">
        <f>solver_rhs373=#REF!</f>
        <v>#NAME?</v>
      </c>
    </row>
    <row r="1514" spans="58:58" x14ac:dyDescent="0.3">
      <c r="BF1514" t="e">
        <f>solver_rhs374=#REF!</f>
        <v>#NAME?</v>
      </c>
    </row>
    <row r="1515" spans="58:58" x14ac:dyDescent="0.3">
      <c r="BF1515" t="e">
        <f>solver_rhs375=#REF!</f>
        <v>#NAME?</v>
      </c>
    </row>
    <row r="1516" spans="58:58" x14ac:dyDescent="0.3">
      <c r="BF1516" t="e">
        <f>solver_rhs376=#REF!</f>
        <v>#NAME?</v>
      </c>
    </row>
    <row r="1517" spans="58:58" x14ac:dyDescent="0.3">
      <c r="BF1517" t="e">
        <f>solver_rhs377=#REF!</f>
        <v>#NAME?</v>
      </c>
    </row>
    <row r="1518" spans="58:58" x14ac:dyDescent="0.3">
      <c r="BF1518" t="e">
        <f>solver_rhs378=#REF!</f>
        <v>#NAME?</v>
      </c>
    </row>
    <row r="1519" spans="58:58" x14ac:dyDescent="0.3">
      <c r="BF1519" t="e">
        <f>solver_rhs379=#REF!</f>
        <v>#NAME?</v>
      </c>
    </row>
    <row r="1520" spans="58:58" x14ac:dyDescent="0.3">
      <c r="BF1520" t="e">
        <f>solver_rhs38=#REF!</f>
        <v>#NAME?</v>
      </c>
    </row>
    <row r="1521" spans="58:58" x14ac:dyDescent="0.3">
      <c r="BF1521" t="e">
        <f>solver_rhs380=#REF!</f>
        <v>#NAME?</v>
      </c>
    </row>
    <row r="1522" spans="58:58" x14ac:dyDescent="0.3">
      <c r="BF1522" t="e">
        <f>solver_rhs381=#REF!</f>
        <v>#NAME?</v>
      </c>
    </row>
    <row r="1523" spans="58:58" x14ac:dyDescent="0.3">
      <c r="BF1523" t="e">
        <f>solver_rhs382=#REF!</f>
        <v>#NAME?</v>
      </c>
    </row>
    <row r="1524" spans="58:58" x14ac:dyDescent="0.3">
      <c r="BF1524" t="e">
        <f>solver_rhs383=#REF!</f>
        <v>#NAME?</v>
      </c>
    </row>
    <row r="1525" spans="58:58" x14ac:dyDescent="0.3">
      <c r="BF1525" t="e">
        <f>solver_rhs384=#REF!</f>
        <v>#NAME?</v>
      </c>
    </row>
    <row r="1526" spans="58:58" x14ac:dyDescent="0.3">
      <c r="BF1526" t="e">
        <f>solver_rhs385=#REF!</f>
        <v>#NAME?</v>
      </c>
    </row>
    <row r="1527" spans="58:58" x14ac:dyDescent="0.3">
      <c r="BF1527" t="e">
        <f>solver_rhs386=#REF!</f>
        <v>#NAME?</v>
      </c>
    </row>
    <row r="1528" spans="58:58" x14ac:dyDescent="0.3">
      <c r="BF1528" t="e">
        <f>solver_rhs387=#REF!</f>
        <v>#NAME?</v>
      </c>
    </row>
    <row r="1529" spans="58:58" x14ac:dyDescent="0.3">
      <c r="BF1529" t="e">
        <f>solver_rhs388=#REF!</f>
        <v>#NAME?</v>
      </c>
    </row>
    <row r="1530" spans="58:58" x14ac:dyDescent="0.3">
      <c r="BF1530" t="e">
        <f>solver_rhs389=#REF!</f>
        <v>#NAME?</v>
      </c>
    </row>
    <row r="1531" spans="58:58" x14ac:dyDescent="0.3">
      <c r="BF1531" t="e">
        <f>solver_rhs39=#REF!</f>
        <v>#NAME?</v>
      </c>
    </row>
    <row r="1532" spans="58:58" x14ac:dyDescent="0.3">
      <c r="BF1532" t="e">
        <f>solver_rhs390=#REF!</f>
        <v>#NAME?</v>
      </c>
    </row>
    <row r="1533" spans="58:58" x14ac:dyDescent="0.3">
      <c r="BF1533" t="e">
        <f>solver_rhs391=#REF!</f>
        <v>#NAME?</v>
      </c>
    </row>
    <row r="1534" spans="58:58" x14ac:dyDescent="0.3">
      <c r="BF1534" t="e">
        <f>solver_rhs392=#REF!</f>
        <v>#NAME?</v>
      </c>
    </row>
    <row r="1535" spans="58:58" x14ac:dyDescent="0.3">
      <c r="BF1535" t="e">
        <f>solver_rhs393=#REF!</f>
        <v>#NAME?</v>
      </c>
    </row>
    <row r="1536" spans="58:58" x14ac:dyDescent="0.3">
      <c r="BF1536" t="e">
        <f>solver_rhs394=#REF!</f>
        <v>#NAME?</v>
      </c>
    </row>
    <row r="1537" spans="58:58" x14ac:dyDescent="0.3">
      <c r="BF1537" t="e">
        <f>solver_rhs395=#REF!</f>
        <v>#NAME?</v>
      </c>
    </row>
    <row r="1538" spans="58:58" x14ac:dyDescent="0.3">
      <c r="BF1538" t="e">
        <f>solver_rhs396=#REF!</f>
        <v>#NAME?</v>
      </c>
    </row>
    <row r="1539" spans="58:58" x14ac:dyDescent="0.3">
      <c r="BF1539" t="e">
        <f>solver_rhs397=#REF!</f>
        <v>#NAME?</v>
      </c>
    </row>
    <row r="1540" spans="58:58" x14ac:dyDescent="0.3">
      <c r="BF1540" t="e">
        <f>solver_rhs398=#REF!</f>
        <v>#NAME?</v>
      </c>
    </row>
    <row r="1541" spans="58:58" x14ac:dyDescent="0.3">
      <c r="BF1541" t="e">
        <f>solver_rhs399=#REF!</f>
        <v>#NAME?</v>
      </c>
    </row>
    <row r="1542" spans="58:58" x14ac:dyDescent="0.3">
      <c r="BF1542" t="e">
        <f>solver_rhs4=#REF!</f>
        <v>#NAME?</v>
      </c>
    </row>
    <row r="1543" spans="58:58" x14ac:dyDescent="0.3">
      <c r="BF1543" t="e">
        <f>solver_rhs40=#REF!</f>
        <v>#NAME?</v>
      </c>
    </row>
    <row r="1544" spans="58:58" x14ac:dyDescent="0.3">
      <c r="BF1544" t="e">
        <f>solver_rhs400=#REF!</f>
        <v>#NAME?</v>
      </c>
    </row>
    <row r="1545" spans="58:58" x14ac:dyDescent="0.3">
      <c r="BF1545" t="e">
        <f>solver_rhs401=#REF!</f>
        <v>#NAME?</v>
      </c>
    </row>
    <row r="1546" spans="58:58" x14ac:dyDescent="0.3">
      <c r="BF1546" t="e">
        <f>solver_rhs402=#REF!</f>
        <v>#NAME?</v>
      </c>
    </row>
    <row r="1547" spans="58:58" x14ac:dyDescent="0.3">
      <c r="BF1547" t="e">
        <f>solver_rhs403=#REF!</f>
        <v>#NAME?</v>
      </c>
    </row>
    <row r="1548" spans="58:58" x14ac:dyDescent="0.3">
      <c r="BF1548" t="e">
        <f>solver_rhs404=#REF!</f>
        <v>#NAME?</v>
      </c>
    </row>
    <row r="1549" spans="58:58" x14ac:dyDescent="0.3">
      <c r="BF1549" t="e">
        <f>solver_rhs405=#REF!</f>
        <v>#NAME?</v>
      </c>
    </row>
    <row r="1550" spans="58:58" x14ac:dyDescent="0.3">
      <c r="BF1550" t="e">
        <f>solver_rhs406=#REF!</f>
        <v>#NAME?</v>
      </c>
    </row>
    <row r="1551" spans="58:58" x14ac:dyDescent="0.3">
      <c r="BF1551" t="e">
        <f>solver_rhs407=#REF!</f>
        <v>#NAME?</v>
      </c>
    </row>
    <row r="1552" spans="58:58" x14ac:dyDescent="0.3">
      <c r="BF1552" t="e">
        <f>solver_rhs408=#REF!</f>
        <v>#NAME?</v>
      </c>
    </row>
    <row r="1553" spans="58:58" x14ac:dyDescent="0.3">
      <c r="BF1553" t="e">
        <f>solver_rhs409=#REF!</f>
        <v>#NAME?</v>
      </c>
    </row>
    <row r="1554" spans="58:58" x14ac:dyDescent="0.3">
      <c r="BF1554" t="e">
        <f>solver_rhs41=#REF!</f>
        <v>#NAME?</v>
      </c>
    </row>
    <row r="1555" spans="58:58" x14ac:dyDescent="0.3">
      <c r="BF1555" t="e">
        <f>solver_rhs410=#REF!</f>
        <v>#NAME?</v>
      </c>
    </row>
    <row r="1556" spans="58:58" x14ac:dyDescent="0.3">
      <c r="BF1556" t="e">
        <f>solver_rhs411=#REF!</f>
        <v>#NAME?</v>
      </c>
    </row>
    <row r="1557" spans="58:58" x14ac:dyDescent="0.3">
      <c r="BF1557" t="e">
        <f>solver_rhs412=#REF!</f>
        <v>#NAME?</v>
      </c>
    </row>
    <row r="1558" spans="58:58" x14ac:dyDescent="0.3">
      <c r="BF1558" t="e">
        <f>solver_rhs413=#REF!</f>
        <v>#NAME?</v>
      </c>
    </row>
    <row r="1559" spans="58:58" x14ac:dyDescent="0.3">
      <c r="BF1559" t="e">
        <f>solver_rhs414=#REF!</f>
        <v>#NAME?</v>
      </c>
    </row>
    <row r="1560" spans="58:58" x14ac:dyDescent="0.3">
      <c r="BF1560" t="e">
        <f>solver_rhs415=#REF!</f>
        <v>#NAME?</v>
      </c>
    </row>
    <row r="1561" spans="58:58" x14ac:dyDescent="0.3">
      <c r="BF1561" t="e">
        <f>solver_rhs416=#REF!</f>
        <v>#NAME?</v>
      </c>
    </row>
    <row r="1562" spans="58:58" x14ac:dyDescent="0.3">
      <c r="BF1562" t="e">
        <f>solver_rhs417=#REF!</f>
        <v>#NAME?</v>
      </c>
    </row>
    <row r="1563" spans="58:58" x14ac:dyDescent="0.3">
      <c r="BF1563" t="e">
        <f>solver_rhs418=#REF!</f>
        <v>#NAME?</v>
      </c>
    </row>
    <row r="1564" spans="58:58" x14ac:dyDescent="0.3">
      <c r="BF1564" t="e">
        <f>solver_rhs419=#REF!</f>
        <v>#NAME?</v>
      </c>
    </row>
    <row r="1565" spans="58:58" x14ac:dyDescent="0.3">
      <c r="BF1565" t="e">
        <f>solver_rhs42=#REF!</f>
        <v>#NAME?</v>
      </c>
    </row>
    <row r="1566" spans="58:58" x14ac:dyDescent="0.3">
      <c r="BF1566" t="e">
        <f>solver_rhs420=#REF!</f>
        <v>#NAME?</v>
      </c>
    </row>
    <row r="1567" spans="58:58" x14ac:dyDescent="0.3">
      <c r="BF1567" t="e">
        <f>solver_rhs421=#REF!</f>
        <v>#NAME?</v>
      </c>
    </row>
    <row r="1568" spans="58:58" x14ac:dyDescent="0.3">
      <c r="BF1568" t="e">
        <f>solver_rhs422=#REF!</f>
        <v>#NAME?</v>
      </c>
    </row>
    <row r="1569" spans="58:58" x14ac:dyDescent="0.3">
      <c r="BF1569" t="e">
        <f>solver_rhs423=#REF!</f>
        <v>#NAME?</v>
      </c>
    </row>
    <row r="1570" spans="58:58" x14ac:dyDescent="0.3">
      <c r="BF1570" t="e">
        <f>solver_rhs424=#REF!</f>
        <v>#NAME?</v>
      </c>
    </row>
    <row r="1571" spans="58:58" x14ac:dyDescent="0.3">
      <c r="BF1571" t="e">
        <f>solver_rhs425=#REF!</f>
        <v>#NAME?</v>
      </c>
    </row>
    <row r="1572" spans="58:58" x14ac:dyDescent="0.3">
      <c r="BF1572" t="e">
        <f>solver_rhs426=#REF!</f>
        <v>#NAME?</v>
      </c>
    </row>
    <row r="1573" spans="58:58" x14ac:dyDescent="0.3">
      <c r="BF1573" t="e">
        <f>solver_rhs427=#REF!</f>
        <v>#NAME?</v>
      </c>
    </row>
    <row r="1574" spans="58:58" x14ac:dyDescent="0.3">
      <c r="BF1574" t="e">
        <f>solver_rhs428=#REF!</f>
        <v>#NAME?</v>
      </c>
    </row>
    <row r="1575" spans="58:58" x14ac:dyDescent="0.3">
      <c r="BF1575" t="e">
        <f>solver_rhs429=#REF!</f>
        <v>#NAME?</v>
      </c>
    </row>
    <row r="1576" spans="58:58" x14ac:dyDescent="0.3">
      <c r="BF1576" t="e">
        <f>solver_rhs43=#REF!</f>
        <v>#NAME?</v>
      </c>
    </row>
    <row r="1577" spans="58:58" x14ac:dyDescent="0.3">
      <c r="BF1577" t="e">
        <f>solver_rhs430=#REF!</f>
        <v>#NAME?</v>
      </c>
    </row>
    <row r="1578" spans="58:58" x14ac:dyDescent="0.3">
      <c r="BF1578" t="e">
        <f>solver_rhs431=#REF!</f>
        <v>#NAME?</v>
      </c>
    </row>
    <row r="1579" spans="58:58" x14ac:dyDescent="0.3">
      <c r="BF1579" t="e">
        <f>solver_rhs432=#REF!</f>
        <v>#NAME?</v>
      </c>
    </row>
    <row r="1580" spans="58:58" x14ac:dyDescent="0.3">
      <c r="BF1580" t="e">
        <f>solver_rhs433=#REF!</f>
        <v>#NAME?</v>
      </c>
    </row>
    <row r="1581" spans="58:58" x14ac:dyDescent="0.3">
      <c r="BF1581" t="e">
        <f>solver_rhs434=#REF!</f>
        <v>#NAME?</v>
      </c>
    </row>
    <row r="1582" spans="58:58" x14ac:dyDescent="0.3">
      <c r="BF1582" t="e">
        <f>solver_rhs435=#REF!</f>
        <v>#NAME?</v>
      </c>
    </row>
    <row r="1583" spans="58:58" x14ac:dyDescent="0.3">
      <c r="BF1583" t="e">
        <f>solver_rhs436=#REF!</f>
        <v>#NAME?</v>
      </c>
    </row>
    <row r="1584" spans="58:58" x14ac:dyDescent="0.3">
      <c r="BF1584" t="e">
        <f>solver_rhs437=#REF!</f>
        <v>#NAME?</v>
      </c>
    </row>
    <row r="1585" spans="58:58" x14ac:dyDescent="0.3">
      <c r="BF1585" t="e">
        <f>solver_rhs438=#REF!</f>
        <v>#NAME?</v>
      </c>
    </row>
    <row r="1586" spans="58:58" x14ac:dyDescent="0.3">
      <c r="BF1586" t="e">
        <f>solver_rhs439=#REF!</f>
        <v>#NAME?</v>
      </c>
    </row>
    <row r="1587" spans="58:58" x14ac:dyDescent="0.3">
      <c r="BF1587" t="e">
        <f>solver_rhs44=#REF!</f>
        <v>#NAME?</v>
      </c>
    </row>
    <row r="1588" spans="58:58" x14ac:dyDescent="0.3">
      <c r="BF1588" t="e">
        <f>solver_rhs440=#REF!</f>
        <v>#NAME?</v>
      </c>
    </row>
    <row r="1589" spans="58:58" x14ac:dyDescent="0.3">
      <c r="BF1589" t="e">
        <f>solver_rhs441=#REF!</f>
        <v>#NAME?</v>
      </c>
    </row>
    <row r="1590" spans="58:58" x14ac:dyDescent="0.3">
      <c r="BF1590" t="e">
        <f>solver_rhs442=#REF!</f>
        <v>#NAME?</v>
      </c>
    </row>
    <row r="1591" spans="58:58" x14ac:dyDescent="0.3">
      <c r="BF1591" t="e">
        <f>solver_rhs443=#REF!</f>
        <v>#NAME?</v>
      </c>
    </row>
    <row r="1592" spans="58:58" x14ac:dyDescent="0.3">
      <c r="BF1592" t="e">
        <f>solver_rhs444=#REF!</f>
        <v>#NAME?</v>
      </c>
    </row>
    <row r="1593" spans="58:58" x14ac:dyDescent="0.3">
      <c r="BF1593" t="e">
        <f>solver_rhs445=#REF!</f>
        <v>#NAME?</v>
      </c>
    </row>
    <row r="1594" spans="58:58" x14ac:dyDescent="0.3">
      <c r="BF1594" t="e">
        <f>solver_rhs446=#REF!</f>
        <v>#NAME?</v>
      </c>
    </row>
    <row r="1595" spans="58:58" x14ac:dyDescent="0.3">
      <c r="BF1595" t="e">
        <f>solver_rhs447=#REF!</f>
        <v>#NAME?</v>
      </c>
    </row>
    <row r="1596" spans="58:58" x14ac:dyDescent="0.3">
      <c r="BF1596" t="e">
        <f>solver_rhs448=#REF!</f>
        <v>#NAME?</v>
      </c>
    </row>
    <row r="1597" spans="58:58" x14ac:dyDescent="0.3">
      <c r="BF1597" t="e">
        <f>solver_rhs449=#REF!</f>
        <v>#NAME?</v>
      </c>
    </row>
    <row r="1598" spans="58:58" x14ac:dyDescent="0.3">
      <c r="BF1598" t="e">
        <f>solver_rhs45=#REF!</f>
        <v>#NAME?</v>
      </c>
    </row>
    <row r="1599" spans="58:58" x14ac:dyDescent="0.3">
      <c r="BF1599" t="e">
        <f>solver_rhs450=#REF!</f>
        <v>#NAME?</v>
      </c>
    </row>
    <row r="1600" spans="58:58" x14ac:dyDescent="0.3">
      <c r="BF1600" t="e">
        <f>solver_rhs451=#REF!</f>
        <v>#NAME?</v>
      </c>
    </row>
    <row r="1601" spans="58:58" x14ac:dyDescent="0.3">
      <c r="BF1601" t="e">
        <f>solver_rhs452=#REF!</f>
        <v>#NAME?</v>
      </c>
    </row>
    <row r="1602" spans="58:58" x14ac:dyDescent="0.3">
      <c r="BF1602" t="e">
        <f>solver_rhs453=#REF!</f>
        <v>#NAME?</v>
      </c>
    </row>
    <row r="1603" spans="58:58" x14ac:dyDescent="0.3">
      <c r="BF1603" t="e">
        <f>solver_rhs454=#REF!</f>
        <v>#NAME?</v>
      </c>
    </row>
    <row r="1604" spans="58:58" x14ac:dyDescent="0.3">
      <c r="BF1604" t="e">
        <f>solver_rhs455=#REF!</f>
        <v>#NAME?</v>
      </c>
    </row>
    <row r="1605" spans="58:58" x14ac:dyDescent="0.3">
      <c r="BF1605" t="e">
        <f>solver_rhs456=#REF!</f>
        <v>#NAME?</v>
      </c>
    </row>
    <row r="1606" spans="58:58" x14ac:dyDescent="0.3">
      <c r="BF1606" t="e">
        <f>solver_rhs457=#REF!</f>
        <v>#NAME?</v>
      </c>
    </row>
    <row r="1607" spans="58:58" x14ac:dyDescent="0.3">
      <c r="BF1607" t="e">
        <f>solver_rhs458=#REF!</f>
        <v>#NAME?</v>
      </c>
    </row>
    <row r="1608" spans="58:58" x14ac:dyDescent="0.3">
      <c r="BF1608" t="e">
        <f>solver_rhs459=#REF!</f>
        <v>#NAME?</v>
      </c>
    </row>
    <row r="1609" spans="58:58" x14ac:dyDescent="0.3">
      <c r="BF1609" t="e">
        <f>solver_rhs46=#REF!</f>
        <v>#NAME?</v>
      </c>
    </row>
    <row r="1610" spans="58:58" x14ac:dyDescent="0.3">
      <c r="BF1610" t="e">
        <f>solver_rhs460=#REF!</f>
        <v>#NAME?</v>
      </c>
    </row>
    <row r="1611" spans="58:58" x14ac:dyDescent="0.3">
      <c r="BF1611" t="e">
        <f>solver_rhs461=#REF!</f>
        <v>#NAME?</v>
      </c>
    </row>
    <row r="1612" spans="58:58" x14ac:dyDescent="0.3">
      <c r="BF1612" t="e">
        <f>solver_rhs462=#REF!</f>
        <v>#NAME?</v>
      </c>
    </row>
    <row r="1613" spans="58:58" x14ac:dyDescent="0.3">
      <c r="BF1613" t="e">
        <f>solver_rhs463=#REF!</f>
        <v>#NAME?</v>
      </c>
    </row>
    <row r="1614" spans="58:58" x14ac:dyDescent="0.3">
      <c r="BF1614" t="e">
        <f>solver_rhs464=#REF!</f>
        <v>#NAME?</v>
      </c>
    </row>
    <row r="1615" spans="58:58" x14ac:dyDescent="0.3">
      <c r="BF1615" t="e">
        <f>solver_rhs465=#REF!</f>
        <v>#NAME?</v>
      </c>
    </row>
    <row r="1616" spans="58:58" x14ac:dyDescent="0.3">
      <c r="BF1616" t="e">
        <f>solver_rhs466=#REF!</f>
        <v>#NAME?</v>
      </c>
    </row>
    <row r="1617" spans="58:58" x14ac:dyDescent="0.3">
      <c r="BF1617" t="e">
        <f>solver_rhs467=#REF!</f>
        <v>#NAME?</v>
      </c>
    </row>
    <row r="1618" spans="58:58" x14ac:dyDescent="0.3">
      <c r="BF1618" t="e">
        <f>solver_rhs468=#REF!</f>
        <v>#NAME?</v>
      </c>
    </row>
    <row r="1619" spans="58:58" x14ac:dyDescent="0.3">
      <c r="BF1619" t="e">
        <f>solver_rhs469=#REF!</f>
        <v>#NAME?</v>
      </c>
    </row>
    <row r="1620" spans="58:58" x14ac:dyDescent="0.3">
      <c r="BF1620" t="e">
        <f>solver_rhs47=#REF!</f>
        <v>#NAME?</v>
      </c>
    </row>
    <row r="1621" spans="58:58" x14ac:dyDescent="0.3">
      <c r="BF1621" t="e">
        <f>solver_rhs470=#REF!</f>
        <v>#NAME?</v>
      </c>
    </row>
    <row r="1622" spans="58:58" x14ac:dyDescent="0.3">
      <c r="BF1622" t="e">
        <f>solver_rhs471=#REF!</f>
        <v>#NAME?</v>
      </c>
    </row>
    <row r="1623" spans="58:58" x14ac:dyDescent="0.3">
      <c r="BF1623" t="e">
        <f>solver_rhs472=#REF!</f>
        <v>#NAME?</v>
      </c>
    </row>
    <row r="1624" spans="58:58" x14ac:dyDescent="0.3">
      <c r="BF1624" t="e">
        <f>solver_rhs473=#REF!</f>
        <v>#NAME?</v>
      </c>
    </row>
    <row r="1625" spans="58:58" x14ac:dyDescent="0.3">
      <c r="BF1625" t="e">
        <f>solver_rhs474=#REF!</f>
        <v>#NAME?</v>
      </c>
    </row>
    <row r="1626" spans="58:58" x14ac:dyDescent="0.3">
      <c r="BF1626" t="e">
        <f>solver_rhs475=#REF!</f>
        <v>#NAME?</v>
      </c>
    </row>
    <row r="1627" spans="58:58" x14ac:dyDescent="0.3">
      <c r="BF1627" t="e">
        <f>solver_rhs476=#REF!</f>
        <v>#NAME?</v>
      </c>
    </row>
    <row r="1628" spans="58:58" x14ac:dyDescent="0.3">
      <c r="BF1628" t="e">
        <f>solver_rhs477=#REF!</f>
        <v>#NAME?</v>
      </c>
    </row>
    <row r="1629" spans="58:58" x14ac:dyDescent="0.3">
      <c r="BF1629" t="e">
        <f>solver_rhs478=#REF!</f>
        <v>#NAME?</v>
      </c>
    </row>
    <row r="1630" spans="58:58" x14ac:dyDescent="0.3">
      <c r="BF1630" t="e">
        <f>solver_rhs479=#REF!</f>
        <v>#NAME?</v>
      </c>
    </row>
    <row r="1631" spans="58:58" x14ac:dyDescent="0.3">
      <c r="BF1631" t="e">
        <f>solver_rhs48=#REF!</f>
        <v>#NAME?</v>
      </c>
    </row>
    <row r="1632" spans="58:58" x14ac:dyDescent="0.3">
      <c r="BF1632" t="e">
        <f>solver_rhs480=#REF!</f>
        <v>#NAME?</v>
      </c>
    </row>
    <row r="1633" spans="58:58" x14ac:dyDescent="0.3">
      <c r="BF1633" t="e">
        <f>solver_rhs481=#REF!</f>
        <v>#NAME?</v>
      </c>
    </row>
    <row r="1634" spans="58:58" x14ac:dyDescent="0.3">
      <c r="BF1634" t="e">
        <f>solver_rhs482=#REF!</f>
        <v>#NAME?</v>
      </c>
    </row>
    <row r="1635" spans="58:58" x14ac:dyDescent="0.3">
      <c r="BF1635" t="e">
        <f>solver_rhs483=#REF!</f>
        <v>#NAME?</v>
      </c>
    </row>
    <row r="1636" spans="58:58" x14ac:dyDescent="0.3">
      <c r="BF1636" t="e">
        <f>solver_rhs484=#REF!</f>
        <v>#NAME?</v>
      </c>
    </row>
    <row r="1637" spans="58:58" x14ac:dyDescent="0.3">
      <c r="BF1637" t="e">
        <f>solver_rhs485=#REF!</f>
        <v>#NAME?</v>
      </c>
    </row>
    <row r="1638" spans="58:58" x14ac:dyDescent="0.3">
      <c r="BF1638" t="e">
        <f>solver_rhs486=#REF!</f>
        <v>#NAME?</v>
      </c>
    </row>
    <row r="1639" spans="58:58" x14ac:dyDescent="0.3">
      <c r="BF1639" t="e">
        <f>solver_rhs487=#REF!</f>
        <v>#NAME?</v>
      </c>
    </row>
    <row r="1640" spans="58:58" x14ac:dyDescent="0.3">
      <c r="BF1640" t="e">
        <f>solver_rhs488=#REF!</f>
        <v>#NAME?</v>
      </c>
    </row>
    <row r="1641" spans="58:58" x14ac:dyDescent="0.3">
      <c r="BF1641" t="e">
        <f>solver_rhs489=#REF!</f>
        <v>#NAME?</v>
      </c>
    </row>
    <row r="1642" spans="58:58" x14ac:dyDescent="0.3">
      <c r="BF1642" t="e">
        <f>solver_rhs49=#REF!</f>
        <v>#NAME?</v>
      </c>
    </row>
    <row r="1643" spans="58:58" x14ac:dyDescent="0.3">
      <c r="BF1643" t="e">
        <f>solver_rhs490=#REF!</f>
        <v>#NAME?</v>
      </c>
    </row>
    <row r="1644" spans="58:58" x14ac:dyDescent="0.3">
      <c r="BF1644" t="e">
        <f>solver_rhs491=#REF!</f>
        <v>#NAME?</v>
      </c>
    </row>
    <row r="1645" spans="58:58" x14ac:dyDescent="0.3">
      <c r="BF1645" t="e">
        <f>solver_rhs492=#REF!</f>
        <v>#NAME?</v>
      </c>
    </row>
    <row r="1646" spans="58:58" x14ac:dyDescent="0.3">
      <c r="BF1646" t="e">
        <f>solver_rhs493=#REF!</f>
        <v>#NAME?</v>
      </c>
    </row>
    <row r="1647" spans="58:58" x14ac:dyDescent="0.3">
      <c r="BF1647" t="e">
        <f>solver_rhs494=#REF!</f>
        <v>#NAME?</v>
      </c>
    </row>
    <row r="1648" spans="58:58" x14ac:dyDescent="0.3">
      <c r="BF1648" t="e">
        <f>solver_rhs495=#REF!</f>
        <v>#NAME?</v>
      </c>
    </row>
    <row r="1649" spans="58:58" x14ac:dyDescent="0.3">
      <c r="BF1649" t="e">
        <f>solver_rhs496=#REF!</f>
        <v>#NAME?</v>
      </c>
    </row>
    <row r="1650" spans="58:58" x14ac:dyDescent="0.3">
      <c r="BF1650" t="e">
        <f>solver_rhs497=#REF!</f>
        <v>#NAME?</v>
      </c>
    </row>
    <row r="1651" spans="58:58" x14ac:dyDescent="0.3">
      <c r="BF1651" t="e">
        <f>solver_rhs498=#REF!</f>
        <v>#NAME?</v>
      </c>
    </row>
    <row r="1652" spans="58:58" x14ac:dyDescent="0.3">
      <c r="BF1652" t="e">
        <f>solver_rhs499=#REF!</f>
        <v>#NAME?</v>
      </c>
    </row>
    <row r="1653" spans="58:58" x14ac:dyDescent="0.3">
      <c r="BF1653" t="e">
        <f>solver_rhs5=#REF!</f>
        <v>#NAME?</v>
      </c>
    </row>
    <row r="1654" spans="58:58" x14ac:dyDescent="0.3">
      <c r="BF1654" t="e">
        <f>solver_rhs50=#REF!</f>
        <v>#NAME?</v>
      </c>
    </row>
    <row r="1655" spans="58:58" x14ac:dyDescent="0.3">
      <c r="BF1655" t="e">
        <f>solver_rhs500=#REF!</f>
        <v>#NAME?</v>
      </c>
    </row>
    <row r="1656" spans="58:58" x14ac:dyDescent="0.3">
      <c r="BF1656" t="e">
        <f>solver_rhs501=#REF!</f>
        <v>#NAME?</v>
      </c>
    </row>
    <row r="1657" spans="58:58" x14ac:dyDescent="0.3">
      <c r="BF1657" t="e">
        <f>solver_rhs502=#REF!</f>
        <v>#NAME?</v>
      </c>
    </row>
    <row r="1658" spans="58:58" x14ac:dyDescent="0.3">
      <c r="BF1658" t="e">
        <f>solver_rhs503=#REF!</f>
        <v>#NAME?</v>
      </c>
    </row>
    <row r="1659" spans="58:58" x14ac:dyDescent="0.3">
      <c r="BF1659" t="e">
        <f>solver_rhs504=#REF!</f>
        <v>#NAME?</v>
      </c>
    </row>
    <row r="1660" spans="58:58" x14ac:dyDescent="0.3">
      <c r="BF1660" t="e">
        <f>solver_rhs505=#REF!</f>
        <v>#NAME?</v>
      </c>
    </row>
    <row r="1661" spans="58:58" x14ac:dyDescent="0.3">
      <c r="BF1661" t="e">
        <f>solver_rhs506=#REF!</f>
        <v>#NAME?</v>
      </c>
    </row>
    <row r="1662" spans="58:58" x14ac:dyDescent="0.3">
      <c r="BF1662" t="e">
        <f>solver_rhs507=#REF!</f>
        <v>#NAME?</v>
      </c>
    </row>
    <row r="1663" spans="58:58" x14ac:dyDescent="0.3">
      <c r="BF1663" t="e">
        <f>solver_rhs508=#REF!</f>
        <v>#NAME?</v>
      </c>
    </row>
    <row r="1664" spans="58:58" x14ac:dyDescent="0.3">
      <c r="BF1664" t="e">
        <f>solver_rhs509=#REF!</f>
        <v>#NAME?</v>
      </c>
    </row>
    <row r="1665" spans="58:58" x14ac:dyDescent="0.3">
      <c r="BF1665" t="e">
        <f>solver_rhs51=#REF!</f>
        <v>#NAME?</v>
      </c>
    </row>
    <row r="1666" spans="58:58" x14ac:dyDescent="0.3">
      <c r="BF1666" t="e">
        <f>solver_rhs510=#REF!</f>
        <v>#NAME?</v>
      </c>
    </row>
    <row r="1667" spans="58:58" x14ac:dyDescent="0.3">
      <c r="BF1667" t="e">
        <f>solver_rhs511=#REF!</f>
        <v>#NAME?</v>
      </c>
    </row>
    <row r="1668" spans="58:58" x14ac:dyDescent="0.3">
      <c r="BF1668" t="e">
        <f>solver_rhs512=#REF!</f>
        <v>#NAME?</v>
      </c>
    </row>
    <row r="1669" spans="58:58" x14ac:dyDescent="0.3">
      <c r="BF1669" t="e">
        <f>solver_rhs513=#REF!</f>
        <v>#NAME?</v>
      </c>
    </row>
    <row r="1670" spans="58:58" x14ac:dyDescent="0.3">
      <c r="BF1670" t="e">
        <f>solver_rhs514=#REF!</f>
        <v>#NAME?</v>
      </c>
    </row>
    <row r="1671" spans="58:58" x14ac:dyDescent="0.3">
      <c r="BF1671" t="e">
        <f>solver_rhs515=#REF!</f>
        <v>#NAME?</v>
      </c>
    </row>
    <row r="1672" spans="58:58" x14ac:dyDescent="0.3">
      <c r="BF1672" t="e">
        <f>solver_rhs516=#REF!</f>
        <v>#NAME?</v>
      </c>
    </row>
    <row r="1673" spans="58:58" x14ac:dyDescent="0.3">
      <c r="BF1673" t="e">
        <f>solver_rhs517=#REF!</f>
        <v>#NAME?</v>
      </c>
    </row>
    <row r="1674" spans="58:58" x14ac:dyDescent="0.3">
      <c r="BF1674" t="e">
        <f>solver_rhs518=#REF!</f>
        <v>#NAME?</v>
      </c>
    </row>
    <row r="1675" spans="58:58" x14ac:dyDescent="0.3">
      <c r="BF1675" t="e">
        <f>solver_rhs519=#REF!</f>
        <v>#NAME?</v>
      </c>
    </row>
    <row r="1676" spans="58:58" x14ac:dyDescent="0.3">
      <c r="BF1676" t="e">
        <f>solver_rhs52=#REF!</f>
        <v>#NAME?</v>
      </c>
    </row>
    <row r="1677" spans="58:58" x14ac:dyDescent="0.3">
      <c r="BF1677" t="e">
        <f>solver_rhs520=#REF!</f>
        <v>#NAME?</v>
      </c>
    </row>
    <row r="1678" spans="58:58" x14ac:dyDescent="0.3">
      <c r="BF1678" t="e">
        <f>solver_rhs521=#REF!</f>
        <v>#NAME?</v>
      </c>
    </row>
    <row r="1679" spans="58:58" x14ac:dyDescent="0.3">
      <c r="BF1679" t="e">
        <f>solver_rhs522=#REF!</f>
        <v>#NAME?</v>
      </c>
    </row>
    <row r="1680" spans="58:58" x14ac:dyDescent="0.3">
      <c r="BF1680" t="e">
        <f>solver_rhs523=#REF!</f>
        <v>#NAME?</v>
      </c>
    </row>
    <row r="1681" spans="58:58" x14ac:dyDescent="0.3">
      <c r="BF1681" t="e">
        <f>solver_rhs524=#REF!</f>
        <v>#NAME?</v>
      </c>
    </row>
    <row r="1682" spans="58:58" x14ac:dyDescent="0.3">
      <c r="BF1682" t="e">
        <f>solver_rhs525=#REF!</f>
        <v>#NAME?</v>
      </c>
    </row>
    <row r="1683" spans="58:58" x14ac:dyDescent="0.3">
      <c r="BF1683" t="e">
        <f>solver_rhs526=#REF!</f>
        <v>#NAME?</v>
      </c>
    </row>
    <row r="1684" spans="58:58" x14ac:dyDescent="0.3">
      <c r="BF1684" t="e">
        <f>solver_rhs527=#REF!</f>
        <v>#NAME?</v>
      </c>
    </row>
    <row r="1685" spans="58:58" x14ac:dyDescent="0.3">
      <c r="BF1685" t="e">
        <f>solver_rhs528=#REF!</f>
        <v>#NAME?</v>
      </c>
    </row>
    <row r="1686" spans="58:58" x14ac:dyDescent="0.3">
      <c r="BF1686" t="e">
        <f>solver_rhs529=#REF!</f>
        <v>#NAME?</v>
      </c>
    </row>
    <row r="1687" spans="58:58" x14ac:dyDescent="0.3">
      <c r="BF1687" t="e">
        <f>solver_rhs53=#REF!</f>
        <v>#NAME?</v>
      </c>
    </row>
    <row r="1688" spans="58:58" x14ac:dyDescent="0.3">
      <c r="BF1688" t="e">
        <f>solver_rhs530=#REF!</f>
        <v>#NAME?</v>
      </c>
    </row>
    <row r="1689" spans="58:58" x14ac:dyDescent="0.3">
      <c r="BF1689" t="e">
        <f>solver_rhs531=#REF!</f>
        <v>#NAME?</v>
      </c>
    </row>
    <row r="1690" spans="58:58" x14ac:dyDescent="0.3">
      <c r="BF1690" t="e">
        <f>solver_rhs532=#REF!</f>
        <v>#NAME?</v>
      </c>
    </row>
    <row r="1691" spans="58:58" x14ac:dyDescent="0.3">
      <c r="BF1691" t="e">
        <f>solver_rhs533=#REF!</f>
        <v>#NAME?</v>
      </c>
    </row>
    <row r="1692" spans="58:58" x14ac:dyDescent="0.3">
      <c r="BF1692" t="e">
        <f>solver_rhs534=#REF!</f>
        <v>#NAME?</v>
      </c>
    </row>
    <row r="1693" spans="58:58" x14ac:dyDescent="0.3">
      <c r="BF1693" t="e">
        <f>solver_rhs535=#REF!</f>
        <v>#NAME?</v>
      </c>
    </row>
    <row r="1694" spans="58:58" x14ac:dyDescent="0.3">
      <c r="BF1694" t="e">
        <f>solver_rhs536=#REF!</f>
        <v>#NAME?</v>
      </c>
    </row>
    <row r="1695" spans="58:58" x14ac:dyDescent="0.3">
      <c r="BF1695" t="e">
        <f>solver_rhs537=#REF!</f>
        <v>#NAME?</v>
      </c>
    </row>
    <row r="1696" spans="58:58" x14ac:dyDescent="0.3">
      <c r="BF1696" t="e">
        <f>solver_rhs538=#REF!</f>
        <v>#NAME?</v>
      </c>
    </row>
    <row r="1697" spans="58:58" x14ac:dyDescent="0.3">
      <c r="BF1697" t="e">
        <f>solver_rhs539=#REF!</f>
        <v>#NAME?</v>
      </c>
    </row>
    <row r="1698" spans="58:58" x14ac:dyDescent="0.3">
      <c r="BF1698" t="e">
        <f>solver_rhs54=#REF!</f>
        <v>#NAME?</v>
      </c>
    </row>
    <row r="1699" spans="58:58" x14ac:dyDescent="0.3">
      <c r="BF1699" t="e">
        <f>solver_rhs540=#REF!</f>
        <v>#NAME?</v>
      </c>
    </row>
    <row r="1700" spans="58:58" x14ac:dyDescent="0.3">
      <c r="BF1700" t="e">
        <f>solver_rhs541=#REF!</f>
        <v>#NAME?</v>
      </c>
    </row>
    <row r="1701" spans="58:58" x14ac:dyDescent="0.3">
      <c r="BF1701" t="e">
        <f>solver_rhs542=#REF!</f>
        <v>#NAME?</v>
      </c>
    </row>
    <row r="1702" spans="58:58" x14ac:dyDescent="0.3">
      <c r="BF1702" t="e">
        <f>solver_rhs543=#REF!</f>
        <v>#NAME?</v>
      </c>
    </row>
    <row r="1703" spans="58:58" x14ac:dyDescent="0.3">
      <c r="BF1703" t="e">
        <f>solver_rhs544=#REF!</f>
        <v>#NAME?</v>
      </c>
    </row>
    <row r="1704" spans="58:58" x14ac:dyDescent="0.3">
      <c r="BF1704" t="e">
        <f>solver_rhs545=#REF!</f>
        <v>#NAME?</v>
      </c>
    </row>
    <row r="1705" spans="58:58" x14ac:dyDescent="0.3">
      <c r="BF1705" t="e">
        <f>solver_rhs546=#REF!</f>
        <v>#NAME?</v>
      </c>
    </row>
    <row r="1706" spans="58:58" x14ac:dyDescent="0.3">
      <c r="BF1706" t="e">
        <f>solver_rhs547=#REF!</f>
        <v>#NAME?</v>
      </c>
    </row>
    <row r="1707" spans="58:58" x14ac:dyDescent="0.3">
      <c r="BF1707" t="e">
        <f>solver_rhs548=#REF!</f>
        <v>#NAME?</v>
      </c>
    </row>
    <row r="1708" spans="58:58" x14ac:dyDescent="0.3">
      <c r="BF1708" t="e">
        <f>solver_rhs549=#REF!</f>
        <v>#NAME?</v>
      </c>
    </row>
    <row r="1709" spans="58:58" x14ac:dyDescent="0.3">
      <c r="BF1709" t="e">
        <f>solver_rhs55=#REF!</f>
        <v>#NAME?</v>
      </c>
    </row>
    <row r="1710" spans="58:58" x14ac:dyDescent="0.3">
      <c r="BF1710" t="e">
        <f>solver_rhs550=#REF!</f>
        <v>#NAME?</v>
      </c>
    </row>
    <row r="1711" spans="58:58" x14ac:dyDescent="0.3">
      <c r="BF1711" t="e">
        <f>solver_rhs551=#REF!</f>
        <v>#NAME?</v>
      </c>
    </row>
    <row r="1712" spans="58:58" x14ac:dyDescent="0.3">
      <c r="BF1712" t="e">
        <f>solver_rhs552=#REF!</f>
        <v>#NAME?</v>
      </c>
    </row>
    <row r="1713" spans="58:58" x14ac:dyDescent="0.3">
      <c r="BF1713" t="e">
        <f>solver_rhs553=#REF!</f>
        <v>#NAME?</v>
      </c>
    </row>
    <row r="1714" spans="58:58" x14ac:dyDescent="0.3">
      <c r="BF1714" t="e">
        <f>solver_rhs554=#REF!</f>
        <v>#NAME?</v>
      </c>
    </row>
    <row r="1715" spans="58:58" x14ac:dyDescent="0.3">
      <c r="BF1715" t="e">
        <f>solver_rhs555=#REF!</f>
        <v>#NAME?</v>
      </c>
    </row>
    <row r="1716" spans="58:58" x14ac:dyDescent="0.3">
      <c r="BF1716" t="e">
        <f>solver_rhs556=#REF!</f>
        <v>#NAME?</v>
      </c>
    </row>
    <row r="1717" spans="58:58" x14ac:dyDescent="0.3">
      <c r="BF1717" t="e">
        <f>solver_rhs557=#REF!</f>
        <v>#NAME?</v>
      </c>
    </row>
    <row r="1718" spans="58:58" x14ac:dyDescent="0.3">
      <c r="BF1718" t="e">
        <f>solver_rhs558=#REF!</f>
        <v>#NAME?</v>
      </c>
    </row>
    <row r="1719" spans="58:58" x14ac:dyDescent="0.3">
      <c r="BF1719" t="e">
        <f>solver_rhs559=#REF!</f>
        <v>#NAME?</v>
      </c>
    </row>
    <row r="1720" spans="58:58" x14ac:dyDescent="0.3">
      <c r="BF1720" t="e">
        <f>solver_rhs56=#REF!</f>
        <v>#NAME?</v>
      </c>
    </row>
    <row r="1721" spans="58:58" x14ac:dyDescent="0.3">
      <c r="BF1721" t="e">
        <f>solver_rhs560=#REF!</f>
        <v>#NAME?</v>
      </c>
    </row>
    <row r="1722" spans="58:58" x14ac:dyDescent="0.3">
      <c r="BF1722" t="e">
        <f>solver_rhs561=#REF!</f>
        <v>#NAME?</v>
      </c>
    </row>
    <row r="1723" spans="58:58" x14ac:dyDescent="0.3">
      <c r="BF1723" t="e">
        <f>solver_rhs562=#REF!</f>
        <v>#NAME?</v>
      </c>
    </row>
    <row r="1724" spans="58:58" x14ac:dyDescent="0.3">
      <c r="BF1724" t="e">
        <f>solver_rhs563=#REF!</f>
        <v>#NAME?</v>
      </c>
    </row>
    <row r="1725" spans="58:58" x14ac:dyDescent="0.3">
      <c r="BF1725" t="e">
        <f>solver_rhs564=#REF!</f>
        <v>#NAME?</v>
      </c>
    </row>
    <row r="1726" spans="58:58" x14ac:dyDescent="0.3">
      <c r="BF1726" t="e">
        <f>solver_rhs565=#REF!</f>
        <v>#NAME?</v>
      </c>
    </row>
    <row r="1727" spans="58:58" x14ac:dyDescent="0.3">
      <c r="BF1727" t="e">
        <f>solver_rhs566=#REF!</f>
        <v>#NAME?</v>
      </c>
    </row>
    <row r="1728" spans="58:58" x14ac:dyDescent="0.3">
      <c r="BF1728" t="e">
        <f>solver_rhs567=#REF!</f>
        <v>#NAME?</v>
      </c>
    </row>
    <row r="1729" spans="58:58" x14ac:dyDescent="0.3">
      <c r="BF1729" t="e">
        <f>solver_rhs568=#REF!</f>
        <v>#NAME?</v>
      </c>
    </row>
    <row r="1730" spans="58:58" x14ac:dyDescent="0.3">
      <c r="BF1730" t="e">
        <f>solver_rhs569=#REF!</f>
        <v>#NAME?</v>
      </c>
    </row>
    <row r="1731" spans="58:58" x14ac:dyDescent="0.3">
      <c r="BF1731" t="e">
        <f>solver_rhs57=#REF!</f>
        <v>#NAME?</v>
      </c>
    </row>
    <row r="1732" spans="58:58" x14ac:dyDescent="0.3">
      <c r="BF1732" t="e">
        <f>solver_rhs570=#REF!</f>
        <v>#NAME?</v>
      </c>
    </row>
    <row r="1733" spans="58:58" x14ac:dyDescent="0.3">
      <c r="BF1733" t="e">
        <f>solver_rhs571=#REF!</f>
        <v>#NAME?</v>
      </c>
    </row>
    <row r="1734" spans="58:58" x14ac:dyDescent="0.3">
      <c r="BF1734" t="e">
        <f>solver_rhs572=#REF!</f>
        <v>#NAME?</v>
      </c>
    </row>
    <row r="1735" spans="58:58" x14ac:dyDescent="0.3">
      <c r="BF1735" t="e">
        <f>solver_rhs573=#REF!</f>
        <v>#NAME?</v>
      </c>
    </row>
    <row r="1736" spans="58:58" x14ac:dyDescent="0.3">
      <c r="BF1736" t="e">
        <f>solver_rhs574=#REF!</f>
        <v>#NAME?</v>
      </c>
    </row>
    <row r="1737" spans="58:58" x14ac:dyDescent="0.3">
      <c r="BF1737" t="e">
        <f>solver_rhs575=#REF!</f>
        <v>#NAME?</v>
      </c>
    </row>
    <row r="1738" spans="58:58" x14ac:dyDescent="0.3">
      <c r="BF1738" t="e">
        <f>solver_rhs576=#REF!</f>
        <v>#NAME?</v>
      </c>
    </row>
    <row r="1739" spans="58:58" x14ac:dyDescent="0.3">
      <c r="BF1739" t="e">
        <f>solver_rhs577=#REF!</f>
        <v>#NAME?</v>
      </c>
    </row>
    <row r="1740" spans="58:58" x14ac:dyDescent="0.3">
      <c r="BF1740" t="e">
        <f>solver_rhs578=#REF!</f>
        <v>#NAME?</v>
      </c>
    </row>
    <row r="1741" spans="58:58" x14ac:dyDescent="0.3">
      <c r="BF1741" t="e">
        <f>solver_rhs579=#REF!</f>
        <v>#NAME?</v>
      </c>
    </row>
    <row r="1742" spans="58:58" x14ac:dyDescent="0.3">
      <c r="BF1742" t="e">
        <f>solver_rhs58=#REF!</f>
        <v>#NAME?</v>
      </c>
    </row>
    <row r="1743" spans="58:58" x14ac:dyDescent="0.3">
      <c r="BF1743" t="e">
        <f>solver_rhs580=#REF!</f>
        <v>#NAME?</v>
      </c>
    </row>
    <row r="1744" spans="58:58" x14ac:dyDescent="0.3">
      <c r="BF1744" t="e">
        <f>solver_rhs581=#REF!</f>
        <v>#NAME?</v>
      </c>
    </row>
    <row r="1745" spans="58:58" x14ac:dyDescent="0.3">
      <c r="BF1745" t="e">
        <f>solver_rhs582=#REF!</f>
        <v>#NAME?</v>
      </c>
    </row>
    <row r="1746" spans="58:58" x14ac:dyDescent="0.3">
      <c r="BF1746" t="e">
        <f>solver_rhs583=#REF!</f>
        <v>#NAME?</v>
      </c>
    </row>
    <row r="1747" spans="58:58" x14ac:dyDescent="0.3">
      <c r="BF1747" t="e">
        <f>solver_rhs584=#REF!</f>
        <v>#NAME?</v>
      </c>
    </row>
    <row r="1748" spans="58:58" x14ac:dyDescent="0.3">
      <c r="BF1748" t="e">
        <f>solver_rhs585=#REF!</f>
        <v>#NAME?</v>
      </c>
    </row>
    <row r="1749" spans="58:58" x14ac:dyDescent="0.3">
      <c r="BF1749" t="e">
        <f>solver_rhs586=#REF!</f>
        <v>#NAME?</v>
      </c>
    </row>
    <row r="1750" spans="58:58" x14ac:dyDescent="0.3">
      <c r="BF1750" t="e">
        <f>solver_rhs587=#REF!</f>
        <v>#NAME?</v>
      </c>
    </row>
    <row r="1751" spans="58:58" x14ac:dyDescent="0.3">
      <c r="BF1751" t="e">
        <f>solver_rhs588=#REF!</f>
        <v>#NAME?</v>
      </c>
    </row>
    <row r="1752" spans="58:58" x14ac:dyDescent="0.3">
      <c r="BF1752" t="e">
        <f>solver_rhs589=#REF!</f>
        <v>#NAME?</v>
      </c>
    </row>
    <row r="1753" spans="58:58" x14ac:dyDescent="0.3">
      <c r="BF1753" t="e">
        <f>solver_rhs59=#REF!</f>
        <v>#NAME?</v>
      </c>
    </row>
    <row r="1754" spans="58:58" x14ac:dyDescent="0.3">
      <c r="BF1754" t="e">
        <f>solver_rhs590=#REF!</f>
        <v>#NAME?</v>
      </c>
    </row>
    <row r="1755" spans="58:58" x14ac:dyDescent="0.3">
      <c r="BF1755" t="e">
        <f>solver_rhs591=#REF!</f>
        <v>#NAME?</v>
      </c>
    </row>
    <row r="1756" spans="58:58" x14ac:dyDescent="0.3">
      <c r="BF1756" t="e">
        <f>solver_rhs592=#REF!</f>
        <v>#NAME?</v>
      </c>
    </row>
    <row r="1757" spans="58:58" x14ac:dyDescent="0.3">
      <c r="BF1757" t="e">
        <f>solver_rhs593=#REF!</f>
        <v>#NAME?</v>
      </c>
    </row>
    <row r="1758" spans="58:58" x14ac:dyDescent="0.3">
      <c r="BF1758" t="e">
        <f>solver_rhs594=#REF!</f>
        <v>#NAME?</v>
      </c>
    </row>
    <row r="1759" spans="58:58" x14ac:dyDescent="0.3">
      <c r="BF1759" t="e">
        <f>solver_rhs595=#REF!</f>
        <v>#NAME?</v>
      </c>
    </row>
    <row r="1760" spans="58:58" x14ac:dyDescent="0.3">
      <c r="BF1760" t="e">
        <f>solver_rhs596=#REF!</f>
        <v>#NAME?</v>
      </c>
    </row>
    <row r="1761" spans="58:58" x14ac:dyDescent="0.3">
      <c r="BF1761" t="e">
        <f>solver_rhs597=#REF!</f>
        <v>#NAME?</v>
      </c>
    </row>
    <row r="1762" spans="58:58" x14ac:dyDescent="0.3">
      <c r="BF1762" t="e">
        <f>solver_rhs598=#REF!</f>
        <v>#NAME?</v>
      </c>
    </row>
    <row r="1763" spans="58:58" x14ac:dyDescent="0.3">
      <c r="BF1763" t="e">
        <f>solver_rhs599=#REF!</f>
        <v>#NAME?</v>
      </c>
    </row>
    <row r="1764" spans="58:58" x14ac:dyDescent="0.3">
      <c r="BF1764" t="e">
        <f>solver_rhs6=#REF!</f>
        <v>#NAME?</v>
      </c>
    </row>
    <row r="1765" spans="58:58" x14ac:dyDescent="0.3">
      <c r="BF1765" t="e">
        <f>solver_rhs60=#REF!</f>
        <v>#NAME?</v>
      </c>
    </row>
    <row r="1766" spans="58:58" x14ac:dyDescent="0.3">
      <c r="BF1766" t="e">
        <f>solver_rhs600=#REF!</f>
        <v>#NAME?</v>
      </c>
    </row>
    <row r="1767" spans="58:58" x14ac:dyDescent="0.3">
      <c r="BF1767" t="e">
        <f>solver_rhs61=#REF!</f>
        <v>#NAME?</v>
      </c>
    </row>
    <row r="1768" spans="58:58" x14ac:dyDescent="0.3">
      <c r="BF1768" t="e">
        <f>solver_rhs62=#REF!</f>
        <v>#NAME?</v>
      </c>
    </row>
    <row r="1769" spans="58:58" x14ac:dyDescent="0.3">
      <c r="BF1769" t="e">
        <f>solver_rhs63=#REF!</f>
        <v>#NAME?</v>
      </c>
    </row>
    <row r="1770" spans="58:58" x14ac:dyDescent="0.3">
      <c r="BF1770" t="e">
        <f>solver_rhs64=#REF!</f>
        <v>#NAME?</v>
      </c>
    </row>
    <row r="1771" spans="58:58" x14ac:dyDescent="0.3">
      <c r="BF1771" t="e">
        <f>solver_rhs65=#REF!</f>
        <v>#NAME?</v>
      </c>
    </row>
    <row r="1772" spans="58:58" x14ac:dyDescent="0.3">
      <c r="BF1772" t="e">
        <f>solver_rhs66=#REF!</f>
        <v>#NAME?</v>
      </c>
    </row>
    <row r="1773" spans="58:58" x14ac:dyDescent="0.3">
      <c r="BF1773" t="e">
        <f>solver_rhs67=#REF!</f>
        <v>#NAME?</v>
      </c>
    </row>
    <row r="1774" spans="58:58" x14ac:dyDescent="0.3">
      <c r="BF1774" t="e">
        <f>solver_rhs68=#REF!</f>
        <v>#NAME?</v>
      </c>
    </row>
    <row r="1775" spans="58:58" x14ac:dyDescent="0.3">
      <c r="BF1775" t="e">
        <f>solver_rhs69=#REF!</f>
        <v>#NAME?</v>
      </c>
    </row>
    <row r="1776" spans="58:58" x14ac:dyDescent="0.3">
      <c r="BF1776" t="e">
        <f>solver_rhs7=#REF!</f>
        <v>#NAME?</v>
      </c>
    </row>
    <row r="1777" spans="58:58" x14ac:dyDescent="0.3">
      <c r="BF1777" t="e">
        <f>solver_rhs70=#REF!</f>
        <v>#NAME?</v>
      </c>
    </row>
    <row r="1778" spans="58:58" x14ac:dyDescent="0.3">
      <c r="BF1778" t="e">
        <f>solver_rhs71=#REF!</f>
        <v>#NAME?</v>
      </c>
    </row>
    <row r="1779" spans="58:58" x14ac:dyDescent="0.3">
      <c r="BF1779" t="e">
        <f>solver_rhs72=#REF!</f>
        <v>#NAME?</v>
      </c>
    </row>
    <row r="1780" spans="58:58" x14ac:dyDescent="0.3">
      <c r="BF1780" t="e">
        <f>solver_rhs73=#REF!</f>
        <v>#NAME?</v>
      </c>
    </row>
    <row r="1781" spans="58:58" x14ac:dyDescent="0.3">
      <c r="BF1781" t="e">
        <f>solver_rhs74=#REF!</f>
        <v>#NAME?</v>
      </c>
    </row>
    <row r="1782" spans="58:58" x14ac:dyDescent="0.3">
      <c r="BF1782" t="e">
        <f>solver_rhs75=#REF!</f>
        <v>#NAME?</v>
      </c>
    </row>
    <row r="1783" spans="58:58" x14ac:dyDescent="0.3">
      <c r="BF1783" t="e">
        <f>solver_rhs76=#REF!</f>
        <v>#NAME?</v>
      </c>
    </row>
    <row r="1784" spans="58:58" x14ac:dyDescent="0.3">
      <c r="BF1784" t="e">
        <f>solver_rhs77=#REF!</f>
        <v>#NAME?</v>
      </c>
    </row>
    <row r="1785" spans="58:58" x14ac:dyDescent="0.3">
      <c r="BF1785" t="e">
        <f>solver_rhs78=#REF!</f>
        <v>#NAME?</v>
      </c>
    </row>
    <row r="1786" spans="58:58" x14ac:dyDescent="0.3">
      <c r="BF1786" t="e">
        <f>solver_rhs79=#REF!</f>
        <v>#NAME?</v>
      </c>
    </row>
    <row r="1787" spans="58:58" x14ac:dyDescent="0.3">
      <c r="BF1787" t="e">
        <f>solver_rhs8=#REF!</f>
        <v>#NAME?</v>
      </c>
    </row>
    <row r="1788" spans="58:58" x14ac:dyDescent="0.3">
      <c r="BF1788" t="e">
        <f>solver_rhs80=#REF!</f>
        <v>#NAME?</v>
      </c>
    </row>
    <row r="1789" spans="58:58" x14ac:dyDescent="0.3">
      <c r="BF1789" t="e">
        <f>solver_rhs81=#REF!</f>
        <v>#NAME?</v>
      </c>
    </row>
    <row r="1790" spans="58:58" x14ac:dyDescent="0.3">
      <c r="BF1790" t="e">
        <f>solver_rhs82=#REF!</f>
        <v>#NAME?</v>
      </c>
    </row>
    <row r="1791" spans="58:58" x14ac:dyDescent="0.3">
      <c r="BF1791" t="e">
        <f>solver_rhs83=#REF!</f>
        <v>#NAME?</v>
      </c>
    </row>
    <row r="1792" spans="58:58" x14ac:dyDescent="0.3">
      <c r="BF1792" t="e">
        <f>solver_rhs84=#REF!</f>
        <v>#NAME?</v>
      </c>
    </row>
    <row r="1793" spans="58:58" x14ac:dyDescent="0.3">
      <c r="BF1793" t="e">
        <f>solver_rhs85=#REF!</f>
        <v>#NAME?</v>
      </c>
    </row>
    <row r="1794" spans="58:58" x14ac:dyDescent="0.3">
      <c r="BF1794" t="e">
        <f>solver_rhs86=#REF!</f>
        <v>#NAME?</v>
      </c>
    </row>
    <row r="1795" spans="58:58" x14ac:dyDescent="0.3">
      <c r="BF1795" t="e">
        <f>solver_rhs87=#REF!</f>
        <v>#NAME?</v>
      </c>
    </row>
    <row r="1796" spans="58:58" x14ac:dyDescent="0.3">
      <c r="BF1796" t="e">
        <f>solver_rhs88=#REF!</f>
        <v>#NAME?</v>
      </c>
    </row>
    <row r="1797" spans="58:58" x14ac:dyDescent="0.3">
      <c r="BF1797" t="e">
        <f>solver_rhs89=#REF!</f>
        <v>#NAME?</v>
      </c>
    </row>
    <row r="1798" spans="58:58" x14ac:dyDescent="0.3">
      <c r="BF1798" t="e">
        <f>solver_rhs9=#REF!</f>
        <v>#NAME?</v>
      </c>
    </row>
    <row r="1799" spans="58:58" x14ac:dyDescent="0.3">
      <c r="BF1799" t="e">
        <f>solver_rhs90=#REF!</f>
        <v>#NAME?</v>
      </c>
    </row>
    <row r="1800" spans="58:58" x14ac:dyDescent="0.3">
      <c r="BF1800" t="e">
        <f>solver_rhs91=#REF!</f>
        <v>#NAME?</v>
      </c>
    </row>
    <row r="1801" spans="58:58" x14ac:dyDescent="0.3">
      <c r="BF1801" t="e">
        <f>solver_rhs92=#REF!</f>
        <v>#NAME?</v>
      </c>
    </row>
    <row r="1802" spans="58:58" x14ac:dyDescent="0.3">
      <c r="BF1802" t="e">
        <f>solver_rhs93=#REF!</f>
        <v>#NAME?</v>
      </c>
    </row>
    <row r="1803" spans="58:58" x14ac:dyDescent="0.3">
      <c r="BF1803" t="e">
        <f>solver_rhs94=#REF!</f>
        <v>#NAME?</v>
      </c>
    </row>
    <row r="1804" spans="58:58" x14ac:dyDescent="0.3">
      <c r="BF1804" t="e">
        <f>solver_rhs95=#REF!</f>
        <v>#NAME?</v>
      </c>
    </row>
    <row r="1805" spans="58:58" x14ac:dyDescent="0.3">
      <c r="BF1805" t="e">
        <f>solver_rhs96=#REF!</f>
        <v>#NAME?</v>
      </c>
    </row>
    <row r="1806" spans="58:58" x14ac:dyDescent="0.3">
      <c r="BF1806" t="e">
        <f>solver_rhs97=#REF!</f>
        <v>#NAME?</v>
      </c>
    </row>
    <row r="1807" spans="58:58" x14ac:dyDescent="0.3">
      <c r="BF1807" t="e">
        <f>solver_rhs98=#REF!</f>
        <v>#NAME?</v>
      </c>
    </row>
    <row r="1808" spans="58:58" x14ac:dyDescent="0.3">
      <c r="BF1808" t="e">
        <f>solver_rhs99=#REF!</f>
        <v>#NAME?</v>
      </c>
    </row>
    <row r="1809" spans="58:58" x14ac:dyDescent="0.3">
      <c r="BF1809" t="e">
        <f>solver_rlx=0</f>
        <v>#NAME?</v>
      </c>
    </row>
    <row r="1810" spans="58:58" x14ac:dyDescent="0.3">
      <c r="BF1810" t="e">
        <f>solver_sho=0</f>
        <v>#NAME?</v>
      </c>
    </row>
    <row r="1811" spans="58:58" x14ac:dyDescent="0.3">
      <c r="BF1811" t="e">
        <f>solver_tim=999999999</f>
        <v>#NAME?</v>
      </c>
    </row>
    <row r="1812" spans="58:58" x14ac:dyDescent="0.3">
      <c r="BF1812" t="e">
        <f>solver_tol=0.05</f>
        <v>#NAME?</v>
      </c>
    </row>
    <row r="1813" spans="58:58" x14ac:dyDescent="0.3">
      <c r="BF1813" t="e">
        <f>solver_typ=2</f>
        <v>#NAME?</v>
      </c>
    </row>
    <row r="1814" spans="58:58" x14ac:dyDescent="0.3">
      <c r="BF1814" t="e">
        <f>solver_val=0</f>
        <v>#NAME?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zResults"/>
  <dimension ref="A1:S35"/>
  <sheetViews>
    <sheetView tabSelected="1" topLeftCell="A3" zoomScale="85" zoomScaleNormal="85" zoomScalePageLayoutView="85" workbookViewId="0">
      <selection activeCell="A36" sqref="A36"/>
    </sheetView>
  </sheetViews>
  <sheetFormatPr defaultColWidth="9.109375" defaultRowHeight="14.4" x14ac:dyDescent="0.3"/>
  <cols>
    <col min="1" max="1" width="26.6640625" style="23" customWidth="1"/>
    <col min="2" max="16384" width="9.109375" style="7"/>
  </cols>
  <sheetData>
    <row r="1" spans="1:19" s="19" customFormat="1" ht="63" customHeight="1" thickBot="1" x14ac:dyDescent="0.35">
      <c r="A1" s="21"/>
      <c r="C1" s="36" t="s">
        <v>39</v>
      </c>
      <c r="D1" s="36"/>
      <c r="E1" s="36"/>
      <c r="F1" s="36"/>
    </row>
    <row r="2" spans="1:19" s="18" customFormat="1" ht="15" thickBot="1" x14ac:dyDescent="0.35">
      <c r="A2" s="22" t="s">
        <v>14</v>
      </c>
      <c r="B2" s="17" t="s">
        <v>15</v>
      </c>
      <c r="C2" s="18" t="s">
        <v>16</v>
      </c>
      <c r="D2" s="18" t="s">
        <v>32</v>
      </c>
      <c r="E2" s="18" t="s">
        <v>46</v>
      </c>
      <c r="F2" s="18" t="s">
        <v>38</v>
      </c>
      <c r="G2" s="18" t="s">
        <v>17</v>
      </c>
      <c r="H2" s="18" t="s">
        <v>34</v>
      </c>
      <c r="I2" s="18" t="s">
        <v>33</v>
      </c>
      <c r="J2" s="18" t="s">
        <v>37</v>
      </c>
    </row>
    <row r="3" spans="1:19" x14ac:dyDescent="0.3">
      <c r="A3" s="24" t="str">
        <f>HYPERLINK("[OpenSolver SheetNameCharTester.xlsm]'SimpleLP'!A1", "SimpleLP")</f>
        <v>SimpleLP</v>
      </c>
    </row>
    <row r="4" spans="1:19" x14ac:dyDescent="0.3">
      <c r="A4" s="24" t="str">
        <f>HYPERLINK("[OpenSolver SheetNameCharTester.xlsm]'SimpleIP'!A1", "SimpleIP")</f>
        <v>SimpleIP</v>
      </c>
    </row>
    <row r="5" spans="1:19" x14ac:dyDescent="0.3">
      <c r="A5" s="24" t="str">
        <f>HYPERLINK("[OpenSolver SheetNameCharTester.xlsm]'BadName!'!A1", "BadName!")</f>
        <v>BadName!</v>
      </c>
    </row>
    <row r="6" spans="1:19" x14ac:dyDescent="0.3">
      <c r="A6" s="24" t="str">
        <f>HYPERLINK("[OpenSolver SheetNameCharTester.xlsm]'EscapeSheetName(1)+2-1'!A1", "EscapeSheetName(1)+2-1")</f>
        <v>EscapeSheetName(1)+2-1</v>
      </c>
    </row>
    <row r="7" spans="1:19" x14ac:dyDescent="0.3">
      <c r="A7" s="24" t="str">
        <f>HYPERLINK("[OpenSolver SheetNameCharTester.xlsm]'!BadName'!A1", "!BadName")</f>
        <v>!BadName</v>
      </c>
    </row>
    <row r="8" spans="1:19" x14ac:dyDescent="0.3">
      <c r="A8" s="24" t="str">
        <f>HYPERLINK("[OpenSolver SheetNameCharTester.xlsm]'Bad!Name'!A1", "Bad!Name")</f>
        <v>Bad!Name</v>
      </c>
    </row>
    <row r="9" spans="1:19" x14ac:dyDescent="0.3">
      <c r="A9" s="24" t="str">
        <f>HYPERLINK("[OpenSolver SheetNameCharTester.xlsm]'@BadName'!A1", "@BadName")</f>
        <v>@BadName</v>
      </c>
      <c r="B9" s="7" t="s">
        <v>52</v>
      </c>
      <c r="D9" s="7" t="s">
        <v>52</v>
      </c>
      <c r="E9" s="7" t="s">
        <v>52</v>
      </c>
      <c r="F9" s="7" t="s">
        <v>52</v>
      </c>
      <c r="G9" s="7" t="s">
        <v>52</v>
      </c>
      <c r="H9" s="7" t="s">
        <v>53</v>
      </c>
      <c r="I9" s="7" t="s">
        <v>53</v>
      </c>
      <c r="J9" s="7" t="s">
        <v>52</v>
      </c>
    </row>
    <row r="10" spans="1:19" x14ac:dyDescent="0.3">
      <c r="A10" s="24" t="str">
        <f>HYPERLINK("[OpenSolver SheetNameCharTester.xlsm]'Bad@Name'!A1", "Bad@Name")</f>
        <v>Bad@Name</v>
      </c>
      <c r="B10" s="7" t="s">
        <v>52</v>
      </c>
      <c r="D10" s="7" t="s">
        <v>52</v>
      </c>
      <c r="E10" s="7" t="s">
        <v>52</v>
      </c>
      <c r="F10" s="7" t="s">
        <v>52</v>
      </c>
      <c r="G10" s="7" t="s">
        <v>52</v>
      </c>
      <c r="H10" s="7" t="s">
        <v>53</v>
      </c>
      <c r="I10" s="7" t="s">
        <v>53</v>
      </c>
      <c r="J10" s="7" t="s">
        <v>52</v>
      </c>
    </row>
    <row r="11" spans="1:19" x14ac:dyDescent="0.3">
      <c r="A11" s="24" t="str">
        <f>HYPERLINK("[OpenSolver SheetNameCharTester.xlsm]'BadName@'!A1", "BadName@")</f>
        <v>BadName@</v>
      </c>
      <c r="B11" s="7" t="s">
        <v>52</v>
      </c>
      <c r="D11" s="7" t="s">
        <v>52</v>
      </c>
      <c r="E11" s="7" t="s">
        <v>52</v>
      </c>
      <c r="F11" s="7" t="s">
        <v>52</v>
      </c>
      <c r="G11" s="7" t="s">
        <v>52</v>
      </c>
      <c r="H11" s="7" t="s">
        <v>53</v>
      </c>
      <c r="I11" s="7" t="s">
        <v>53</v>
      </c>
      <c r="J11" s="7" t="s">
        <v>52</v>
      </c>
      <c r="R11" s="33"/>
      <c r="S11" s="33"/>
    </row>
    <row r="12" spans="1:19" x14ac:dyDescent="0.3">
      <c r="A12" s="24" t="str">
        <f>HYPERLINK("[OpenSolver SheetNameCharTester.xlsm]'#BadName'!A1", "#BadName")</f>
        <v>#BadName</v>
      </c>
      <c r="B12" s="7" t="s">
        <v>52</v>
      </c>
      <c r="D12" s="7" t="s">
        <v>52</v>
      </c>
      <c r="E12" s="7" t="s">
        <v>53</v>
      </c>
      <c r="F12" s="7" t="s">
        <v>53</v>
      </c>
      <c r="G12" s="7" t="s">
        <v>52</v>
      </c>
      <c r="H12" s="7" t="s">
        <v>53</v>
      </c>
      <c r="I12" s="7" t="s">
        <v>53</v>
      </c>
      <c r="J12" s="7" t="s">
        <v>53</v>
      </c>
      <c r="R12" s="33"/>
      <c r="S12" s="33"/>
    </row>
    <row r="13" spans="1:19" x14ac:dyDescent="0.3">
      <c r="A13" s="24" t="str">
        <f>HYPERLINK("[OpenSolver SheetNameCharTester.xlsm]'Bad#Name'!A1", "Bad#Name")</f>
        <v>Bad#Name</v>
      </c>
      <c r="B13" s="7" t="s">
        <v>52</v>
      </c>
      <c r="D13" s="7" t="s">
        <v>52</v>
      </c>
      <c r="E13" s="7" t="s">
        <v>52</v>
      </c>
      <c r="F13" s="7" t="s">
        <v>52</v>
      </c>
      <c r="G13" s="7" t="s">
        <v>52</v>
      </c>
      <c r="H13" s="7" t="s">
        <v>53</v>
      </c>
      <c r="I13" s="7" t="s">
        <v>53</v>
      </c>
      <c r="J13" s="7" t="s">
        <v>52</v>
      </c>
      <c r="R13" s="33"/>
      <c r="S13" s="33"/>
    </row>
    <row r="14" spans="1:19" x14ac:dyDescent="0.3">
      <c r="A14" s="24" t="str">
        <f>HYPERLINK("[OpenSolver SheetNameCharTester.xlsm]'BadName#'!A1", "BadName#")</f>
        <v>BadName#</v>
      </c>
      <c r="B14" s="7" t="s">
        <v>52</v>
      </c>
      <c r="D14" s="7" t="s">
        <v>52</v>
      </c>
      <c r="E14" s="7" t="s">
        <v>52</v>
      </c>
      <c r="F14" s="7" t="s">
        <v>52</v>
      </c>
      <c r="G14" s="7" t="s">
        <v>52</v>
      </c>
      <c r="H14" s="7" t="s">
        <v>53</v>
      </c>
      <c r="I14" s="7" t="s">
        <v>53</v>
      </c>
      <c r="J14" s="7" t="s">
        <v>52</v>
      </c>
      <c r="R14" s="33"/>
      <c r="S14" s="33"/>
    </row>
    <row r="15" spans="1:19" x14ac:dyDescent="0.3">
      <c r="A15" s="24" t="str">
        <f>HYPERLINK("[OpenSolver SheetNameCharTester.xlsm]'$BadName'!A1", "$BadName")</f>
        <v>$BadName</v>
      </c>
      <c r="B15" s="7" t="s">
        <v>52</v>
      </c>
      <c r="D15" s="7" t="s">
        <v>52</v>
      </c>
      <c r="E15" s="7" t="s">
        <v>52</v>
      </c>
      <c r="F15" s="7" t="s">
        <v>52</v>
      </c>
      <c r="G15" s="7" t="s">
        <v>52</v>
      </c>
      <c r="H15" s="7" t="s">
        <v>53</v>
      </c>
      <c r="I15" s="7" t="s">
        <v>53</v>
      </c>
      <c r="J15" s="7" t="s">
        <v>52</v>
      </c>
      <c r="R15" s="33"/>
      <c r="S15" s="33"/>
    </row>
    <row r="16" spans="1:19" x14ac:dyDescent="0.3">
      <c r="A16" s="24" t="str">
        <f>HYPERLINK("[OpenSolver SheetNameCharTester.xlsm]'Bad$Name'!A1", "Bad$Name")</f>
        <v>Bad$Name</v>
      </c>
      <c r="B16" s="7" t="s">
        <v>52</v>
      </c>
      <c r="D16" s="7" t="s">
        <v>52</v>
      </c>
      <c r="E16" s="7" t="s">
        <v>52</v>
      </c>
      <c r="F16" s="7" t="s">
        <v>52</v>
      </c>
      <c r="G16" s="7" t="s">
        <v>52</v>
      </c>
      <c r="H16" s="7" t="s">
        <v>53</v>
      </c>
      <c r="I16" s="7" t="s">
        <v>53</v>
      </c>
      <c r="J16" s="7" t="s">
        <v>52</v>
      </c>
    </row>
    <row r="17" spans="1:10" x14ac:dyDescent="0.3">
      <c r="A17" s="24" t="str">
        <f>HYPERLINK("[OpenSolver SheetNameCharTester.xlsm]'BadName$'!A1", "BadName$")</f>
        <v>BadName$</v>
      </c>
      <c r="B17" s="7" t="s">
        <v>52</v>
      </c>
      <c r="D17" s="7" t="s">
        <v>52</v>
      </c>
      <c r="E17" s="7" t="s">
        <v>52</v>
      </c>
      <c r="F17" s="7" t="s">
        <v>52</v>
      </c>
      <c r="G17" s="7" t="s">
        <v>52</v>
      </c>
      <c r="H17" s="7" t="s">
        <v>53</v>
      </c>
      <c r="I17" s="7" t="s">
        <v>53</v>
      </c>
      <c r="J17" s="7" t="s">
        <v>52</v>
      </c>
    </row>
    <row r="18" spans="1:10" x14ac:dyDescent="0.3">
      <c r="A18" s="24" t="str">
        <f>HYPERLINK("[OpenSolver SheetNameCharTester.xlsm]'%BadName'!A1", "%BadName")</f>
        <v>%BadName</v>
      </c>
      <c r="B18" s="7" t="s">
        <v>52</v>
      </c>
      <c r="D18" s="7" t="s">
        <v>52</v>
      </c>
      <c r="E18" s="7" t="s">
        <v>53</v>
      </c>
      <c r="F18" s="7" t="s">
        <v>53</v>
      </c>
      <c r="G18" s="7" t="s">
        <v>52</v>
      </c>
      <c r="H18" s="7" t="s">
        <v>53</v>
      </c>
      <c r="I18" s="7" t="s">
        <v>53</v>
      </c>
      <c r="J18" s="7" t="s">
        <v>53</v>
      </c>
    </row>
    <row r="19" spans="1:10" x14ac:dyDescent="0.3">
      <c r="A19" s="24" t="str">
        <f>HYPERLINK("[OpenSolver SheetNameCharTester.xlsm]'Bad%Name'!A1", "Bad%Name")</f>
        <v>Bad%Name</v>
      </c>
      <c r="B19" s="7" t="s">
        <v>52</v>
      </c>
      <c r="D19" s="7" t="s">
        <v>52</v>
      </c>
      <c r="E19" s="7" t="s">
        <v>53</v>
      </c>
      <c r="F19" s="7" t="s">
        <v>53</v>
      </c>
      <c r="G19" s="7" t="s">
        <v>52</v>
      </c>
      <c r="H19" s="7" t="s">
        <v>53</v>
      </c>
      <c r="I19" s="7" t="s">
        <v>53</v>
      </c>
      <c r="J19" s="7" t="s">
        <v>53</v>
      </c>
    </row>
    <row r="20" spans="1:10" x14ac:dyDescent="0.3">
      <c r="A20" s="24" t="str">
        <f>HYPERLINK("[OpenSolver SheetNameCharTester.xlsm]'BadName%'!A1", "BadName%")</f>
        <v>BadName%</v>
      </c>
      <c r="B20" s="7" t="s">
        <v>52</v>
      </c>
      <c r="D20" s="7" t="s">
        <v>52</v>
      </c>
      <c r="E20" s="7" t="s">
        <v>53</v>
      </c>
      <c r="F20" s="7" t="s">
        <v>53</v>
      </c>
      <c r="G20" s="7" t="s">
        <v>52</v>
      </c>
      <c r="H20" s="7" t="s">
        <v>53</v>
      </c>
      <c r="I20" s="7" t="s">
        <v>53</v>
      </c>
      <c r="J20" s="7" t="s">
        <v>53</v>
      </c>
    </row>
    <row r="21" spans="1:10" x14ac:dyDescent="0.3">
      <c r="A21" s="24" t="str">
        <f>HYPERLINK("[OpenSolver SheetNameCharTester.xlsm]'^BadName'!A1", "^BadName")</f>
        <v>^BadName</v>
      </c>
      <c r="B21" s="7" t="s">
        <v>52</v>
      </c>
      <c r="D21" s="7" t="s">
        <v>52</v>
      </c>
      <c r="E21" s="7" t="s">
        <v>53</v>
      </c>
      <c r="F21" s="7" t="s">
        <v>53</v>
      </c>
      <c r="G21" s="7" t="s">
        <v>52</v>
      </c>
      <c r="H21" s="7" t="s">
        <v>52</v>
      </c>
      <c r="I21" s="7" t="s">
        <v>52</v>
      </c>
      <c r="J21" s="7" t="s">
        <v>53</v>
      </c>
    </row>
    <row r="22" spans="1:10" x14ac:dyDescent="0.3">
      <c r="A22" s="24" t="str">
        <f>HYPERLINK("[OpenSolver SheetNameCharTester.xlsm]'Bad^Name'!A1", "Bad^Name")</f>
        <v>Bad^Name</v>
      </c>
      <c r="B22" s="7" t="s">
        <v>52</v>
      </c>
      <c r="D22" s="7" t="s">
        <v>52</v>
      </c>
      <c r="E22" s="7" t="s">
        <v>52</v>
      </c>
      <c r="F22" s="7" t="s">
        <v>52</v>
      </c>
      <c r="G22" s="7" t="s">
        <v>52</v>
      </c>
      <c r="H22" s="7" t="s">
        <v>52</v>
      </c>
      <c r="I22" s="7" t="s">
        <v>52</v>
      </c>
      <c r="J22" s="7" t="s">
        <v>52</v>
      </c>
    </row>
    <row r="23" spans="1:10" x14ac:dyDescent="0.3">
      <c r="A23" s="24" t="str">
        <f>HYPERLINK("[OpenSolver SheetNameCharTester.xlsm]'BadName^'!A1", "BadName^")</f>
        <v>BadName^</v>
      </c>
      <c r="B23" s="7" t="s">
        <v>52</v>
      </c>
      <c r="D23" s="7" t="s">
        <v>52</v>
      </c>
      <c r="E23" s="7" t="s">
        <v>52</v>
      </c>
      <c r="F23" s="7" t="s">
        <v>52</v>
      </c>
      <c r="G23" s="7" t="s">
        <v>52</v>
      </c>
      <c r="H23" s="7" t="s">
        <v>52</v>
      </c>
      <c r="I23" s="7" t="s">
        <v>52</v>
      </c>
      <c r="J23" s="7" t="s">
        <v>52</v>
      </c>
    </row>
    <row r="24" spans="1:10" x14ac:dyDescent="0.3">
      <c r="A24" s="24" t="str">
        <f>HYPERLINK("[OpenSolver SheetNameCharTester.xlsm]'&amp;BadName'!A1", "&amp;BadName")</f>
        <v>&amp;BadName</v>
      </c>
      <c r="B24" s="7" t="s">
        <v>52</v>
      </c>
      <c r="D24" s="7" t="s">
        <v>53</v>
      </c>
      <c r="E24" s="7" t="s">
        <v>53</v>
      </c>
      <c r="F24" s="7" t="s">
        <v>53</v>
      </c>
      <c r="G24" s="7" t="s">
        <v>53</v>
      </c>
      <c r="H24" s="7" t="s">
        <v>53</v>
      </c>
      <c r="I24" s="7" t="s">
        <v>53</v>
      </c>
      <c r="J24" s="7" t="s">
        <v>53</v>
      </c>
    </row>
    <row r="25" spans="1:10" x14ac:dyDescent="0.3">
      <c r="A25" s="24" t="str">
        <f>HYPERLINK("[OpenSolver SheetNameCharTester.xlsm]'Bad&amp;Name'!A1", "Bad&amp;Name")</f>
        <v>Bad&amp;Name</v>
      </c>
      <c r="B25" s="7" t="s">
        <v>52</v>
      </c>
      <c r="D25" s="7" t="s">
        <v>52</v>
      </c>
      <c r="E25" s="7" t="s">
        <v>53</v>
      </c>
      <c r="F25" s="7" t="s">
        <v>53</v>
      </c>
      <c r="G25" s="7" t="s">
        <v>52</v>
      </c>
      <c r="H25" s="7" t="s">
        <v>53</v>
      </c>
      <c r="I25" s="7" t="s">
        <v>53</v>
      </c>
      <c r="J25" s="7" t="s">
        <v>53</v>
      </c>
    </row>
    <row r="26" spans="1:10" x14ac:dyDescent="0.3">
      <c r="A26" s="24" t="str">
        <f>HYPERLINK("[OpenSolver SheetNameCharTester.xlsm]'BadName&amp;'!A1", "BadName&amp;")</f>
        <v>BadName&amp;</v>
      </c>
      <c r="B26" s="7" t="s">
        <v>52</v>
      </c>
      <c r="D26" s="7" t="s">
        <v>52</v>
      </c>
      <c r="E26" s="7" t="s">
        <v>53</v>
      </c>
      <c r="F26" s="7" t="s">
        <v>53</v>
      </c>
      <c r="G26" s="7" t="s">
        <v>52</v>
      </c>
      <c r="H26" s="7" t="s">
        <v>53</v>
      </c>
      <c r="I26" s="7" t="s">
        <v>53</v>
      </c>
      <c r="J26" s="7" t="s">
        <v>53</v>
      </c>
    </row>
    <row r="27" spans="1:10" x14ac:dyDescent="0.3">
      <c r="A27" s="24" t="str">
        <f>HYPERLINK("[OpenSolver SheetNameCharTester.xlsm]'|BadName'!A1", "|BadName")</f>
        <v>|BadName</v>
      </c>
      <c r="B27" s="7" t="s">
        <v>52</v>
      </c>
      <c r="D27" s="7" t="s">
        <v>52</v>
      </c>
      <c r="E27" s="7" t="s">
        <v>52</v>
      </c>
      <c r="F27" s="7" t="s">
        <v>52</v>
      </c>
      <c r="G27" s="7" t="s">
        <v>52</v>
      </c>
      <c r="H27" s="7" t="s">
        <v>52</v>
      </c>
      <c r="I27" s="7" t="s">
        <v>52</v>
      </c>
      <c r="J27" s="7" t="s">
        <v>52</v>
      </c>
    </row>
    <row r="28" spans="1:10" x14ac:dyDescent="0.3">
      <c r="A28" s="24" t="str">
        <f>HYPERLINK("[OpenSolver SheetNameCharTester.xlsm]'Bad|Name'!A1", "Bad|Name")</f>
        <v>Bad|Name</v>
      </c>
      <c r="B28" s="7" t="s">
        <v>52</v>
      </c>
      <c r="D28" s="7" t="s">
        <v>52</v>
      </c>
      <c r="E28" s="7" t="s">
        <v>52</v>
      </c>
      <c r="F28" s="7" t="s">
        <v>52</v>
      </c>
      <c r="G28" s="7" t="s">
        <v>52</v>
      </c>
      <c r="H28" s="7" t="s">
        <v>52</v>
      </c>
      <c r="I28" s="7" t="s">
        <v>52</v>
      </c>
      <c r="J28" s="7" t="s">
        <v>52</v>
      </c>
    </row>
    <row r="29" spans="1:10" x14ac:dyDescent="0.3">
      <c r="A29" s="24" t="str">
        <f>HYPERLINK("[OpenSolver SheetNameCharTester.xlsm]'BadName|'!A1", "BadName|")</f>
        <v>BadName|</v>
      </c>
      <c r="B29" s="7" t="s">
        <v>52</v>
      </c>
      <c r="D29" s="7" t="s">
        <v>52</v>
      </c>
      <c r="E29" s="7" t="s">
        <v>52</v>
      </c>
      <c r="F29" s="7" t="s">
        <v>52</v>
      </c>
      <c r="G29" s="7" t="s">
        <v>52</v>
      </c>
      <c r="H29" s="7" t="s">
        <v>52</v>
      </c>
      <c r="I29" s="7" t="s">
        <v>52</v>
      </c>
      <c r="J29" s="7" t="s">
        <v>52</v>
      </c>
    </row>
    <row r="30" spans="1:10" x14ac:dyDescent="0.3">
      <c r="A30" s="24" t="str">
        <f>HYPERLINK("[OpenSolver SheetNameCharTester.xlsm]'-BadName'!A1", "-BadName")</f>
        <v>-BadName</v>
      </c>
      <c r="B30" s="7" t="s">
        <v>52</v>
      </c>
      <c r="D30" s="7" t="s">
        <v>52</v>
      </c>
      <c r="E30" s="7" t="s">
        <v>52</v>
      </c>
      <c r="F30" s="7" t="s">
        <v>52</v>
      </c>
      <c r="G30" s="7" t="s">
        <v>52</v>
      </c>
      <c r="H30" s="7" t="s">
        <v>52</v>
      </c>
      <c r="I30" s="7" t="s">
        <v>52</v>
      </c>
      <c r="J30" s="7" t="s">
        <v>52</v>
      </c>
    </row>
    <row r="31" spans="1:10" x14ac:dyDescent="0.3">
      <c r="A31" s="24" t="str">
        <f>HYPERLINK("[OpenSolver SheetNameCharTester.xlsm]'Bad-Name'!A1", "Bad-Name")</f>
        <v>Bad-Name</v>
      </c>
      <c r="B31" s="7" t="s">
        <v>52</v>
      </c>
      <c r="D31" s="7" t="s">
        <v>52</v>
      </c>
      <c r="E31" s="7" t="s">
        <v>52</v>
      </c>
      <c r="F31" s="7" t="s">
        <v>52</v>
      </c>
      <c r="G31" s="7" t="s">
        <v>52</v>
      </c>
      <c r="H31" s="7" t="s">
        <v>52</v>
      </c>
      <c r="I31" s="7" t="s">
        <v>52</v>
      </c>
      <c r="J31" s="7" t="s">
        <v>52</v>
      </c>
    </row>
    <row r="32" spans="1:10" x14ac:dyDescent="0.3">
      <c r="A32" s="24" t="str">
        <f>HYPERLINK("[OpenSolver SheetNameCharTester.xlsm]'BadName-'!A1", "BadName-")</f>
        <v>BadName-</v>
      </c>
      <c r="B32" s="7" t="s">
        <v>52</v>
      </c>
      <c r="D32" s="7" t="s">
        <v>52</v>
      </c>
      <c r="E32" s="7" t="s">
        <v>52</v>
      </c>
      <c r="F32" s="7" t="s">
        <v>52</v>
      </c>
      <c r="G32" s="7" t="s">
        <v>52</v>
      </c>
      <c r="H32" s="7" t="s">
        <v>52</v>
      </c>
      <c r="I32" s="7" t="s">
        <v>52</v>
      </c>
      <c r="J32" s="7" t="s">
        <v>52</v>
      </c>
    </row>
    <row r="33" spans="1:1" x14ac:dyDescent="0.3">
      <c r="A33" s="24" t="str">
        <f>HYPERLINK("[OpenSolver SheetNameCharTester.xlsm]'=BadName'!A1", "=BadName")</f>
        <v>=BadName</v>
      </c>
    </row>
    <row r="34" spans="1:1" x14ac:dyDescent="0.3">
      <c r="A34" s="24" t="str">
        <f>HYPERLINK("[OpenSolver SheetNameCharTester.xlsm]'Bad=Name'!A1", "Bad=Name")</f>
        <v>Bad=Name</v>
      </c>
    </row>
    <row r="35" spans="1:1" x14ac:dyDescent="0.3">
      <c r="A35" s="24" t="str">
        <f>HYPERLINK("[OpenSolver SheetNameCharTester.xlsm]'BadName='!A1", "BadName=")</f>
        <v>BadName=</v>
      </c>
    </row>
  </sheetData>
  <dataConsolidate/>
  <mergeCells count="1">
    <mergeCell ref="C1:F1"/>
  </mergeCells>
  <conditionalFormatting sqref="B3:XFD1048576">
    <cfRule type="cellIs" dxfId="5" priority="1" operator="equal">
      <formula>"NA*"</formula>
    </cfRule>
    <cfRule type="cellIs" dxfId="4" priority="2" operator="equal">
      <formula>"PASS*"</formula>
    </cfRule>
    <cfRule type="cellIs" dxfId="3" priority="3" operator="equal">
      <formula>"FAIL*"</formula>
    </cfRule>
    <cfRule type="cellIs" dxfId="2" priority="4" operator="equal">
      <formula>"NA"</formula>
    </cfRule>
    <cfRule type="cellIs" dxfId="1" priority="5" operator="equal">
      <formula>"FAIL"</formula>
    </cfRule>
    <cfRule type="cellIs" dxfId="0" priority="6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LaunchForm">
                <anchor moveWithCells="1" sizeWithCells="1">
                  <from>
                    <xdr:col>0</xdr:col>
                    <xdr:colOff>152400</xdr:colOff>
                    <xdr:row>0</xdr:row>
                    <xdr:rowOff>198120</xdr:rowOff>
                  </from>
                  <to>
                    <xdr:col>1</xdr:col>
                    <xdr:colOff>449580</xdr:colOff>
                    <xdr:row>0</xdr:row>
                    <xdr:rowOff>640080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RemoveOS">
                <anchor moveWithCells="1" sizeWithCells="1">
                  <from>
                    <xdr:col>6</xdr:col>
                    <xdr:colOff>144780</xdr:colOff>
                    <xdr:row>0</xdr:row>
                    <xdr:rowOff>198120</xdr:rowOff>
                  </from>
                  <to>
                    <xdr:col>8</xdr:col>
                    <xdr:colOff>457200</xdr:colOff>
                    <xdr:row>0</xdr:row>
                    <xdr:rowOff>640080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ImportOS">
                <anchor moveWithCells="1" sizeWithCells="1">
                  <from>
                    <xdr:col>9</xdr:col>
                    <xdr:colOff>259080</xdr:colOff>
                    <xdr:row>0</xdr:row>
                    <xdr:rowOff>190500</xdr:rowOff>
                  </from>
                  <to>
                    <xdr:col>11</xdr:col>
                    <xdr:colOff>563880</xdr:colOff>
                    <xdr:row>0</xdr:row>
                    <xdr:rowOff>640080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ExportResults.ExportResults">
                <anchor moveWithCells="1" sizeWithCells="1">
                  <from>
                    <xdr:col>12</xdr:col>
                    <xdr:colOff>457200</xdr:colOff>
                    <xdr:row>0</xdr:row>
                    <xdr:rowOff>190500</xdr:rowOff>
                  </from>
                  <to>
                    <xdr:col>15</xdr:col>
                    <xdr:colOff>160020</xdr:colOff>
                    <xdr:row>0</xdr:row>
                    <xdr:rowOff>640080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impleLP"/>
  <dimension ref="A1:J21"/>
  <sheetViews>
    <sheetView workbookViewId="0">
      <selection activeCell="A10" sqref="A10"/>
    </sheetView>
  </sheetViews>
  <sheetFormatPr defaultColWidth="8.88671875" defaultRowHeight="14.4" x14ac:dyDescent="0.3"/>
  <cols>
    <col min="1" max="1" width="15" style="8" bestFit="1" customWidth="1"/>
    <col min="2" max="2" width="3.109375" customWidth="1"/>
    <col min="3" max="3" width="4.88671875" customWidth="1"/>
    <col min="4" max="4" width="7.6640625" style="1" customWidth="1"/>
    <col min="5" max="6" width="5.109375" style="1" customWidth="1"/>
    <col min="7" max="7" width="3.109375" style="1" customWidth="1"/>
    <col min="8" max="8" width="8.33203125" style="1" customWidth="1"/>
    <col min="9" max="9" width="3" style="1" bestFit="1" customWidth="1"/>
    <col min="10" max="10" width="6" style="1" customWidth="1"/>
    <col min="14" max="14" width="7.6640625" customWidth="1"/>
  </cols>
  <sheetData>
    <row r="1" spans="1:10" x14ac:dyDescent="0.3">
      <c r="A1" s="10" t="s">
        <v>24</v>
      </c>
      <c r="D1" s="4" t="s">
        <v>12</v>
      </c>
    </row>
    <row r="2" spans="1:10" ht="15" thickBot="1" x14ac:dyDescent="0.35">
      <c r="A2" s="11" t="s">
        <v>25</v>
      </c>
    </row>
    <row r="3" spans="1:10" x14ac:dyDescent="0.3">
      <c r="A3" s="10" t="s">
        <v>29</v>
      </c>
      <c r="D3" s="1" t="s">
        <v>1</v>
      </c>
      <c r="E3" s="1" t="s">
        <v>2</v>
      </c>
      <c r="F3" s="1" t="s">
        <v>3</v>
      </c>
    </row>
    <row r="4" spans="1:10" ht="15" thickBot="1" x14ac:dyDescent="0.35">
      <c r="A4" s="11" t="s">
        <v>27</v>
      </c>
      <c r="D4" s="13">
        <v>0</v>
      </c>
      <c r="E4" s="16">
        <v>5.2941176470588234</v>
      </c>
      <c r="F4" s="16">
        <v>0</v>
      </c>
      <c r="H4"/>
      <c r="I4"/>
      <c r="J4"/>
    </row>
    <row r="5" spans="1:10" x14ac:dyDescent="0.3">
      <c r="A5" s="10" t="s">
        <v>30</v>
      </c>
    </row>
    <row r="6" spans="1:10" ht="15" thickBot="1" x14ac:dyDescent="0.35">
      <c r="A6" s="11" t="b">
        <f>AND(D17,E17,F17,D21)</f>
        <v>1</v>
      </c>
      <c r="D6" s="1">
        <v>2</v>
      </c>
      <c r="E6" s="1">
        <v>3</v>
      </c>
      <c r="F6" s="1">
        <v>4</v>
      </c>
      <c r="H6" s="1">
        <f>SUMPRODUCT($D$4:$F$4,D6:F6)</f>
        <v>15.882352941176471</v>
      </c>
    </row>
    <row r="7" spans="1:10" x14ac:dyDescent="0.3">
      <c r="A7" s="10" t="s">
        <v>31</v>
      </c>
    </row>
    <row r="8" spans="1:10" x14ac:dyDescent="0.3">
      <c r="A8" s="12" t="s">
        <v>21</v>
      </c>
      <c r="C8" t="s">
        <v>4</v>
      </c>
      <c r="D8" s="1">
        <v>10</v>
      </c>
      <c r="E8" s="1">
        <v>11</v>
      </c>
      <c r="F8" s="1">
        <v>12</v>
      </c>
      <c r="H8" s="34">
        <f t="shared" ref="H8:H9" si="0">SUMPRODUCT($D$4:$F$4,D8:F8)</f>
        <v>58.235294117647058</v>
      </c>
      <c r="I8" s="1" t="s">
        <v>5</v>
      </c>
      <c r="J8" s="1">
        <v>60</v>
      </c>
    </row>
    <row r="9" spans="1:10" ht="15" thickBot="1" x14ac:dyDescent="0.35">
      <c r="A9" s="11">
        <f>VLOOKUP(A8,OpenSolverResultCodes,2,FALSE)</f>
        <v>0</v>
      </c>
      <c r="D9" s="1">
        <v>21</v>
      </c>
      <c r="E9" s="1">
        <v>22</v>
      </c>
      <c r="F9" s="1">
        <v>23</v>
      </c>
      <c r="H9" s="34">
        <f t="shared" si="0"/>
        <v>116.47058823529412</v>
      </c>
      <c r="I9" s="1" t="s">
        <v>5</v>
      </c>
      <c r="J9" s="1">
        <v>150</v>
      </c>
    </row>
    <row r="10" spans="1:10" ht="15" thickBot="1" x14ac:dyDescent="0.35">
      <c r="A10" s="25" t="str">
        <f>HYPERLINK("[OpenSolver SheetNameCharTester.xlsm]Results!A1",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116.47058823529412</v>
      </c>
      <c r="I10" s="1" t="s">
        <v>6</v>
      </c>
      <c r="J10" s="1">
        <v>110</v>
      </c>
    </row>
    <row r="11" spans="1:10" x14ac:dyDescent="0.3">
      <c r="D11" s="1">
        <v>19</v>
      </c>
      <c r="E11" s="1">
        <v>34</v>
      </c>
      <c r="F11" s="1">
        <v>-32</v>
      </c>
      <c r="H11" s="1">
        <f>SUMPRODUCT($D$4:$F$4,D11:F11)</f>
        <v>180</v>
      </c>
      <c r="I11" s="1" t="s">
        <v>7</v>
      </c>
      <c r="J11" s="1">
        <v>180</v>
      </c>
    </row>
    <row r="12" spans="1:10" x14ac:dyDescent="0.3">
      <c r="I12" s="6"/>
    </row>
    <row r="13" spans="1:10" x14ac:dyDescent="0.3">
      <c r="I13" s="6"/>
    </row>
    <row r="15" spans="1:10" x14ac:dyDescent="0.3">
      <c r="C15" s="3" t="s">
        <v>8</v>
      </c>
    </row>
    <row r="16" spans="1:10" x14ac:dyDescent="0.3">
      <c r="D16" s="1">
        <v>0</v>
      </c>
      <c r="E16" s="1">
        <v>5.294117647058874</v>
      </c>
      <c r="F16" s="1">
        <v>0</v>
      </c>
    </row>
    <row r="17" spans="3:6" x14ac:dyDescent="0.3">
      <c r="C17" t="s">
        <v>10</v>
      </c>
      <c r="D17" s="2" t="b">
        <f>ABS(D4-D16)/(1+ABS(D16))&lt;=0.000001</f>
        <v>1</v>
      </c>
      <c r="E17" s="2" t="b">
        <f>ABS(E4-E16)/(1+ABS(E16))&lt;=0.000001</f>
        <v>1</v>
      </c>
      <c r="F17" s="2" t="b">
        <f>ABS(F4-F16)/(1+ABS(F16))&lt;=0.000001</f>
        <v>1</v>
      </c>
    </row>
    <row r="19" spans="3:6" x14ac:dyDescent="0.3">
      <c r="C19" s="3" t="s">
        <v>9</v>
      </c>
    </row>
    <row r="20" spans="3:6" x14ac:dyDescent="0.3">
      <c r="D20" s="1">
        <v>15.882352941176622</v>
      </c>
    </row>
    <row r="21" spans="3:6" x14ac:dyDescent="0.3">
      <c r="C21" t="s">
        <v>10</v>
      </c>
      <c r="D21" s="2" t="b">
        <f>ABS(D20-H6)/(1+ABS(D20))&lt;=0.000001</f>
        <v>1</v>
      </c>
    </row>
  </sheetData>
  <dataConsolidate/>
  <dataValidations count="3">
    <dataValidation type="list" allowBlank="1" showInputMessage="1" showErrorMessage="1" sqref="A8:B8" xr:uid="{00000000-0002-0000-0300-000000000000}">
      <formula1>OpenSolverResult</formula1>
    </dataValidation>
    <dataValidation type="list" allowBlank="1" showInputMessage="1" showErrorMessage="1" sqref="A4:B4" xr:uid="{00000000-0002-0000-0300-000001000000}">
      <formula1>ModelType</formula1>
    </dataValidation>
    <dataValidation type="list" allowBlank="1" showInputMessage="1" showErrorMessage="1" sqref="A2:B2" xr:uid="{00000000-0002-0000-0300-000002000000}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impleIP"/>
  <dimension ref="A1:J21"/>
  <sheetViews>
    <sheetView workbookViewId="0">
      <selection activeCell="A10" sqref="A10"/>
    </sheetView>
  </sheetViews>
  <sheetFormatPr defaultColWidth="8.88671875" defaultRowHeight="14.4" x14ac:dyDescent="0.3"/>
  <cols>
    <col min="1" max="1" width="15" style="8" bestFit="1" customWidth="1"/>
    <col min="2" max="2" width="3.109375" customWidth="1"/>
    <col min="3" max="3" width="9" customWidth="1"/>
    <col min="4" max="4" width="13.6640625" style="26" customWidth="1"/>
    <col min="5" max="5" width="13" style="26" customWidth="1"/>
    <col min="6" max="6" width="5.109375" style="26" customWidth="1"/>
    <col min="7" max="7" width="3.109375" style="26" customWidth="1"/>
    <col min="8" max="8" width="8.33203125" style="26" customWidth="1"/>
    <col min="9" max="9" width="3" style="26" bestFit="1" customWidth="1"/>
    <col min="10" max="10" width="6" style="26" customWidth="1"/>
    <col min="14" max="14" width="7.6640625" customWidth="1"/>
  </cols>
  <sheetData>
    <row r="1" spans="1:10" x14ac:dyDescent="0.3">
      <c r="A1" s="10" t="s">
        <v>24</v>
      </c>
      <c r="D1" s="4" t="s">
        <v>40</v>
      </c>
    </row>
    <row r="2" spans="1:10" ht="15" thickBot="1" x14ac:dyDescent="0.35">
      <c r="A2" s="11" t="s">
        <v>25</v>
      </c>
    </row>
    <row r="3" spans="1:10" x14ac:dyDescent="0.3">
      <c r="A3" s="10" t="s">
        <v>29</v>
      </c>
      <c r="C3" s="27"/>
      <c r="D3" s="28"/>
      <c r="E3" s="29"/>
    </row>
    <row r="4" spans="1:10" ht="15" thickBot="1" x14ac:dyDescent="0.35">
      <c r="A4" s="11" t="s">
        <v>27</v>
      </c>
      <c r="C4" s="14" t="s">
        <v>41</v>
      </c>
      <c r="D4" s="5" t="s">
        <v>36</v>
      </c>
      <c r="E4" s="15" t="s">
        <v>35</v>
      </c>
      <c r="H4"/>
      <c r="I4"/>
      <c r="J4"/>
    </row>
    <row r="5" spans="1:10" x14ac:dyDescent="0.3">
      <c r="A5" s="10" t="s">
        <v>30</v>
      </c>
      <c r="C5" s="14">
        <v>1</v>
      </c>
      <c r="D5" s="5">
        <v>2</v>
      </c>
      <c r="E5" s="35">
        <v>0</v>
      </c>
    </row>
    <row r="6" spans="1:10" ht="15" thickBot="1" x14ac:dyDescent="0.35">
      <c r="A6" s="11" t="b">
        <f>AND(D17,E17,F17,D21)</f>
        <v>1</v>
      </c>
      <c r="C6" s="14">
        <v>2</v>
      </c>
      <c r="D6" s="5">
        <v>3</v>
      </c>
      <c r="E6" s="15">
        <v>1</v>
      </c>
    </row>
    <row r="7" spans="1:10" x14ac:dyDescent="0.3">
      <c r="A7" s="10" t="s">
        <v>31</v>
      </c>
      <c r="C7" s="14">
        <v>3</v>
      </c>
      <c r="D7" s="5">
        <v>4</v>
      </c>
      <c r="E7" s="15">
        <v>1</v>
      </c>
    </row>
    <row r="8" spans="1:10" x14ac:dyDescent="0.3">
      <c r="A8" s="12" t="s">
        <v>21</v>
      </c>
      <c r="C8" s="14"/>
      <c r="D8" s="5"/>
      <c r="E8" s="15"/>
    </row>
    <row r="9" spans="1:10" ht="15" thickBot="1" x14ac:dyDescent="0.35">
      <c r="A9" s="11">
        <f>VLOOKUP(A8,OpenSolverResultCodes,2,FALSE)</f>
        <v>0</v>
      </c>
      <c r="C9" s="14" t="s">
        <v>42</v>
      </c>
      <c r="D9" s="5" t="s">
        <v>43</v>
      </c>
      <c r="E9" s="15" t="s">
        <v>44</v>
      </c>
    </row>
    <row r="10" spans="1:10" ht="15" thickBot="1" x14ac:dyDescent="0.35">
      <c r="A10" s="25" t="str">
        <f>HYPERLINK("[OpenSolver SheetNameCharTester.xlsm]Results!A1", "&lt;- Results")</f>
        <v>&lt;- Results</v>
      </c>
      <c r="C10" s="30">
        <v>5</v>
      </c>
      <c r="D10" s="31">
        <f>SUMPRODUCT(C5:C7,E5:E7)</f>
        <v>5</v>
      </c>
      <c r="E10" s="32">
        <f>SUMPRODUCT(D5:D7,E5:E7)</f>
        <v>7</v>
      </c>
    </row>
    <row r="15" spans="1:10" x14ac:dyDescent="0.3">
      <c r="C15" s="3" t="s">
        <v>8</v>
      </c>
    </row>
    <row r="16" spans="1:10" x14ac:dyDescent="0.3">
      <c r="D16" s="26">
        <v>0</v>
      </c>
      <c r="E16" s="26">
        <v>1</v>
      </c>
      <c r="F16" s="26">
        <v>1</v>
      </c>
    </row>
    <row r="17" spans="3:6" x14ac:dyDescent="0.3">
      <c r="C17" t="s">
        <v>10</v>
      </c>
      <c r="D17" s="2" t="b">
        <f>ABS(E5-D16)/(1+ABS(D16))&lt;=0.000001</f>
        <v>1</v>
      </c>
      <c r="E17" s="2" t="b">
        <f>ABS(E6-E16)/(1+ABS(E16))&lt;=0.000001</f>
        <v>1</v>
      </c>
      <c r="F17" s="2" t="b">
        <f>ABS(E7-F16)/(1+ABS(F16))&lt;=0.000001</f>
        <v>1</v>
      </c>
    </row>
    <row r="19" spans="3:6" x14ac:dyDescent="0.3">
      <c r="C19" s="3" t="s">
        <v>9</v>
      </c>
    </row>
    <row r="20" spans="3:6" x14ac:dyDescent="0.3">
      <c r="D20" s="26">
        <v>7</v>
      </c>
    </row>
    <row r="21" spans="3:6" x14ac:dyDescent="0.3">
      <c r="C21" t="s">
        <v>10</v>
      </c>
      <c r="D21" s="2" t="b">
        <f>ABS(D20-E10)/(1+ABS(D20))&lt;=0.000001</f>
        <v>1</v>
      </c>
    </row>
  </sheetData>
  <dataConsolidate/>
  <dataValidations count="3">
    <dataValidation type="list" allowBlank="1" showInputMessage="1" showErrorMessage="1" sqref="A2:B2" xr:uid="{00000000-0002-0000-0400-000000000000}">
      <formula1>TestType</formula1>
    </dataValidation>
    <dataValidation type="list" allowBlank="1" showInputMessage="1" showErrorMessage="1" sqref="A4:B4" xr:uid="{00000000-0002-0000-0400-000001000000}">
      <formula1>ModelType</formula1>
    </dataValidation>
    <dataValidation type="list" allowBlank="1" showInputMessage="1" showErrorMessage="1" sqref="A8:B8" xr:uid="{00000000-0002-0000-0400-000002000000}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BadName"/>
  <dimension ref="A1:N22"/>
  <sheetViews>
    <sheetView workbookViewId="0">
      <selection activeCell="A10" sqref="A10"/>
    </sheetView>
  </sheetViews>
  <sheetFormatPr defaultColWidth="8.88671875" defaultRowHeight="14.4" x14ac:dyDescent="0.3"/>
  <cols>
    <col min="1" max="1" width="15" style="8" bestFit="1" customWidth="1"/>
    <col min="2" max="2" width="2.33203125" customWidth="1"/>
    <col min="3" max="3" width="4.88671875" customWidth="1"/>
    <col min="4" max="4" width="7.6640625" style="1" customWidth="1"/>
    <col min="5" max="6" width="5.109375" style="1" customWidth="1"/>
    <col min="7" max="7" width="3.109375" style="1" customWidth="1"/>
    <col min="8" max="8" width="8.33203125" style="1" customWidth="1"/>
    <col min="9" max="9" width="3" style="1" bestFit="1" customWidth="1"/>
    <col min="10" max="10" width="6" style="1" customWidth="1"/>
    <col min="14" max="14" width="7.6640625" customWidth="1"/>
  </cols>
  <sheetData>
    <row r="1" spans="1:14" x14ac:dyDescent="0.3">
      <c r="A1" s="10" t="s">
        <v>24</v>
      </c>
      <c r="C1" t="s">
        <v>13</v>
      </c>
    </row>
    <row r="2" spans="1:14" ht="15" thickBot="1" x14ac:dyDescent="0.35">
      <c r="A2" s="11" t="s">
        <v>25</v>
      </c>
      <c r="C2" t="s">
        <v>45</v>
      </c>
    </row>
    <row r="3" spans="1:14" x14ac:dyDescent="0.3">
      <c r="A3" s="10" t="s">
        <v>29</v>
      </c>
    </row>
    <row r="4" spans="1:14" ht="15" thickBot="1" x14ac:dyDescent="0.35">
      <c r="A4" s="11" t="s">
        <v>27</v>
      </c>
      <c r="D4" s="1" t="s">
        <v>1</v>
      </c>
      <c r="E4" s="1" t="s">
        <v>2</v>
      </c>
      <c r="F4" s="1" t="s">
        <v>3</v>
      </c>
    </row>
    <row r="5" spans="1:14" x14ac:dyDescent="0.3">
      <c r="A5" s="10" t="s">
        <v>30</v>
      </c>
      <c r="D5" s="1">
        <v>5.2380952380952372</v>
      </c>
      <c r="E5" s="1">
        <v>0</v>
      </c>
      <c r="F5" s="1">
        <v>0</v>
      </c>
      <c r="H5"/>
      <c r="I5"/>
      <c r="J5"/>
    </row>
    <row r="6" spans="1:14" ht="15" thickBot="1" x14ac:dyDescent="0.35">
      <c r="A6" s="11" t="b">
        <f>AND(D18:F18,D22)</f>
        <v>1</v>
      </c>
    </row>
    <row r="7" spans="1:14" x14ac:dyDescent="0.3">
      <c r="A7" s="10" t="s">
        <v>31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10.476190476190474</v>
      </c>
    </row>
    <row r="8" spans="1:14" x14ac:dyDescent="0.3">
      <c r="A8" s="12" t="str">
        <f ca="1">IF(VALUE(INFO("RELEASE"))&gt;=16,"Optimal", "ErrorOccurred")</f>
        <v>Optimal</v>
      </c>
    </row>
    <row r="9" spans="1:14" ht="15" thickBot="1" x14ac:dyDescent="0.35">
      <c r="A9" s="11">
        <f ca="1">VLOOKUP(A8,OpenSolverResultCodes,2,FALSE)</f>
        <v>0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52.380952380952372</v>
      </c>
      <c r="I9" s="1" t="s">
        <v>5</v>
      </c>
      <c r="J9" s="1">
        <v>60</v>
      </c>
    </row>
    <row r="10" spans="1:14" ht="15" thickBot="1" x14ac:dyDescent="0.35">
      <c r="A10" s="25" t="str">
        <f>HYPERLINK("[OpenSolver SheetNameCharTester.xlsm]Results!A1",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109.99999999999999</v>
      </c>
      <c r="I10" s="1" t="s">
        <v>5</v>
      </c>
      <c r="J10" s="1">
        <v>150</v>
      </c>
      <c r="N10" t="str">
        <f ca="1">INFO("RELEASE")</f>
        <v>16.0</v>
      </c>
    </row>
    <row r="11" spans="1:14" x14ac:dyDescent="0.3">
      <c r="D11" s="1">
        <v>21</v>
      </c>
      <c r="E11" s="1">
        <v>22</v>
      </c>
      <c r="F11" s="1">
        <v>-23</v>
      </c>
      <c r="H11" s="1">
        <f>SUMPRODUCT($D$5:$F$5,D11:F11)</f>
        <v>109.99999999999999</v>
      </c>
      <c r="I11" s="1" t="s">
        <v>6</v>
      </c>
      <c r="J11" s="1">
        <v>110</v>
      </c>
    </row>
    <row r="12" spans="1:14" x14ac:dyDescent="0.3">
      <c r="D12" s="1">
        <v>19</v>
      </c>
      <c r="E12" s="1">
        <v>34</v>
      </c>
      <c r="F12" s="1">
        <v>-32</v>
      </c>
      <c r="H12" s="1">
        <f>SUMPRODUCT($D$5:$F$5,D12:F12)</f>
        <v>99.523809523809504</v>
      </c>
      <c r="I12" s="1" t="s">
        <v>5</v>
      </c>
      <c r="J12" s="1">
        <v>180</v>
      </c>
    </row>
    <row r="16" spans="1:14" x14ac:dyDescent="0.3">
      <c r="C16" s="3" t="s">
        <v>8</v>
      </c>
    </row>
    <row r="17" spans="1:9" x14ac:dyDescent="0.3">
      <c r="D17" s="1">
        <v>5.2380952380952372</v>
      </c>
      <c r="E17" s="1">
        <v>0</v>
      </c>
      <c r="F17" s="1">
        <v>0</v>
      </c>
    </row>
    <row r="18" spans="1:9" x14ac:dyDescent="0.3">
      <c r="C18" t="s">
        <v>10</v>
      </c>
      <c r="D18" s="2" t="b">
        <f>ABS(D5-D17)/(1+ABS(D17))&lt;=0.000001</f>
        <v>1</v>
      </c>
      <c r="E18" s="2" t="b">
        <f>ABS(E5-E17)/(1+ABS(E17))&lt;=0.000001</f>
        <v>1</v>
      </c>
      <c r="F18" s="2" t="b">
        <f>ABS(F5-F17)/(1+ABS(F17))&lt;=0.000001</f>
        <v>1</v>
      </c>
      <c r="I18" s="1" t="str">
        <f ca="1">INFO("RELEASE")</f>
        <v>16.0</v>
      </c>
    </row>
    <row r="20" spans="1:9" s="1" customFormat="1" x14ac:dyDescent="0.3">
      <c r="A20" s="8"/>
      <c r="C20" s="3" t="s">
        <v>9</v>
      </c>
    </row>
    <row r="21" spans="1:9" s="1" customFormat="1" x14ac:dyDescent="0.3">
      <c r="A21" s="8"/>
      <c r="C21"/>
      <c r="D21" s="1">
        <v>10.476190476190474</v>
      </c>
    </row>
    <row r="22" spans="1:9" s="1" customFormat="1" x14ac:dyDescent="0.3">
      <c r="A22" s="8"/>
      <c r="C22" t="s">
        <v>10</v>
      </c>
      <c r="D22" s="2" t="b">
        <f>ABS(D21-H7)/(1+ABS(D21))&lt;=0.000001</f>
        <v>1</v>
      </c>
    </row>
  </sheetData>
  <dataConsolidate/>
  <dataValidations count="3">
    <dataValidation type="list" allowBlank="1" showInputMessage="1" showErrorMessage="1" sqref="A2" xr:uid="{00000000-0002-0000-1700-000000000000}">
      <formula1>TestType</formula1>
    </dataValidation>
    <dataValidation type="list" allowBlank="1" showInputMessage="1" showErrorMessage="1" sqref="A4" xr:uid="{00000000-0002-0000-1700-000001000000}">
      <formula1>ModelType</formula1>
    </dataValidation>
    <dataValidation type="list" errorStyle="warning" allowBlank="1" showInputMessage="1" showErrorMessage="1" sqref="A8" xr:uid="{00000000-0002-0000-1700-000002000000}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EscapeSheetName"/>
  <dimension ref="A1:J21"/>
  <sheetViews>
    <sheetView workbookViewId="0">
      <selection activeCell="A11" sqref="A11"/>
    </sheetView>
  </sheetViews>
  <sheetFormatPr defaultColWidth="8.88671875" defaultRowHeight="14.4" x14ac:dyDescent="0.3"/>
  <cols>
    <col min="1" max="1" width="15" style="8" bestFit="1" customWidth="1"/>
    <col min="2" max="2" width="3.109375" customWidth="1"/>
    <col min="3" max="3" width="4.88671875" customWidth="1"/>
    <col min="4" max="4" width="7.6640625" style="20" customWidth="1"/>
    <col min="5" max="6" width="5.109375" style="20" customWidth="1"/>
    <col min="7" max="7" width="3.109375" style="20" customWidth="1"/>
    <col min="8" max="8" width="8.33203125" style="20" customWidth="1"/>
    <col min="9" max="9" width="3" style="20" bestFit="1" customWidth="1"/>
    <col min="10" max="10" width="6" style="20" customWidth="1"/>
    <col min="14" max="14" width="7.6640625" customWidth="1"/>
  </cols>
  <sheetData>
    <row r="1" spans="1:10" x14ac:dyDescent="0.3">
      <c r="A1" s="10" t="s">
        <v>24</v>
      </c>
      <c r="D1" s="4" t="s">
        <v>12</v>
      </c>
    </row>
    <row r="2" spans="1:10" ht="15" thickBot="1" x14ac:dyDescent="0.35">
      <c r="A2" s="11" t="s">
        <v>25</v>
      </c>
    </row>
    <row r="3" spans="1:10" x14ac:dyDescent="0.3">
      <c r="A3" s="10" t="s">
        <v>29</v>
      </c>
      <c r="D3" s="20" t="s">
        <v>1</v>
      </c>
      <c r="E3" s="20" t="s">
        <v>2</v>
      </c>
      <c r="F3" s="20" t="s">
        <v>3</v>
      </c>
    </row>
    <row r="4" spans="1:10" ht="15" thickBot="1" x14ac:dyDescent="0.35">
      <c r="A4" s="11" t="s">
        <v>27</v>
      </c>
      <c r="D4" s="20">
        <v>0</v>
      </c>
      <c r="E4" s="20">
        <v>5.2941176470588234</v>
      </c>
      <c r="F4" s="20">
        <v>0</v>
      </c>
      <c r="H4"/>
      <c r="I4"/>
      <c r="J4"/>
    </row>
    <row r="5" spans="1:10" x14ac:dyDescent="0.3">
      <c r="A5" s="10" t="s">
        <v>30</v>
      </c>
    </row>
    <row r="6" spans="1:10" ht="15" thickBot="1" x14ac:dyDescent="0.35">
      <c r="A6" s="11" t="b">
        <f>AND(C20,D20,E20,C24)</f>
        <v>1</v>
      </c>
      <c r="D6" s="20">
        <v>2</v>
      </c>
      <c r="E6" s="20">
        <v>3</v>
      </c>
      <c r="F6" s="20">
        <v>4</v>
      </c>
      <c r="H6" s="20">
        <f>SUMPRODUCT($D$4:$F$4,D6:F6)</f>
        <v>15.882352941176471</v>
      </c>
    </row>
    <row r="7" spans="1:10" x14ac:dyDescent="0.3">
      <c r="A7" s="10" t="s">
        <v>31</v>
      </c>
    </row>
    <row r="8" spans="1:10" x14ac:dyDescent="0.3">
      <c r="A8" s="12" t="s">
        <v>21</v>
      </c>
      <c r="C8" t="s">
        <v>4</v>
      </c>
      <c r="D8" s="20">
        <v>10</v>
      </c>
      <c r="E8" s="20">
        <v>11</v>
      </c>
      <c r="F8" s="20">
        <v>12</v>
      </c>
      <c r="H8" s="20">
        <f>SUMPRODUCT($D$4:$F$4,D8:F8)+5*P7</f>
        <v>58.235294117647058</v>
      </c>
      <c r="I8" s="20" t="s">
        <v>5</v>
      </c>
      <c r="J8" s="20">
        <v>60</v>
      </c>
    </row>
    <row r="9" spans="1:10" ht="15" thickBot="1" x14ac:dyDescent="0.35">
      <c r="A9" s="11">
        <f>VLOOKUP(A8,OpenSolverResultCodes,2,FALSE)</f>
        <v>0</v>
      </c>
      <c r="D9" s="20">
        <v>21</v>
      </c>
      <c r="E9" s="20">
        <v>22</v>
      </c>
      <c r="F9" s="20">
        <v>23</v>
      </c>
      <c r="H9" s="20">
        <f>SUMPRODUCT($D$4:$F$4,D9:F9)</f>
        <v>116.47058823529412</v>
      </c>
      <c r="I9" s="20" t="s">
        <v>5</v>
      </c>
      <c r="J9" s="20">
        <v>150</v>
      </c>
    </row>
    <row r="10" spans="1:10" ht="15" thickBot="1" x14ac:dyDescent="0.35">
      <c r="A10" s="25" t="str">
        <f>HYPERLINK("[OpenSolver SheetNameCharTester.xlsm]Results!A1", "&lt;- Results")</f>
        <v>&lt;- Results</v>
      </c>
      <c r="D10" s="20">
        <v>21</v>
      </c>
      <c r="E10" s="20">
        <v>22</v>
      </c>
      <c r="F10" s="20">
        <v>-23</v>
      </c>
      <c r="H10" s="20">
        <f>SUMPRODUCT($D$4:$F$4,D10:F10)</f>
        <v>116.47058823529412</v>
      </c>
      <c r="I10" s="20" t="s">
        <v>6</v>
      </c>
      <c r="J10" s="20">
        <v>110</v>
      </c>
    </row>
    <row r="11" spans="1:10" x14ac:dyDescent="0.3">
      <c r="D11" s="20">
        <v>19</v>
      </c>
      <c r="E11" s="20">
        <v>34</v>
      </c>
      <c r="F11" s="20">
        <v>-32</v>
      </c>
      <c r="H11" s="20">
        <f>SUMPRODUCT($D$4:$F$4,D11:F11)</f>
        <v>180</v>
      </c>
      <c r="I11" s="20" t="s">
        <v>7</v>
      </c>
      <c r="J11" s="20">
        <v>180</v>
      </c>
    </row>
    <row r="15" spans="1:10" x14ac:dyDescent="0.3">
      <c r="C15" s="3" t="s">
        <v>8</v>
      </c>
    </row>
    <row r="16" spans="1:10" x14ac:dyDescent="0.3">
      <c r="D16" s="20">
        <v>0</v>
      </c>
      <c r="E16" s="20">
        <v>5.294117647058874</v>
      </c>
      <c r="F16" s="20">
        <v>0</v>
      </c>
    </row>
    <row r="17" spans="3:6" x14ac:dyDescent="0.3">
      <c r="C17" t="s">
        <v>10</v>
      </c>
      <c r="D17" s="2" t="b">
        <f>ABS(D4-D16)/(1+ABS(D16))&lt;=0.000001</f>
        <v>1</v>
      </c>
      <c r="E17" s="2" t="b">
        <f>ABS(E4-E16)/(1+ABS(E16))&lt;=0.000001</f>
        <v>1</v>
      </c>
      <c r="F17" s="2" t="b">
        <f>ABS(F4-F16)/(1+ABS(F16))&lt;=0.000001</f>
        <v>1</v>
      </c>
    </row>
    <row r="19" spans="3:6" x14ac:dyDescent="0.3">
      <c r="C19" s="3" t="s">
        <v>9</v>
      </c>
    </row>
    <row r="20" spans="3:6" x14ac:dyDescent="0.3">
      <c r="D20" s="20">
        <v>15.882352941176622</v>
      </c>
    </row>
    <row r="21" spans="3:6" x14ac:dyDescent="0.3">
      <c r="C21" t="s">
        <v>10</v>
      </c>
      <c r="D21" s="2" t="b">
        <f>ABS(D20-H6)/(1+ABS(D20))&lt;=0.000001</f>
        <v>1</v>
      </c>
    </row>
  </sheetData>
  <dataConsolidate/>
  <dataValidations count="3">
    <dataValidation type="list" allowBlank="1" showInputMessage="1" showErrorMessage="1" sqref="A2:B2" xr:uid="{00000000-0002-0000-1800-000000000000}">
      <formula1>TestType</formula1>
    </dataValidation>
    <dataValidation type="list" allowBlank="1" showInputMessage="1" showErrorMessage="1" sqref="A4:B4" xr:uid="{00000000-0002-0000-1800-000001000000}">
      <formula1>ModelType</formula1>
    </dataValidation>
    <dataValidation type="list" allowBlank="1" showInputMessage="1" showErrorMessage="1" sqref="A8:B8" xr:uid="{00000000-0002-0000-1800-000002000000}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819A8-02EB-4C89-8921-AAB7745F53BE}">
  <sheetPr codeName="BadName1"/>
  <dimension ref="A1:N22"/>
  <sheetViews>
    <sheetView workbookViewId="0">
      <selection activeCell="A10" sqref="A10"/>
    </sheetView>
  </sheetViews>
  <sheetFormatPr defaultColWidth="8.88671875" defaultRowHeight="14.4" x14ac:dyDescent="0.3"/>
  <cols>
    <col min="1" max="1" width="15" style="8" bestFit="1" customWidth="1"/>
    <col min="2" max="2" width="2.33203125" customWidth="1"/>
    <col min="3" max="3" width="4.88671875" customWidth="1"/>
    <col min="4" max="4" width="7.6640625" style="34" customWidth="1"/>
    <col min="5" max="6" width="5.109375" style="34" customWidth="1"/>
    <col min="7" max="7" width="3.109375" style="34" customWidth="1"/>
    <col min="8" max="8" width="8.33203125" style="34" customWidth="1"/>
    <col min="9" max="9" width="3" style="34" bestFit="1" customWidth="1"/>
    <col min="10" max="10" width="6" style="34" customWidth="1"/>
    <col min="14" max="14" width="7.6640625" customWidth="1"/>
  </cols>
  <sheetData>
    <row r="1" spans="1:14" x14ac:dyDescent="0.3">
      <c r="A1" s="10" t="s">
        <v>24</v>
      </c>
      <c r="C1" t="s">
        <v>47</v>
      </c>
    </row>
    <row r="2" spans="1:14" ht="15" thickBot="1" x14ac:dyDescent="0.35">
      <c r="A2" s="11" t="s">
        <v>25</v>
      </c>
    </row>
    <row r="3" spans="1:14" x14ac:dyDescent="0.3">
      <c r="A3" s="10" t="s">
        <v>29</v>
      </c>
    </row>
    <row r="4" spans="1:14" ht="15" thickBot="1" x14ac:dyDescent="0.35">
      <c r="A4" s="11" t="s">
        <v>27</v>
      </c>
      <c r="D4" s="34" t="s">
        <v>1</v>
      </c>
      <c r="E4" s="34" t="s">
        <v>2</v>
      </c>
      <c r="F4" s="34" t="s">
        <v>3</v>
      </c>
    </row>
    <row r="5" spans="1:14" x14ac:dyDescent="0.3">
      <c r="A5" s="10" t="s">
        <v>30</v>
      </c>
      <c r="D5" s="34">
        <v>5.2380952380952372</v>
      </c>
      <c r="E5" s="34">
        <v>0</v>
      </c>
      <c r="F5" s="34">
        <v>0</v>
      </c>
      <c r="H5"/>
      <c r="I5"/>
      <c r="J5"/>
    </row>
    <row r="6" spans="1:14" ht="15" thickBot="1" x14ac:dyDescent="0.35">
      <c r="A6" s="11" t="b">
        <f>AND(D18:F18,D22)</f>
        <v>1</v>
      </c>
    </row>
    <row r="7" spans="1:14" x14ac:dyDescent="0.3">
      <c r="A7" s="10" t="s">
        <v>31</v>
      </c>
      <c r="C7" t="s">
        <v>0</v>
      </c>
      <c r="D7" s="34">
        <v>2</v>
      </c>
      <c r="E7" s="34">
        <v>3</v>
      </c>
      <c r="F7" s="34">
        <v>4</v>
      </c>
      <c r="H7" s="34">
        <f>SUMPRODUCT($D$5:$F$5,D7:F7)</f>
        <v>10.476190476190474</v>
      </c>
    </row>
    <row r="8" spans="1:14" x14ac:dyDescent="0.3">
      <c r="A8" s="12" t="str">
        <f ca="1">IF(VALUE(INFO("RELEASE"))&gt;=16,"Optimal", "ErrorOccurred")</f>
        <v>Optimal</v>
      </c>
    </row>
    <row r="9" spans="1:14" ht="15" thickBot="1" x14ac:dyDescent="0.35">
      <c r="A9" s="11">
        <f ca="1">VLOOKUP(A8,OpenSolverResultCodes,2,FALSE)</f>
        <v>0</v>
      </c>
      <c r="C9" t="s">
        <v>4</v>
      </c>
      <c r="D9" s="34">
        <v>10</v>
      </c>
      <c r="E9" s="34">
        <v>11</v>
      </c>
      <c r="F9" s="34">
        <v>12</v>
      </c>
      <c r="H9" s="34">
        <f>SUMPRODUCT($D$5:$F$5,D9:F9)+5*P8</f>
        <v>52.380952380952372</v>
      </c>
      <c r="I9" s="34" t="s">
        <v>5</v>
      </c>
      <c r="J9" s="34">
        <v>60</v>
      </c>
    </row>
    <row r="10" spans="1:14" ht="15" thickBot="1" x14ac:dyDescent="0.35">
      <c r="A10" s="25" t="str">
        <f>HYPERLINK("[OpenSolver SheetNameCharTester.xlsm]Results!A1", "&lt;- Results")</f>
        <v>&lt;- Results</v>
      </c>
      <c r="D10" s="34">
        <v>21</v>
      </c>
      <c r="E10" s="34">
        <v>22</v>
      </c>
      <c r="F10" s="34">
        <v>23</v>
      </c>
      <c r="H10" s="34">
        <f>SUMPRODUCT($D$5:$F$5,D10:F10)</f>
        <v>109.99999999999999</v>
      </c>
      <c r="I10" s="34" t="s">
        <v>5</v>
      </c>
      <c r="J10" s="34">
        <v>150</v>
      </c>
      <c r="N10" t="str">
        <f ca="1">INFO("RELEASE")</f>
        <v>16.0</v>
      </c>
    </row>
    <row r="11" spans="1:14" x14ac:dyDescent="0.3">
      <c r="D11" s="34">
        <v>21</v>
      </c>
      <c r="E11" s="34">
        <v>22</v>
      </c>
      <c r="F11" s="34">
        <v>-23</v>
      </c>
      <c r="H11" s="34">
        <f>SUMPRODUCT($D$5:$F$5,D11:F11)</f>
        <v>109.99999999999999</v>
      </c>
      <c r="I11" s="34" t="s">
        <v>6</v>
      </c>
      <c r="J11" s="34">
        <v>110</v>
      </c>
    </row>
    <row r="12" spans="1:14" x14ac:dyDescent="0.3">
      <c r="D12" s="34">
        <v>19</v>
      </c>
      <c r="E12" s="34">
        <v>34</v>
      </c>
      <c r="F12" s="34">
        <v>-32</v>
      </c>
      <c r="H12" s="34">
        <f>SUMPRODUCT($D$5:$F$5,D12:F12)</f>
        <v>99.523809523809504</v>
      </c>
      <c r="I12" s="34" t="s">
        <v>5</v>
      </c>
      <c r="J12" s="34">
        <v>180</v>
      </c>
    </row>
    <row r="16" spans="1:14" x14ac:dyDescent="0.3">
      <c r="C16" s="3" t="s">
        <v>8</v>
      </c>
    </row>
    <row r="17" spans="1:9" x14ac:dyDescent="0.3">
      <c r="D17" s="34">
        <v>5.2380952380952372</v>
      </c>
      <c r="E17" s="34">
        <v>0</v>
      </c>
      <c r="F17" s="34">
        <v>0</v>
      </c>
    </row>
    <row r="18" spans="1:9" x14ac:dyDescent="0.3">
      <c r="C18" t="s">
        <v>10</v>
      </c>
      <c r="D18" s="2" t="b">
        <f>ABS(D5-D17)/(1+ABS(D17))&lt;=0.000001</f>
        <v>1</v>
      </c>
      <c r="E18" s="2" t="b">
        <f>ABS(E5-E17)/(1+ABS(E17))&lt;=0.000001</f>
        <v>1</v>
      </c>
      <c r="F18" s="2" t="b">
        <f>ABS(F5-F17)/(1+ABS(F17))&lt;=0.000001</f>
        <v>1</v>
      </c>
      <c r="I18" s="34" t="str">
        <f ca="1">INFO("RELEASE")</f>
        <v>16.0</v>
      </c>
    </row>
    <row r="20" spans="1:9" s="34" customFormat="1" x14ac:dyDescent="0.3">
      <c r="A20" s="8"/>
      <c r="C20" s="3" t="s">
        <v>9</v>
      </c>
    </row>
    <row r="21" spans="1:9" s="34" customFormat="1" x14ac:dyDescent="0.3">
      <c r="A21" s="8"/>
      <c r="C21"/>
      <c r="D21" s="34">
        <v>10.476190476190474</v>
      </c>
    </row>
    <row r="22" spans="1:9" s="34" customFormat="1" x14ac:dyDescent="0.3">
      <c r="A22" s="8"/>
      <c r="C22" t="s">
        <v>10</v>
      </c>
      <c r="D22" s="2" t="b">
        <f>ABS(D21-H7)/(1+ABS(D21))&lt;=0.000001</f>
        <v>1</v>
      </c>
    </row>
  </sheetData>
  <dataConsolidate/>
  <dataValidations count="3">
    <dataValidation type="list" errorStyle="warning" allowBlank="1" showInputMessage="1" showErrorMessage="1" sqref="A8" xr:uid="{6FDEF2B6-EA6D-4FCE-BF34-A6575E261F6A}">
      <formula1>OpenSolverResult</formula1>
    </dataValidation>
    <dataValidation type="list" allowBlank="1" showInputMessage="1" showErrorMessage="1" sqref="A4" xr:uid="{9F125F9E-B28D-4930-91C2-9AE9FFE9A327}">
      <formula1>ModelType</formula1>
    </dataValidation>
    <dataValidation type="list" allowBlank="1" showInputMessage="1" showErrorMessage="1" sqref="A2" xr:uid="{891E8E3F-E74F-422A-8660-6898A0D307C8}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AD85B-ED33-414E-B8C6-D5DF66B4A07E}">
  <sheetPr codeName="BadName2"/>
  <dimension ref="A1:N22"/>
  <sheetViews>
    <sheetView workbookViewId="0">
      <selection activeCell="A10" sqref="A10"/>
    </sheetView>
  </sheetViews>
  <sheetFormatPr defaultColWidth="8.88671875" defaultRowHeight="14.4" x14ac:dyDescent="0.3"/>
  <cols>
    <col min="1" max="1" width="15" style="8" bestFit="1" customWidth="1"/>
    <col min="2" max="2" width="2.33203125" customWidth="1"/>
    <col min="3" max="3" width="4.88671875" customWidth="1"/>
    <col min="4" max="4" width="7.6640625" style="34" customWidth="1"/>
    <col min="5" max="6" width="5.109375" style="34" customWidth="1"/>
    <col min="7" max="7" width="3.109375" style="34" customWidth="1"/>
    <col min="8" max="8" width="8.33203125" style="34" customWidth="1"/>
    <col min="9" max="9" width="3" style="34" bestFit="1" customWidth="1"/>
    <col min="10" max="10" width="6" style="34" customWidth="1"/>
    <col min="14" max="14" width="7.6640625" customWidth="1"/>
  </cols>
  <sheetData>
    <row r="1" spans="1:14" x14ac:dyDescent="0.3">
      <c r="A1" s="10" t="s">
        <v>24</v>
      </c>
      <c r="C1" t="s">
        <v>48</v>
      </c>
    </row>
    <row r="2" spans="1:14" ht="15" thickBot="1" x14ac:dyDescent="0.35">
      <c r="A2" s="11" t="s">
        <v>25</v>
      </c>
    </row>
    <row r="3" spans="1:14" x14ac:dyDescent="0.3">
      <c r="A3" s="10" t="s">
        <v>29</v>
      </c>
    </row>
    <row r="4" spans="1:14" ht="15" thickBot="1" x14ac:dyDescent="0.35">
      <c r="A4" s="11" t="s">
        <v>27</v>
      </c>
      <c r="D4" s="34" t="s">
        <v>1</v>
      </c>
      <c r="E4" s="34" t="s">
        <v>2</v>
      </c>
      <c r="F4" s="34" t="s">
        <v>3</v>
      </c>
    </row>
    <row r="5" spans="1:14" x14ac:dyDescent="0.3">
      <c r="A5" s="10" t="s">
        <v>30</v>
      </c>
      <c r="D5" s="34">
        <v>5.2380952380952372</v>
      </c>
      <c r="E5" s="34">
        <v>0</v>
      </c>
      <c r="F5" s="34">
        <v>0</v>
      </c>
      <c r="H5"/>
      <c r="I5"/>
      <c r="J5"/>
    </row>
    <row r="6" spans="1:14" ht="15" thickBot="1" x14ac:dyDescent="0.35">
      <c r="A6" s="11" t="b">
        <f>AND(D18:F18,D22)</f>
        <v>1</v>
      </c>
    </row>
    <row r="7" spans="1:14" x14ac:dyDescent="0.3">
      <c r="A7" s="10" t="s">
        <v>31</v>
      </c>
      <c r="C7" t="s">
        <v>0</v>
      </c>
      <c r="D7" s="34">
        <v>2</v>
      </c>
      <c r="E7" s="34">
        <v>3</v>
      </c>
      <c r="F7" s="34">
        <v>4</v>
      </c>
      <c r="H7" s="34">
        <f>SUMPRODUCT($D$5:$F$5,D7:F7)</f>
        <v>10.476190476190474</v>
      </c>
    </row>
    <row r="8" spans="1:14" x14ac:dyDescent="0.3">
      <c r="A8" s="12" t="str">
        <f ca="1">IF(VALUE(INFO("RELEASE"))&gt;=16,"Optimal", "ErrorOccurred")</f>
        <v>Optimal</v>
      </c>
    </row>
    <row r="9" spans="1:14" ht="15" thickBot="1" x14ac:dyDescent="0.35">
      <c r="A9" s="11">
        <f ca="1">VLOOKUP(A8,OpenSolverResultCodes,2,FALSE)</f>
        <v>0</v>
      </c>
      <c r="C9" t="s">
        <v>4</v>
      </c>
      <c r="D9" s="34">
        <v>10</v>
      </c>
      <c r="E9" s="34">
        <v>11</v>
      </c>
      <c r="F9" s="34">
        <v>12</v>
      </c>
      <c r="H9" s="34">
        <f>SUMPRODUCT($D$5:$F$5,D9:F9)+5*P8</f>
        <v>52.380952380952372</v>
      </c>
      <c r="I9" s="34" t="s">
        <v>5</v>
      </c>
      <c r="J9" s="34">
        <v>60</v>
      </c>
    </row>
    <row r="10" spans="1:14" ht="15" thickBot="1" x14ac:dyDescent="0.35">
      <c r="A10" s="25" t="str">
        <f>HYPERLINK("[OpenSolver SheetNameCharTester.xlsm]Results!A1", "&lt;- Results")</f>
        <v>&lt;- Results</v>
      </c>
      <c r="D10" s="34">
        <v>21</v>
      </c>
      <c r="E10" s="34">
        <v>22</v>
      </c>
      <c r="F10" s="34">
        <v>23</v>
      </c>
      <c r="H10" s="34">
        <f>SUMPRODUCT($D$5:$F$5,D10:F10)</f>
        <v>109.99999999999999</v>
      </c>
      <c r="I10" s="34" t="s">
        <v>5</v>
      </c>
      <c r="J10" s="34">
        <v>150</v>
      </c>
      <c r="N10" t="str">
        <f ca="1">INFO("RELEASE")</f>
        <v>16.0</v>
      </c>
    </row>
    <row r="11" spans="1:14" x14ac:dyDescent="0.3">
      <c r="D11" s="34">
        <v>21</v>
      </c>
      <c r="E11" s="34">
        <v>22</v>
      </c>
      <c r="F11" s="34">
        <v>-23</v>
      </c>
      <c r="H11" s="34">
        <f>SUMPRODUCT($D$5:$F$5,D11:F11)</f>
        <v>109.99999999999999</v>
      </c>
      <c r="I11" s="34" t="s">
        <v>6</v>
      </c>
      <c r="J11" s="34">
        <v>110</v>
      </c>
    </row>
    <row r="12" spans="1:14" x14ac:dyDescent="0.3">
      <c r="D12" s="34">
        <v>19</v>
      </c>
      <c r="E12" s="34">
        <v>34</v>
      </c>
      <c r="F12" s="34">
        <v>-32</v>
      </c>
      <c r="H12" s="34">
        <f>SUMPRODUCT($D$5:$F$5,D12:F12)</f>
        <v>99.523809523809504</v>
      </c>
      <c r="I12" s="34" t="s">
        <v>5</v>
      </c>
      <c r="J12" s="34">
        <v>180</v>
      </c>
    </row>
    <row r="16" spans="1:14" x14ac:dyDescent="0.3">
      <c r="C16" s="3" t="s">
        <v>8</v>
      </c>
    </row>
    <row r="17" spans="1:9" x14ac:dyDescent="0.3">
      <c r="D17" s="34">
        <v>5.2380952380952372</v>
      </c>
      <c r="E17" s="34">
        <v>0</v>
      </c>
      <c r="F17" s="34">
        <v>0</v>
      </c>
    </row>
    <row r="18" spans="1:9" x14ac:dyDescent="0.3">
      <c r="C18" t="s">
        <v>10</v>
      </c>
      <c r="D18" s="2" t="b">
        <f>ABS(D5-D17)/(1+ABS(D17))&lt;=0.000001</f>
        <v>1</v>
      </c>
      <c r="E18" s="2" t="b">
        <f>ABS(E5-E17)/(1+ABS(E17))&lt;=0.000001</f>
        <v>1</v>
      </c>
      <c r="F18" s="2" t="b">
        <f>ABS(F5-F17)/(1+ABS(F17))&lt;=0.000001</f>
        <v>1</v>
      </c>
      <c r="I18" s="34" t="str">
        <f ca="1">INFO("RELEASE")</f>
        <v>16.0</v>
      </c>
    </row>
    <row r="20" spans="1:9" s="34" customFormat="1" x14ac:dyDescent="0.3">
      <c r="A20" s="8"/>
      <c r="C20" s="3" t="s">
        <v>9</v>
      </c>
    </row>
    <row r="21" spans="1:9" s="34" customFormat="1" x14ac:dyDescent="0.3">
      <c r="A21" s="8"/>
      <c r="C21"/>
      <c r="D21" s="34">
        <v>10.476190476190474</v>
      </c>
    </row>
    <row r="22" spans="1:9" s="34" customFormat="1" x14ac:dyDescent="0.3">
      <c r="A22" s="8"/>
      <c r="C22" t="s">
        <v>10</v>
      </c>
      <c r="D22" s="2" t="b">
        <f>ABS(D21-H7)/(1+ABS(D21))&lt;=0.000001</f>
        <v>1</v>
      </c>
    </row>
  </sheetData>
  <dataConsolidate/>
  <dataValidations count="3">
    <dataValidation type="list" allowBlank="1" showInputMessage="1" showErrorMessage="1" sqref="A2" xr:uid="{B70D7E09-3F92-4A65-84B3-B2729776750E}">
      <formula1>TestType</formula1>
    </dataValidation>
    <dataValidation type="list" allowBlank="1" showInputMessage="1" showErrorMessage="1" sqref="A4" xr:uid="{DE2299A9-D283-464A-AD6D-72D0C84AC90F}">
      <formula1>ModelType</formula1>
    </dataValidation>
    <dataValidation type="list" errorStyle="warning" allowBlank="1" showInputMessage="1" showErrorMessage="1" sqref="A8" xr:uid="{091EE39D-6104-415C-A589-EB4C3FB5A46B}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755CA-471D-470F-8947-B3254DA01DA5}">
  <sheetPr codeName="BadName3"/>
  <dimension ref="A1:N22"/>
  <sheetViews>
    <sheetView workbookViewId="0">
      <selection activeCell="A10" sqref="A10"/>
    </sheetView>
  </sheetViews>
  <sheetFormatPr defaultColWidth="8.88671875" defaultRowHeight="14.4" x14ac:dyDescent="0.3"/>
  <cols>
    <col min="1" max="1" width="15" style="8" bestFit="1" customWidth="1"/>
    <col min="2" max="2" width="2.33203125" customWidth="1"/>
    <col min="3" max="3" width="4.88671875" customWidth="1"/>
    <col min="4" max="4" width="7.6640625" style="34" customWidth="1"/>
    <col min="5" max="6" width="5.109375" style="34" customWidth="1"/>
    <col min="7" max="7" width="3.109375" style="34" customWidth="1"/>
    <col min="8" max="8" width="8.33203125" style="34" customWidth="1"/>
    <col min="9" max="9" width="3" style="34" bestFit="1" customWidth="1"/>
    <col min="10" max="10" width="6" style="34" customWidth="1"/>
    <col min="14" max="14" width="7.6640625" customWidth="1"/>
  </cols>
  <sheetData>
    <row r="1" spans="1:14" x14ac:dyDescent="0.3">
      <c r="A1" s="10" t="s">
        <v>24</v>
      </c>
      <c r="C1" t="s">
        <v>49</v>
      </c>
    </row>
    <row r="2" spans="1:14" ht="15" thickBot="1" x14ac:dyDescent="0.35">
      <c r="A2" s="11" t="s">
        <v>25</v>
      </c>
    </row>
    <row r="3" spans="1:14" x14ac:dyDescent="0.3">
      <c r="A3" s="10" t="s">
        <v>29</v>
      </c>
    </row>
    <row r="4" spans="1:14" ht="15" thickBot="1" x14ac:dyDescent="0.35">
      <c r="A4" s="11" t="s">
        <v>27</v>
      </c>
      <c r="D4" s="34" t="s">
        <v>1</v>
      </c>
      <c r="E4" s="34" t="s">
        <v>2</v>
      </c>
      <c r="F4" s="34" t="s">
        <v>3</v>
      </c>
    </row>
    <row r="5" spans="1:14" x14ac:dyDescent="0.3">
      <c r="A5" s="10" t="s">
        <v>30</v>
      </c>
      <c r="D5" s="34">
        <v>5.2380952380952372</v>
      </c>
      <c r="E5" s="34">
        <v>0</v>
      </c>
      <c r="F5" s="34">
        <v>0</v>
      </c>
      <c r="H5"/>
      <c r="I5"/>
      <c r="J5"/>
    </row>
    <row r="6" spans="1:14" ht="15" thickBot="1" x14ac:dyDescent="0.35">
      <c r="A6" s="11" t="b">
        <f>AND(D18:F18,D22)</f>
        <v>1</v>
      </c>
    </row>
    <row r="7" spans="1:14" x14ac:dyDescent="0.3">
      <c r="A7" s="10" t="s">
        <v>31</v>
      </c>
      <c r="C7" t="s">
        <v>0</v>
      </c>
      <c r="D7" s="34">
        <v>2</v>
      </c>
      <c r="E7" s="34">
        <v>3</v>
      </c>
      <c r="F7" s="34">
        <v>4</v>
      </c>
      <c r="H7" s="34">
        <f>SUMPRODUCT($D$5:$F$5,D7:F7)</f>
        <v>10.476190476190474</v>
      </c>
    </row>
    <row r="8" spans="1:14" x14ac:dyDescent="0.3">
      <c r="A8" s="12" t="str">
        <f ca="1">IF(VALUE(INFO("RELEASE"))&gt;=16,"Optimal", "ErrorOccurred")</f>
        <v>Optimal</v>
      </c>
    </row>
    <row r="9" spans="1:14" ht="15" thickBot="1" x14ac:dyDescent="0.35">
      <c r="A9" s="11">
        <f ca="1">VLOOKUP(A8,OpenSolverResultCodes,2,FALSE)</f>
        <v>0</v>
      </c>
      <c r="C9" t="s">
        <v>4</v>
      </c>
      <c r="D9" s="34">
        <v>10</v>
      </c>
      <c r="E9" s="34">
        <v>11</v>
      </c>
      <c r="F9" s="34">
        <v>12</v>
      </c>
      <c r="H9" s="34">
        <f>SUMPRODUCT($D$5:$F$5,D9:F9)+5*P8</f>
        <v>52.380952380952372</v>
      </c>
      <c r="I9" s="34" t="s">
        <v>5</v>
      </c>
      <c r="J9" s="34">
        <v>60</v>
      </c>
    </row>
    <row r="10" spans="1:14" ht="15" thickBot="1" x14ac:dyDescent="0.35">
      <c r="A10" s="25" t="str">
        <f>HYPERLINK("[OpenSolver SheetNameCharTester.xlsm]Results!A1", "&lt;- Results")</f>
        <v>&lt;- Results</v>
      </c>
      <c r="D10" s="34">
        <v>21</v>
      </c>
      <c r="E10" s="34">
        <v>22</v>
      </c>
      <c r="F10" s="34">
        <v>23</v>
      </c>
      <c r="H10" s="34">
        <f>SUMPRODUCT($D$5:$F$5,D10:F10)</f>
        <v>109.99999999999999</v>
      </c>
      <c r="I10" s="34" t="s">
        <v>5</v>
      </c>
      <c r="J10" s="34">
        <v>150</v>
      </c>
      <c r="N10" t="str">
        <f ca="1">INFO("RELEASE")</f>
        <v>16.0</v>
      </c>
    </row>
    <row r="11" spans="1:14" x14ac:dyDescent="0.3">
      <c r="D11" s="34">
        <v>21</v>
      </c>
      <c r="E11" s="34">
        <v>22</v>
      </c>
      <c r="F11" s="34">
        <v>-23</v>
      </c>
      <c r="H11" s="34">
        <f>SUMPRODUCT($D$5:$F$5,D11:F11)</f>
        <v>109.99999999999999</v>
      </c>
      <c r="I11" s="34" t="s">
        <v>6</v>
      </c>
      <c r="J11" s="34">
        <v>110</v>
      </c>
    </row>
    <row r="12" spans="1:14" x14ac:dyDescent="0.3">
      <c r="D12" s="34">
        <v>19</v>
      </c>
      <c r="E12" s="34">
        <v>34</v>
      </c>
      <c r="F12" s="34">
        <v>-32</v>
      </c>
      <c r="H12" s="34">
        <f>SUMPRODUCT($D$5:$F$5,D12:F12)</f>
        <v>99.523809523809504</v>
      </c>
      <c r="I12" s="34" t="s">
        <v>5</v>
      </c>
      <c r="J12" s="34">
        <v>180</v>
      </c>
    </row>
    <row r="16" spans="1:14" x14ac:dyDescent="0.3">
      <c r="C16" s="3" t="s">
        <v>8</v>
      </c>
    </row>
    <row r="17" spans="1:9" x14ac:dyDescent="0.3">
      <c r="D17" s="34">
        <v>5.2380952380952372</v>
      </c>
      <c r="E17" s="34">
        <v>0</v>
      </c>
      <c r="F17" s="34">
        <v>0</v>
      </c>
    </row>
    <row r="18" spans="1:9" x14ac:dyDescent="0.3">
      <c r="C18" t="s">
        <v>10</v>
      </c>
      <c r="D18" s="2" t="b">
        <f>ABS(D5-D17)/(1+ABS(D17))&lt;=0.000001</f>
        <v>1</v>
      </c>
      <c r="E18" s="2" t="b">
        <f>ABS(E5-E17)/(1+ABS(E17))&lt;=0.000001</f>
        <v>1</v>
      </c>
      <c r="F18" s="2" t="b">
        <f>ABS(F5-F17)/(1+ABS(F17))&lt;=0.000001</f>
        <v>1</v>
      </c>
      <c r="I18" s="34" t="str">
        <f ca="1">INFO("RELEASE")</f>
        <v>16.0</v>
      </c>
    </row>
    <row r="20" spans="1:9" s="34" customFormat="1" x14ac:dyDescent="0.3">
      <c r="A20" s="8"/>
      <c r="C20" s="3" t="s">
        <v>9</v>
      </c>
    </row>
    <row r="21" spans="1:9" s="34" customFormat="1" x14ac:dyDescent="0.3">
      <c r="A21" s="8"/>
      <c r="C21"/>
      <c r="D21" s="34">
        <v>10.476190476190474</v>
      </c>
    </row>
    <row r="22" spans="1:9" s="34" customFormat="1" x14ac:dyDescent="0.3">
      <c r="A22" s="8"/>
      <c r="C22" t="s">
        <v>10</v>
      </c>
      <c r="D22" s="2" t="b">
        <f>ABS(D21-H7)/(1+ABS(D21))&lt;=0.000001</f>
        <v>1</v>
      </c>
    </row>
  </sheetData>
  <dataConsolidate/>
  <dataValidations count="3">
    <dataValidation type="list" errorStyle="warning" allowBlank="1" showInputMessage="1" showErrorMessage="1" sqref="A8" xr:uid="{A0936E0C-C6ED-4009-AB80-E91B4AD7F02A}">
      <formula1>OpenSolverResult</formula1>
    </dataValidation>
    <dataValidation type="list" allowBlank="1" showInputMessage="1" showErrorMessage="1" sqref="A4" xr:uid="{75E1F4DB-50E0-49AD-A1DB-BE6E7DD4E843}">
      <formula1>ModelType</formula1>
    </dataValidation>
    <dataValidation type="list" allowBlank="1" showInputMessage="1" showErrorMessage="1" sqref="A2" xr:uid="{D874764D-F274-4631-AFA3-691CF89C433E}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88185-60A3-4CC4-AB5E-7D3889B2C1BD}">
  <sheetPr codeName="BadName4"/>
  <dimension ref="A1:N22"/>
  <sheetViews>
    <sheetView workbookViewId="0">
      <selection activeCell="A10" sqref="A10"/>
    </sheetView>
  </sheetViews>
  <sheetFormatPr defaultColWidth="8.88671875" defaultRowHeight="14.4" x14ac:dyDescent="0.3"/>
  <cols>
    <col min="1" max="1" width="15" style="8" bestFit="1" customWidth="1"/>
    <col min="2" max="2" width="2.33203125" customWidth="1"/>
    <col min="3" max="3" width="4.88671875" customWidth="1"/>
    <col min="4" max="4" width="7.6640625" style="34" customWidth="1"/>
    <col min="5" max="6" width="5.109375" style="34" customWidth="1"/>
    <col min="7" max="7" width="3.109375" style="34" customWidth="1"/>
    <col min="8" max="8" width="8.33203125" style="34" customWidth="1"/>
    <col min="9" max="9" width="3" style="34" bestFit="1" customWidth="1"/>
    <col min="10" max="10" width="6" style="34" customWidth="1"/>
    <col min="14" max="14" width="7.6640625" customWidth="1"/>
  </cols>
  <sheetData>
    <row r="1" spans="1:14" x14ac:dyDescent="0.3">
      <c r="A1" s="10" t="s">
        <v>24</v>
      </c>
      <c r="C1" t="s">
        <v>51</v>
      </c>
    </row>
    <row r="2" spans="1:14" ht="15" thickBot="1" x14ac:dyDescent="0.35">
      <c r="A2" s="11" t="s">
        <v>25</v>
      </c>
    </row>
    <row r="3" spans="1:14" x14ac:dyDescent="0.3">
      <c r="A3" s="10" t="s">
        <v>29</v>
      </c>
    </row>
    <row r="4" spans="1:14" ht="15" thickBot="1" x14ac:dyDescent="0.35">
      <c r="A4" s="11" t="s">
        <v>27</v>
      </c>
      <c r="D4" s="34" t="s">
        <v>1</v>
      </c>
      <c r="E4" s="34" t="s">
        <v>2</v>
      </c>
      <c r="F4" s="34" t="s">
        <v>3</v>
      </c>
    </row>
    <row r="5" spans="1:14" x14ac:dyDescent="0.3">
      <c r="A5" s="10" t="s">
        <v>30</v>
      </c>
      <c r="D5" s="34">
        <v>5.2380952380952372</v>
      </c>
      <c r="E5" s="34">
        <v>0</v>
      </c>
      <c r="F5" s="34">
        <v>0</v>
      </c>
      <c r="H5"/>
      <c r="I5"/>
      <c r="J5"/>
    </row>
    <row r="6" spans="1:14" ht="15" thickBot="1" x14ac:dyDescent="0.35">
      <c r="A6" s="11" t="b">
        <f>AND(D18:F18,D22)</f>
        <v>1</v>
      </c>
    </row>
    <row r="7" spans="1:14" x14ac:dyDescent="0.3">
      <c r="A7" s="10" t="s">
        <v>31</v>
      </c>
      <c r="C7" t="s">
        <v>0</v>
      </c>
      <c r="D7" s="34">
        <v>2</v>
      </c>
      <c r="E7" s="34">
        <v>3</v>
      </c>
      <c r="F7" s="34">
        <v>4</v>
      </c>
      <c r="H7" s="34">
        <f>SUMPRODUCT($D$5:$F$5,D7:F7)</f>
        <v>10.476190476190474</v>
      </c>
    </row>
    <row r="8" spans="1:14" x14ac:dyDescent="0.3">
      <c r="A8" s="12" t="str">
        <f ca="1">IF(VALUE(INFO("RELEASE"))&gt;=16,"Optimal", "ErrorOccurred")</f>
        <v>Optimal</v>
      </c>
    </row>
    <row r="9" spans="1:14" ht="15" thickBot="1" x14ac:dyDescent="0.35">
      <c r="A9" s="11">
        <f ca="1">VLOOKUP(A8,OpenSolverResultCodes,2,FALSE)</f>
        <v>0</v>
      </c>
      <c r="C9" t="s">
        <v>4</v>
      </c>
      <c r="D9" s="34">
        <v>10</v>
      </c>
      <c r="E9" s="34">
        <v>11</v>
      </c>
      <c r="F9" s="34">
        <v>12</v>
      </c>
      <c r="H9" s="34">
        <f>SUMPRODUCT($D$5:$F$5,D9:F9)+5*P8</f>
        <v>52.380952380952372</v>
      </c>
      <c r="I9" s="34" t="s">
        <v>5</v>
      </c>
      <c r="J9" s="34">
        <v>60</v>
      </c>
    </row>
    <row r="10" spans="1:14" ht="15" thickBot="1" x14ac:dyDescent="0.35">
      <c r="A10" s="25" t="str">
        <f>HYPERLINK("[OpenSolver SheetNameCharTester.xlsm]Results!A1", "&lt;- Results")</f>
        <v>&lt;- Results</v>
      </c>
      <c r="D10" s="34">
        <v>21</v>
      </c>
      <c r="E10" s="34">
        <v>22</v>
      </c>
      <c r="F10" s="34">
        <v>23</v>
      </c>
      <c r="H10" s="34">
        <f>SUMPRODUCT($D$5:$F$5,D10:F10)</f>
        <v>109.99999999999999</v>
      </c>
      <c r="I10" s="34" t="s">
        <v>5</v>
      </c>
      <c r="J10" s="34">
        <v>150</v>
      </c>
      <c r="N10" t="str">
        <f ca="1">INFO("RELEASE")</f>
        <v>16.0</v>
      </c>
    </row>
    <row r="11" spans="1:14" x14ac:dyDescent="0.3">
      <c r="D11" s="34">
        <v>21</v>
      </c>
      <c r="E11" s="34">
        <v>22</v>
      </c>
      <c r="F11" s="34">
        <v>-23</v>
      </c>
      <c r="H11" s="34">
        <f>SUMPRODUCT($D$5:$F$5,D11:F11)</f>
        <v>109.99999999999999</v>
      </c>
      <c r="I11" s="34" t="s">
        <v>6</v>
      </c>
      <c r="J11" s="34">
        <v>110</v>
      </c>
    </row>
    <row r="12" spans="1:14" x14ac:dyDescent="0.3">
      <c r="D12" s="34">
        <v>19</v>
      </c>
      <c r="E12" s="34">
        <v>34</v>
      </c>
      <c r="F12" s="34">
        <v>-32</v>
      </c>
      <c r="H12" s="34">
        <f>SUMPRODUCT($D$5:$F$5,D12:F12)</f>
        <v>99.523809523809504</v>
      </c>
      <c r="I12" s="34" t="s">
        <v>5</v>
      </c>
      <c r="J12" s="34">
        <v>180</v>
      </c>
    </row>
    <row r="16" spans="1:14" x14ac:dyDescent="0.3">
      <c r="C16" s="3" t="s">
        <v>8</v>
      </c>
    </row>
    <row r="17" spans="1:9" x14ac:dyDescent="0.3">
      <c r="D17" s="34">
        <v>5.2380952380952372</v>
      </c>
      <c r="E17" s="34">
        <v>0</v>
      </c>
      <c r="F17" s="34">
        <v>0</v>
      </c>
    </row>
    <row r="18" spans="1:9" x14ac:dyDescent="0.3">
      <c r="C18" t="s">
        <v>10</v>
      </c>
      <c r="D18" s="2" t="b">
        <f>ABS(D5-D17)/(1+ABS(D17))&lt;=0.000001</f>
        <v>1</v>
      </c>
      <c r="E18" s="2" t="b">
        <f>ABS(E5-E17)/(1+ABS(E17))&lt;=0.000001</f>
        <v>1</v>
      </c>
      <c r="F18" s="2" t="b">
        <f>ABS(F5-F17)/(1+ABS(F17))&lt;=0.000001</f>
        <v>1</v>
      </c>
      <c r="I18" s="34" t="str">
        <f ca="1">INFO("RELEASE")</f>
        <v>16.0</v>
      </c>
    </row>
    <row r="20" spans="1:9" s="34" customFormat="1" x14ac:dyDescent="0.3">
      <c r="A20" s="8"/>
      <c r="C20" s="3" t="s">
        <v>9</v>
      </c>
    </row>
    <row r="21" spans="1:9" s="34" customFormat="1" x14ac:dyDescent="0.3">
      <c r="A21" s="8"/>
      <c r="C21"/>
      <c r="D21" s="34">
        <v>10.476190476190474</v>
      </c>
    </row>
    <row r="22" spans="1:9" s="34" customFormat="1" x14ac:dyDescent="0.3">
      <c r="A22" s="8"/>
      <c r="C22" t="s">
        <v>10</v>
      </c>
      <c r="D22" s="2" t="b">
        <f>ABS(D21-H7)/(1+ABS(D21))&lt;=0.000001</f>
        <v>1</v>
      </c>
    </row>
  </sheetData>
  <dataConsolidate/>
  <dataValidations count="3">
    <dataValidation type="list" allowBlank="1" showInputMessage="1" showErrorMessage="1" sqref="A2" xr:uid="{871EC6FA-6E67-4F6C-8E7C-B73F17E2F8E3}">
      <formula1>TestType</formula1>
    </dataValidation>
    <dataValidation type="list" allowBlank="1" showInputMessage="1" showErrorMessage="1" sqref="A4" xr:uid="{041FD4F7-7773-45DA-9726-8CB1BF544EA5}">
      <formula1>ModelType</formula1>
    </dataValidation>
    <dataValidation type="list" errorStyle="warning" allowBlank="1" showInputMessage="1" showErrorMessage="1" sqref="A8" xr:uid="{A3913369-1DB0-4E0F-A431-C6384E58E5C8}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11C1A-FFC4-4E2C-B3CE-8D4AB87CC936}">
  <sheetPr codeName="BadName5"/>
  <dimension ref="A1:N22"/>
  <sheetViews>
    <sheetView workbookViewId="0">
      <selection activeCell="A10" sqref="A10"/>
    </sheetView>
  </sheetViews>
  <sheetFormatPr defaultColWidth="8.88671875" defaultRowHeight="14.4" x14ac:dyDescent="0.3"/>
  <cols>
    <col min="1" max="1" width="15" style="8" bestFit="1" customWidth="1"/>
    <col min="2" max="2" width="2.33203125" customWidth="1"/>
    <col min="3" max="3" width="4.88671875" customWidth="1"/>
    <col min="4" max="4" width="7.6640625" style="34" customWidth="1"/>
    <col min="5" max="6" width="5.109375" style="34" customWidth="1"/>
    <col min="7" max="7" width="3.109375" style="34" customWidth="1"/>
    <col min="8" max="8" width="8.33203125" style="34" customWidth="1"/>
    <col min="9" max="9" width="3" style="34" bestFit="1" customWidth="1"/>
    <col min="10" max="10" width="6" style="34" customWidth="1"/>
    <col min="14" max="14" width="7.6640625" customWidth="1"/>
  </cols>
  <sheetData>
    <row r="1" spans="1:14" x14ac:dyDescent="0.3">
      <c r="A1" s="10" t="s">
        <v>24</v>
      </c>
      <c r="C1" t="s">
        <v>50</v>
      </c>
    </row>
    <row r="2" spans="1:14" ht="15" thickBot="1" x14ac:dyDescent="0.35">
      <c r="A2" s="11" t="s">
        <v>25</v>
      </c>
    </row>
    <row r="3" spans="1:14" x14ac:dyDescent="0.3">
      <c r="A3" s="10" t="s">
        <v>29</v>
      </c>
    </row>
    <row r="4" spans="1:14" ht="15" thickBot="1" x14ac:dyDescent="0.35">
      <c r="A4" s="11" t="s">
        <v>27</v>
      </c>
      <c r="D4" s="34" t="s">
        <v>1</v>
      </c>
      <c r="E4" s="34" t="s">
        <v>2</v>
      </c>
      <c r="F4" s="34" t="s">
        <v>3</v>
      </c>
    </row>
    <row r="5" spans="1:14" x14ac:dyDescent="0.3">
      <c r="A5" s="10" t="s">
        <v>30</v>
      </c>
      <c r="D5" s="34">
        <v>5.2380952380952372</v>
      </c>
      <c r="E5" s="34">
        <v>0</v>
      </c>
      <c r="F5" s="34">
        <v>0</v>
      </c>
      <c r="H5"/>
      <c r="I5"/>
      <c r="J5"/>
    </row>
    <row r="6" spans="1:14" ht="15" thickBot="1" x14ac:dyDescent="0.35">
      <c r="A6" s="11" t="b">
        <f>AND(D18:F18,D22)</f>
        <v>1</v>
      </c>
    </row>
    <row r="7" spans="1:14" x14ac:dyDescent="0.3">
      <c r="A7" s="10" t="s">
        <v>31</v>
      </c>
      <c r="C7" t="s">
        <v>0</v>
      </c>
      <c r="D7" s="34">
        <v>2</v>
      </c>
      <c r="E7" s="34">
        <v>3</v>
      </c>
      <c r="F7" s="34">
        <v>4</v>
      </c>
      <c r="H7" s="34">
        <f>SUMPRODUCT($D$5:$F$5,D7:F7)</f>
        <v>10.476190476190474</v>
      </c>
    </row>
    <row r="8" spans="1:14" x14ac:dyDescent="0.3">
      <c r="A8" s="12" t="str">
        <f ca="1">IF(VALUE(INFO("RELEASE"))&gt;=16,"Optimal", "ErrorOccurred")</f>
        <v>Optimal</v>
      </c>
    </row>
    <row r="9" spans="1:14" ht="15" thickBot="1" x14ac:dyDescent="0.35">
      <c r="A9" s="11">
        <f ca="1">VLOOKUP(A8,OpenSolverResultCodes,2,FALSE)</f>
        <v>0</v>
      </c>
      <c r="C9" t="s">
        <v>4</v>
      </c>
      <c r="D9" s="34">
        <v>10</v>
      </c>
      <c r="E9" s="34">
        <v>11</v>
      </c>
      <c r="F9" s="34">
        <v>12</v>
      </c>
      <c r="H9" s="34">
        <f>SUMPRODUCT($D$5:$F$5,D9:F9)+5*P8</f>
        <v>52.380952380952372</v>
      </c>
      <c r="I9" s="34" t="s">
        <v>5</v>
      </c>
      <c r="J9" s="34">
        <v>60</v>
      </c>
    </row>
    <row r="10" spans="1:14" ht="15" thickBot="1" x14ac:dyDescent="0.35">
      <c r="A10" s="25" t="str">
        <f>HYPERLINK("[OpenSolver SheetNameCharTester.xlsm]Results!A1", "&lt;- Results")</f>
        <v>&lt;- Results</v>
      </c>
      <c r="D10" s="34">
        <v>21</v>
      </c>
      <c r="E10" s="34">
        <v>22</v>
      </c>
      <c r="F10" s="34">
        <v>23</v>
      </c>
      <c r="H10" s="34">
        <f>SUMPRODUCT($D$5:$F$5,D10:F10)</f>
        <v>109.99999999999999</v>
      </c>
      <c r="I10" s="34" t="s">
        <v>5</v>
      </c>
      <c r="J10" s="34">
        <v>150</v>
      </c>
      <c r="N10" t="str">
        <f ca="1">INFO("RELEASE")</f>
        <v>16.0</v>
      </c>
    </row>
    <row r="11" spans="1:14" x14ac:dyDescent="0.3">
      <c r="D11" s="34">
        <v>21</v>
      </c>
      <c r="E11" s="34">
        <v>22</v>
      </c>
      <c r="F11" s="34">
        <v>-23</v>
      </c>
      <c r="H11" s="34">
        <f>SUMPRODUCT($D$5:$F$5,D11:F11)</f>
        <v>109.99999999999999</v>
      </c>
      <c r="I11" s="34" t="s">
        <v>6</v>
      </c>
      <c r="J11" s="34">
        <v>110</v>
      </c>
    </row>
    <row r="12" spans="1:14" x14ac:dyDescent="0.3">
      <c r="D12" s="34">
        <v>19</v>
      </c>
      <c r="E12" s="34">
        <v>34</v>
      </c>
      <c r="F12" s="34">
        <v>-32</v>
      </c>
      <c r="H12" s="34">
        <f>SUMPRODUCT($D$5:$F$5,D12:F12)</f>
        <v>99.523809523809504</v>
      </c>
      <c r="I12" s="34" t="s">
        <v>5</v>
      </c>
      <c r="J12" s="34">
        <v>180</v>
      </c>
    </row>
    <row r="16" spans="1:14" x14ac:dyDescent="0.3">
      <c r="C16" s="3" t="s">
        <v>8</v>
      </c>
    </row>
    <row r="17" spans="1:9" x14ac:dyDescent="0.3">
      <c r="D17" s="34">
        <v>5.2380952380952372</v>
      </c>
      <c r="E17" s="34">
        <v>0</v>
      </c>
      <c r="F17" s="34">
        <v>0</v>
      </c>
    </row>
    <row r="18" spans="1:9" x14ac:dyDescent="0.3">
      <c r="C18" t="s">
        <v>10</v>
      </c>
      <c r="D18" s="2" t="b">
        <f>ABS(D5-D17)/(1+ABS(D17))&lt;=0.000001</f>
        <v>1</v>
      </c>
      <c r="E18" s="2" t="b">
        <f>ABS(E5-E17)/(1+ABS(E17))&lt;=0.000001</f>
        <v>1</v>
      </c>
      <c r="F18" s="2" t="b">
        <f>ABS(F5-F17)/(1+ABS(F17))&lt;=0.000001</f>
        <v>1</v>
      </c>
      <c r="I18" s="34" t="str">
        <f ca="1">INFO("RELEASE")</f>
        <v>16.0</v>
      </c>
    </row>
    <row r="20" spans="1:9" s="34" customFormat="1" x14ac:dyDescent="0.3">
      <c r="A20" s="8"/>
      <c r="C20" s="3" t="s">
        <v>9</v>
      </c>
    </row>
    <row r="21" spans="1:9" s="34" customFormat="1" x14ac:dyDescent="0.3">
      <c r="A21" s="8"/>
      <c r="C21"/>
      <c r="D21" s="34">
        <v>10.476190476190474</v>
      </c>
    </row>
    <row r="22" spans="1:9" s="34" customFormat="1" x14ac:dyDescent="0.3">
      <c r="A22" s="8"/>
      <c r="C22" t="s">
        <v>10</v>
      </c>
      <c r="D22" s="2" t="b">
        <f>ABS(D21-H7)/(1+ABS(D21))&lt;=0.000001</f>
        <v>1</v>
      </c>
    </row>
  </sheetData>
  <dataConsolidate/>
  <dataValidations count="3">
    <dataValidation type="list" errorStyle="warning" allowBlank="1" showInputMessage="1" showErrorMessage="1" sqref="A8" xr:uid="{52554A90-CC47-4FF0-A974-2AE40F8403F1}">
      <formula1>OpenSolverResult</formula1>
    </dataValidation>
    <dataValidation type="list" allowBlank="1" showInputMessage="1" showErrorMessage="1" sqref="A4" xr:uid="{3C12132F-9865-4A53-B19D-8020BE8E6B28}">
      <formula1>ModelType</formula1>
    </dataValidation>
    <dataValidation type="list" allowBlank="1" showInputMessage="1" showErrorMessage="1" sqref="A2" xr:uid="{EEB38225-BE4C-4E5C-B809-2886E96BB4E0}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A723F-E0FC-43FF-AE19-7528B025D63A}">
  <sheetPr codeName="BadName6"/>
  <dimension ref="A1:N22"/>
  <sheetViews>
    <sheetView workbookViewId="0">
      <selection activeCell="A10" sqref="A10"/>
    </sheetView>
  </sheetViews>
  <sheetFormatPr defaultColWidth="8.88671875" defaultRowHeight="14.4" x14ac:dyDescent="0.3"/>
  <cols>
    <col min="1" max="1" width="15" style="8" bestFit="1" customWidth="1"/>
    <col min="2" max="2" width="2.33203125" customWidth="1"/>
    <col min="3" max="3" width="4.88671875" customWidth="1"/>
    <col min="4" max="4" width="7.6640625" style="34" customWidth="1"/>
    <col min="5" max="6" width="5.109375" style="34" customWidth="1"/>
    <col min="7" max="7" width="3.109375" style="34" customWidth="1"/>
    <col min="8" max="8" width="8.33203125" style="34" customWidth="1"/>
    <col min="9" max="9" width="3" style="34" bestFit="1" customWidth="1"/>
    <col min="10" max="10" width="6" style="34" customWidth="1"/>
    <col min="14" max="14" width="7.6640625" customWidth="1"/>
  </cols>
  <sheetData>
    <row r="1" spans="1:14" x14ac:dyDescent="0.3">
      <c r="A1" s="10" t="s">
        <v>24</v>
      </c>
      <c r="C1" t="s">
        <v>54</v>
      </c>
    </row>
    <row r="2" spans="1:14" ht="15" thickBot="1" x14ac:dyDescent="0.35">
      <c r="A2" s="11" t="s">
        <v>25</v>
      </c>
    </row>
    <row r="3" spans="1:14" x14ac:dyDescent="0.3">
      <c r="A3" s="10" t="s">
        <v>29</v>
      </c>
    </row>
    <row r="4" spans="1:14" ht="15" thickBot="1" x14ac:dyDescent="0.35">
      <c r="A4" s="11" t="s">
        <v>27</v>
      </c>
      <c r="D4" s="34" t="s">
        <v>1</v>
      </c>
      <c r="E4" s="34" t="s">
        <v>2</v>
      </c>
      <c r="F4" s="34" t="s">
        <v>3</v>
      </c>
    </row>
    <row r="5" spans="1:14" x14ac:dyDescent="0.3">
      <c r="A5" s="10" t="s">
        <v>30</v>
      </c>
      <c r="D5" s="34">
        <v>5.2380952380952372</v>
      </c>
      <c r="E5" s="34">
        <v>0</v>
      </c>
      <c r="F5" s="34">
        <v>0</v>
      </c>
      <c r="H5"/>
      <c r="I5"/>
      <c r="J5"/>
    </row>
    <row r="6" spans="1:14" ht="15" thickBot="1" x14ac:dyDescent="0.35">
      <c r="A6" s="11" t="b">
        <f>AND(D18:F18,D22)</f>
        <v>1</v>
      </c>
    </row>
    <row r="7" spans="1:14" x14ac:dyDescent="0.3">
      <c r="A7" s="10" t="s">
        <v>31</v>
      </c>
      <c r="C7" t="s">
        <v>0</v>
      </c>
      <c r="D7" s="34">
        <v>2</v>
      </c>
      <c r="E7" s="34">
        <v>3</v>
      </c>
      <c r="F7" s="34">
        <v>4</v>
      </c>
      <c r="H7" s="34">
        <f>SUMPRODUCT($D$5:$F$5,D7:F7)</f>
        <v>10.476190476190474</v>
      </c>
    </row>
    <row r="8" spans="1:14" x14ac:dyDescent="0.3">
      <c r="A8" s="12" t="str">
        <f ca="1">IF(VALUE(INFO("RELEASE"))&gt;=16,"Optimal", "ErrorOccurred")</f>
        <v>Optimal</v>
      </c>
    </row>
    <row r="9" spans="1:14" ht="15" thickBot="1" x14ac:dyDescent="0.35">
      <c r="A9" s="11">
        <f ca="1">VLOOKUP(A8,OpenSolverResultCodes,2,FALSE)</f>
        <v>0</v>
      </c>
      <c r="C9" t="s">
        <v>4</v>
      </c>
      <c r="D9" s="34">
        <v>10</v>
      </c>
      <c r="E9" s="34">
        <v>11</v>
      </c>
      <c r="F9" s="34">
        <v>12</v>
      </c>
      <c r="H9" s="34">
        <f>SUMPRODUCT($D$5:$F$5,D9:F9)+5*P8</f>
        <v>52.380952380952372</v>
      </c>
      <c r="I9" s="34" t="s">
        <v>5</v>
      </c>
      <c r="J9" s="34">
        <v>60</v>
      </c>
    </row>
    <row r="10" spans="1:14" ht="15" thickBot="1" x14ac:dyDescent="0.35">
      <c r="A10" s="25" t="str">
        <f>HYPERLINK("[OpenSolver SheetNameCharTester.xlsm]Results!A1", "&lt;- Results")</f>
        <v>&lt;- Results</v>
      </c>
      <c r="D10" s="34">
        <v>21</v>
      </c>
      <c r="E10" s="34">
        <v>22</v>
      </c>
      <c r="F10" s="34">
        <v>23</v>
      </c>
      <c r="H10" s="34">
        <f>SUMPRODUCT($D$5:$F$5,D10:F10)</f>
        <v>109.99999999999999</v>
      </c>
      <c r="I10" s="34" t="s">
        <v>5</v>
      </c>
      <c r="J10" s="34">
        <v>150</v>
      </c>
      <c r="N10" t="str">
        <f ca="1">INFO("RELEASE")</f>
        <v>16.0</v>
      </c>
    </row>
    <row r="11" spans="1:14" x14ac:dyDescent="0.3">
      <c r="D11" s="34">
        <v>21</v>
      </c>
      <c r="E11" s="34">
        <v>22</v>
      </c>
      <c r="F11" s="34">
        <v>-23</v>
      </c>
      <c r="H11" s="34">
        <f>SUMPRODUCT($D$5:$F$5,D11:F11)</f>
        <v>109.99999999999999</v>
      </c>
      <c r="I11" s="34" t="s">
        <v>6</v>
      </c>
      <c r="J11" s="34">
        <v>110</v>
      </c>
    </row>
    <row r="12" spans="1:14" x14ac:dyDescent="0.3">
      <c r="D12" s="34">
        <v>19</v>
      </c>
      <c r="E12" s="34">
        <v>34</v>
      </c>
      <c r="F12" s="34">
        <v>-32</v>
      </c>
      <c r="H12" s="34">
        <f>SUMPRODUCT($D$5:$F$5,D12:F12)</f>
        <v>99.523809523809504</v>
      </c>
      <c r="I12" s="34" t="s">
        <v>5</v>
      </c>
      <c r="J12" s="34">
        <v>180</v>
      </c>
    </row>
    <row r="16" spans="1:14" x14ac:dyDescent="0.3">
      <c r="C16" s="3" t="s">
        <v>8</v>
      </c>
    </row>
    <row r="17" spans="1:9" x14ac:dyDescent="0.3">
      <c r="D17" s="34">
        <v>5.2380952380952372</v>
      </c>
      <c r="E17" s="34">
        <v>0</v>
      </c>
      <c r="F17" s="34">
        <v>0</v>
      </c>
    </row>
    <row r="18" spans="1:9" x14ac:dyDescent="0.3">
      <c r="C18" t="s">
        <v>10</v>
      </c>
      <c r="D18" s="2" t="b">
        <f>ABS(D5-D17)/(1+ABS(D17))&lt;=0.000001</f>
        <v>1</v>
      </c>
      <c r="E18" s="2" t="b">
        <f>ABS(E5-E17)/(1+ABS(E17))&lt;=0.000001</f>
        <v>1</v>
      </c>
      <c r="F18" s="2" t="b">
        <f>ABS(F5-F17)/(1+ABS(F17))&lt;=0.000001</f>
        <v>1</v>
      </c>
      <c r="I18" s="34" t="str">
        <f ca="1">INFO("RELEASE")</f>
        <v>16.0</v>
      </c>
    </row>
    <row r="20" spans="1:9" s="34" customFormat="1" x14ac:dyDescent="0.3">
      <c r="A20" s="8"/>
      <c r="C20" s="3" t="s">
        <v>9</v>
      </c>
    </row>
    <row r="21" spans="1:9" s="34" customFormat="1" x14ac:dyDescent="0.3">
      <c r="A21" s="8"/>
      <c r="C21"/>
      <c r="D21" s="34">
        <v>10.476190476190474</v>
      </c>
    </row>
    <row r="22" spans="1:9" s="34" customFormat="1" x14ac:dyDescent="0.3">
      <c r="A22" s="8"/>
      <c r="C22" t="s">
        <v>10</v>
      </c>
      <c r="D22" s="2" t="b">
        <f>ABS(D21-H7)/(1+ABS(D21))&lt;=0.000001</f>
        <v>1</v>
      </c>
    </row>
  </sheetData>
  <dataConsolidate/>
  <dataValidations count="3">
    <dataValidation type="list" allowBlank="1" showInputMessage="1" showErrorMessage="1" sqref="A2" xr:uid="{762B08C7-2AB6-4AA9-B1E8-AA36473D571C}">
      <formula1>TestType</formula1>
    </dataValidation>
    <dataValidation type="list" allowBlank="1" showInputMessage="1" showErrorMessage="1" sqref="A4" xr:uid="{CDD73692-0884-492C-A74E-F872B0DD8783}">
      <formula1>ModelType</formula1>
    </dataValidation>
    <dataValidation type="list" errorStyle="warning" allowBlank="1" showInputMessage="1" showErrorMessage="1" sqref="A8" xr:uid="{CB3198ED-076C-481C-A0AA-B34AE9C805EA}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1A066-8314-4A38-AB7D-76DC8461898A}">
  <sheetPr codeName="BadName7"/>
  <dimension ref="A1:N22"/>
  <sheetViews>
    <sheetView workbookViewId="0">
      <selection activeCell="L2" sqref="L2"/>
    </sheetView>
  </sheetViews>
  <sheetFormatPr defaultColWidth="8.88671875" defaultRowHeight="14.4" x14ac:dyDescent="0.3"/>
  <cols>
    <col min="1" max="1" width="15" style="8" bestFit="1" customWidth="1"/>
    <col min="2" max="2" width="2.33203125" customWidth="1"/>
    <col min="3" max="3" width="4.88671875" customWidth="1"/>
    <col min="4" max="4" width="7.6640625" style="34" customWidth="1"/>
    <col min="5" max="6" width="5.109375" style="34" customWidth="1"/>
    <col min="7" max="7" width="3.109375" style="34" customWidth="1"/>
    <col min="8" max="8" width="8.33203125" style="34" customWidth="1"/>
    <col min="9" max="9" width="3" style="34" bestFit="1" customWidth="1"/>
    <col min="10" max="10" width="6" style="34" customWidth="1"/>
    <col min="14" max="14" width="7.6640625" customWidth="1"/>
  </cols>
  <sheetData>
    <row r="1" spans="1:14" x14ac:dyDescent="0.3">
      <c r="A1" s="10" t="s">
        <v>24</v>
      </c>
      <c r="C1" t="s">
        <v>55</v>
      </c>
    </row>
    <row r="2" spans="1:14" ht="15" thickBot="1" x14ac:dyDescent="0.35">
      <c r="A2" s="11" t="s">
        <v>25</v>
      </c>
    </row>
    <row r="3" spans="1:14" x14ac:dyDescent="0.3">
      <c r="A3" s="10" t="s">
        <v>29</v>
      </c>
    </row>
    <row r="4" spans="1:14" ht="15" thickBot="1" x14ac:dyDescent="0.35">
      <c r="A4" s="11" t="s">
        <v>27</v>
      </c>
      <c r="D4" s="34" t="s">
        <v>1</v>
      </c>
      <c r="E4" s="34" t="s">
        <v>2</v>
      </c>
      <c r="F4" s="34" t="s">
        <v>3</v>
      </c>
    </row>
    <row r="5" spans="1:14" x14ac:dyDescent="0.3">
      <c r="A5" s="10" t="s">
        <v>30</v>
      </c>
      <c r="D5" s="34">
        <v>5.2380952380952372</v>
      </c>
      <c r="E5" s="34">
        <v>0</v>
      </c>
      <c r="F5" s="34">
        <v>0</v>
      </c>
      <c r="H5"/>
      <c r="I5"/>
      <c r="J5"/>
    </row>
    <row r="6" spans="1:14" ht="15" thickBot="1" x14ac:dyDescent="0.35">
      <c r="A6" s="11" t="b">
        <f>AND(D18:F18,D22)</f>
        <v>1</v>
      </c>
    </row>
    <row r="7" spans="1:14" x14ac:dyDescent="0.3">
      <c r="A7" s="10" t="s">
        <v>31</v>
      </c>
      <c r="C7" t="s">
        <v>0</v>
      </c>
      <c r="D7" s="34">
        <v>2</v>
      </c>
      <c r="E7" s="34">
        <v>3</v>
      </c>
      <c r="F7" s="34">
        <v>4</v>
      </c>
      <c r="H7" s="34">
        <f>SUMPRODUCT($D$5:$F$5,D7:F7)</f>
        <v>10.476190476190474</v>
      </c>
    </row>
    <row r="8" spans="1:14" x14ac:dyDescent="0.3">
      <c r="A8" s="12" t="str">
        <f ca="1">IF(VALUE(INFO("RELEASE"))&gt;=16,"Optimal", "ErrorOccurred")</f>
        <v>Optimal</v>
      </c>
    </row>
    <row r="9" spans="1:14" ht="15" thickBot="1" x14ac:dyDescent="0.35">
      <c r="A9" s="11">
        <f ca="1">VLOOKUP(A8,OpenSolverResultCodes,2,FALSE)</f>
        <v>0</v>
      </c>
      <c r="C9" t="s">
        <v>4</v>
      </c>
      <c r="D9" s="34">
        <v>10</v>
      </c>
      <c r="E9" s="34">
        <v>11</v>
      </c>
      <c r="F9" s="34">
        <v>12</v>
      </c>
      <c r="H9" s="34">
        <f>SUMPRODUCT($D$5:$F$5,D9:F9)+5*P8</f>
        <v>52.380952380952372</v>
      </c>
      <c r="I9" s="34" t="s">
        <v>5</v>
      </c>
      <c r="J9" s="34">
        <v>60</v>
      </c>
    </row>
    <row r="10" spans="1:14" ht="15" thickBot="1" x14ac:dyDescent="0.35">
      <c r="A10" s="25" t="str">
        <f>HYPERLINK("[OpenSolver SheetNameCharTester.xlsm]Results!A1", "&lt;- Results")</f>
        <v>&lt;- Results</v>
      </c>
      <c r="D10" s="34">
        <v>21</v>
      </c>
      <c r="E10" s="34">
        <v>22</v>
      </c>
      <c r="F10" s="34">
        <v>23</v>
      </c>
      <c r="H10" s="34">
        <f>SUMPRODUCT($D$5:$F$5,D10:F10)</f>
        <v>109.99999999999999</v>
      </c>
      <c r="I10" s="34" t="s">
        <v>5</v>
      </c>
      <c r="J10" s="34">
        <v>150</v>
      </c>
      <c r="N10" t="str">
        <f ca="1">INFO("RELEASE")</f>
        <v>16.0</v>
      </c>
    </row>
    <row r="11" spans="1:14" x14ac:dyDescent="0.3">
      <c r="D11" s="34">
        <v>21</v>
      </c>
      <c r="E11" s="34">
        <v>22</v>
      </c>
      <c r="F11" s="34">
        <v>-23</v>
      </c>
      <c r="H11" s="34">
        <f>SUMPRODUCT($D$5:$F$5,D11:F11)</f>
        <v>109.99999999999999</v>
      </c>
      <c r="I11" s="34" t="s">
        <v>6</v>
      </c>
      <c r="J11" s="34">
        <v>110</v>
      </c>
    </row>
    <row r="12" spans="1:14" x14ac:dyDescent="0.3">
      <c r="D12" s="34">
        <v>19</v>
      </c>
      <c r="E12" s="34">
        <v>34</v>
      </c>
      <c r="F12" s="34">
        <v>-32</v>
      </c>
      <c r="H12" s="34">
        <f>SUMPRODUCT($D$5:$F$5,D12:F12)</f>
        <v>99.523809523809504</v>
      </c>
      <c r="I12" s="34" t="s">
        <v>5</v>
      </c>
      <c r="J12" s="34">
        <v>180</v>
      </c>
    </row>
    <row r="16" spans="1:14" x14ac:dyDescent="0.3">
      <c r="C16" s="3" t="s">
        <v>8</v>
      </c>
    </row>
    <row r="17" spans="1:9" x14ac:dyDescent="0.3">
      <c r="D17" s="34">
        <v>5.2380952380952372</v>
      </c>
      <c r="E17" s="34">
        <v>0</v>
      </c>
      <c r="F17" s="34">
        <v>0</v>
      </c>
    </row>
    <row r="18" spans="1:9" x14ac:dyDescent="0.3">
      <c r="C18" t="s">
        <v>10</v>
      </c>
      <c r="D18" s="2" t="b">
        <f>ABS(D5-D17)/(1+ABS(D17))&lt;=0.000001</f>
        <v>1</v>
      </c>
      <c r="E18" s="2" t="b">
        <f>ABS(E5-E17)/(1+ABS(E17))&lt;=0.000001</f>
        <v>1</v>
      </c>
      <c r="F18" s="2" t="b">
        <f>ABS(F5-F17)/(1+ABS(F17))&lt;=0.000001</f>
        <v>1</v>
      </c>
      <c r="I18" s="34" t="str">
        <f ca="1">INFO("RELEASE")</f>
        <v>16.0</v>
      </c>
    </row>
    <row r="20" spans="1:9" s="34" customFormat="1" x14ac:dyDescent="0.3">
      <c r="A20" s="8"/>
      <c r="C20" s="3" t="s">
        <v>9</v>
      </c>
    </row>
    <row r="21" spans="1:9" s="34" customFormat="1" x14ac:dyDescent="0.3">
      <c r="A21" s="8"/>
      <c r="C21"/>
      <c r="D21" s="34">
        <v>10.476190476190474</v>
      </c>
    </row>
    <row r="22" spans="1:9" s="34" customFormat="1" x14ac:dyDescent="0.3">
      <c r="A22" s="8"/>
      <c r="C22" t="s">
        <v>10</v>
      </c>
      <c r="D22" s="2" t="b">
        <f>ABS(D21-H7)/(1+ABS(D21))&lt;=0.000001</f>
        <v>1</v>
      </c>
    </row>
  </sheetData>
  <dataConsolidate/>
  <dataValidations count="3">
    <dataValidation type="list" errorStyle="warning" allowBlank="1" showInputMessage="1" showErrorMessage="1" sqref="A8" xr:uid="{134D82F1-A086-402D-81A9-262263AE3404}">
      <formula1>OpenSolverResult</formula1>
    </dataValidation>
    <dataValidation type="list" allowBlank="1" showInputMessage="1" showErrorMessage="1" sqref="A4" xr:uid="{CFB7D51A-567C-4122-8D94-846499FE8BF0}">
      <formula1>ModelType</formula1>
    </dataValidation>
    <dataValidation type="list" allowBlank="1" showInputMessage="1" showErrorMessage="1" sqref="A2" xr:uid="{7DA4EED1-B6FF-4D60-B617-5FB14D0E1B66}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617CF-028D-494B-8923-C219959760EF}">
  <sheetPr codeName="BadName8"/>
  <dimension ref="A1:N22"/>
  <sheetViews>
    <sheetView workbookViewId="0">
      <selection activeCell="C2" sqref="C2"/>
    </sheetView>
  </sheetViews>
  <sheetFormatPr defaultColWidth="8.88671875" defaultRowHeight="14.4" x14ac:dyDescent="0.3"/>
  <cols>
    <col min="1" max="1" width="15" style="8" bestFit="1" customWidth="1"/>
    <col min="2" max="2" width="2.33203125" customWidth="1"/>
    <col min="3" max="3" width="4.88671875" customWidth="1"/>
    <col min="4" max="4" width="7.6640625" style="34" customWidth="1"/>
    <col min="5" max="6" width="5.109375" style="34" customWidth="1"/>
    <col min="7" max="7" width="3.109375" style="34" customWidth="1"/>
    <col min="8" max="8" width="8.33203125" style="34" customWidth="1"/>
    <col min="9" max="9" width="3" style="34" bestFit="1" customWidth="1"/>
    <col min="10" max="10" width="6" style="34" customWidth="1"/>
    <col min="14" max="14" width="7.6640625" customWidth="1"/>
  </cols>
  <sheetData>
    <row r="1" spans="1:14" x14ac:dyDescent="0.3">
      <c r="A1" s="10" t="s">
        <v>24</v>
      </c>
      <c r="C1" t="s">
        <v>56</v>
      </c>
    </row>
    <row r="2" spans="1:14" ht="15" thickBot="1" x14ac:dyDescent="0.35">
      <c r="A2" s="11" t="s">
        <v>25</v>
      </c>
    </row>
    <row r="3" spans="1:14" x14ac:dyDescent="0.3">
      <c r="A3" s="10" t="s">
        <v>29</v>
      </c>
    </row>
    <row r="4" spans="1:14" ht="15" thickBot="1" x14ac:dyDescent="0.35">
      <c r="A4" s="11" t="s">
        <v>27</v>
      </c>
      <c r="D4" s="34" t="s">
        <v>1</v>
      </c>
      <c r="E4" s="34" t="s">
        <v>2</v>
      </c>
      <c r="F4" s="34" t="s">
        <v>3</v>
      </c>
    </row>
    <row r="5" spans="1:14" x14ac:dyDescent="0.3">
      <c r="A5" s="10" t="s">
        <v>30</v>
      </c>
      <c r="D5" s="34">
        <v>5.2380952380952372</v>
      </c>
      <c r="E5" s="34">
        <v>0</v>
      </c>
      <c r="F5" s="34">
        <v>0</v>
      </c>
      <c r="H5"/>
      <c r="I5"/>
      <c r="J5"/>
    </row>
    <row r="6" spans="1:14" ht="15" thickBot="1" x14ac:dyDescent="0.35">
      <c r="A6" s="11" t="b">
        <f>AND(D18:F18,D22)</f>
        <v>1</v>
      </c>
    </row>
    <row r="7" spans="1:14" x14ac:dyDescent="0.3">
      <c r="A7" s="10" t="s">
        <v>31</v>
      </c>
      <c r="C7" t="s">
        <v>0</v>
      </c>
      <c r="D7" s="34">
        <v>2</v>
      </c>
      <c r="E7" s="34">
        <v>3</v>
      </c>
      <c r="F7" s="34">
        <v>4</v>
      </c>
      <c r="H7" s="34">
        <f>SUMPRODUCT($D$5:$F$5,D7:F7)</f>
        <v>10.476190476190474</v>
      </c>
    </row>
    <row r="8" spans="1:14" x14ac:dyDescent="0.3">
      <c r="A8" s="12" t="str">
        <f ca="1">IF(VALUE(INFO("RELEASE"))&gt;=16,"Optimal", "ErrorOccurred")</f>
        <v>Optimal</v>
      </c>
    </row>
    <row r="9" spans="1:14" ht="15" thickBot="1" x14ac:dyDescent="0.35">
      <c r="A9" s="11">
        <f ca="1">VLOOKUP(A8,OpenSolverResultCodes,2,FALSE)</f>
        <v>0</v>
      </c>
      <c r="C9" t="s">
        <v>4</v>
      </c>
      <c r="D9" s="34">
        <v>10</v>
      </c>
      <c r="E9" s="34">
        <v>11</v>
      </c>
      <c r="F9" s="34">
        <v>12</v>
      </c>
      <c r="H9" s="34">
        <f>SUMPRODUCT($D$5:$F$5,D9:F9)+5*P8</f>
        <v>52.380952380952372</v>
      </c>
      <c r="I9" s="34" t="s">
        <v>5</v>
      </c>
      <c r="J9" s="34">
        <v>60</v>
      </c>
    </row>
    <row r="10" spans="1:14" ht="15" thickBot="1" x14ac:dyDescent="0.35">
      <c r="A10" s="25" t="str">
        <f>HYPERLINK("[OpenSolver SheetNameCharTester.xlsm]Results!A1", "&lt;- Results")</f>
        <v>&lt;- Results</v>
      </c>
      <c r="D10" s="34">
        <v>21</v>
      </c>
      <c r="E10" s="34">
        <v>22</v>
      </c>
      <c r="F10" s="34">
        <v>23</v>
      </c>
      <c r="H10" s="34">
        <f>SUMPRODUCT($D$5:$F$5,D10:F10)</f>
        <v>109.99999999999999</v>
      </c>
      <c r="I10" s="34" t="s">
        <v>5</v>
      </c>
      <c r="J10" s="34">
        <v>150</v>
      </c>
      <c r="N10" t="str">
        <f ca="1">INFO("RELEASE")</f>
        <v>16.0</v>
      </c>
    </row>
    <row r="11" spans="1:14" x14ac:dyDescent="0.3">
      <c r="D11" s="34">
        <v>21</v>
      </c>
      <c r="E11" s="34">
        <v>22</v>
      </c>
      <c r="F11" s="34">
        <v>-23</v>
      </c>
      <c r="H11" s="34">
        <f>SUMPRODUCT($D$5:$F$5,D11:F11)</f>
        <v>109.99999999999999</v>
      </c>
      <c r="I11" s="34" t="s">
        <v>6</v>
      </c>
      <c r="J11" s="34">
        <v>110</v>
      </c>
    </row>
    <row r="12" spans="1:14" x14ac:dyDescent="0.3">
      <c r="D12" s="34">
        <v>19</v>
      </c>
      <c r="E12" s="34">
        <v>34</v>
      </c>
      <c r="F12" s="34">
        <v>-32</v>
      </c>
      <c r="H12" s="34">
        <f>SUMPRODUCT($D$5:$F$5,D12:F12)</f>
        <v>99.523809523809504</v>
      </c>
      <c r="I12" s="34" t="s">
        <v>5</v>
      </c>
      <c r="J12" s="34">
        <v>180</v>
      </c>
    </row>
    <row r="16" spans="1:14" x14ac:dyDescent="0.3">
      <c r="C16" s="3" t="s">
        <v>8</v>
      </c>
    </row>
    <row r="17" spans="1:9" x14ac:dyDescent="0.3">
      <c r="D17" s="34">
        <v>5.2380952380952372</v>
      </c>
      <c r="E17" s="34">
        <v>0</v>
      </c>
      <c r="F17" s="34">
        <v>0</v>
      </c>
    </row>
    <row r="18" spans="1:9" x14ac:dyDescent="0.3">
      <c r="C18" t="s">
        <v>10</v>
      </c>
      <c r="D18" s="2" t="b">
        <f>ABS(D5-D17)/(1+ABS(D17))&lt;=0.000001</f>
        <v>1</v>
      </c>
      <c r="E18" s="2" t="b">
        <f>ABS(E5-E17)/(1+ABS(E17))&lt;=0.000001</f>
        <v>1</v>
      </c>
      <c r="F18" s="2" t="b">
        <f>ABS(F5-F17)/(1+ABS(F17))&lt;=0.000001</f>
        <v>1</v>
      </c>
      <c r="I18" s="34" t="str">
        <f ca="1">INFO("RELEASE")</f>
        <v>16.0</v>
      </c>
    </row>
    <row r="20" spans="1:9" s="34" customFormat="1" x14ac:dyDescent="0.3">
      <c r="A20" s="8"/>
      <c r="C20" s="3" t="s">
        <v>9</v>
      </c>
    </row>
    <row r="21" spans="1:9" s="34" customFormat="1" x14ac:dyDescent="0.3">
      <c r="A21" s="8"/>
      <c r="C21"/>
      <c r="D21" s="34">
        <v>10.476190476190474</v>
      </c>
    </row>
    <row r="22" spans="1:9" s="34" customFormat="1" x14ac:dyDescent="0.3">
      <c r="A22" s="8"/>
      <c r="C22" t="s">
        <v>10</v>
      </c>
      <c r="D22" s="2" t="b">
        <f>ABS(D21-H7)/(1+ABS(D21))&lt;=0.000001</f>
        <v>1</v>
      </c>
    </row>
  </sheetData>
  <dataConsolidate/>
  <dataValidations count="3">
    <dataValidation type="list" errorStyle="warning" allowBlank="1" showInputMessage="1" showErrorMessage="1" sqref="A8" xr:uid="{E70CB619-BD76-4BBF-A239-D35714F0DF3E}">
      <formula1>OpenSolverResult</formula1>
    </dataValidation>
    <dataValidation type="list" allowBlank="1" showInputMessage="1" showErrorMessage="1" sqref="A4" xr:uid="{5E009C89-15AB-4A90-88A0-46B14725B72E}">
      <formula1>ModelType</formula1>
    </dataValidation>
    <dataValidation type="list" allowBlank="1" showInputMessage="1" showErrorMessage="1" sqref="A2" xr:uid="{E30B7F41-29FE-43E4-B06E-01ABB1F387A5}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C37FE-187C-44B8-8187-1A74A237DC7B}">
  <sheetPr codeName="BadName9"/>
  <dimension ref="A1:N22"/>
  <sheetViews>
    <sheetView workbookViewId="0">
      <selection activeCell="C1" sqref="C1"/>
    </sheetView>
  </sheetViews>
  <sheetFormatPr defaultColWidth="8.88671875" defaultRowHeight="14.4" x14ac:dyDescent="0.3"/>
  <cols>
    <col min="1" max="1" width="15" style="8" bestFit="1" customWidth="1"/>
    <col min="2" max="2" width="2.33203125" customWidth="1"/>
    <col min="3" max="3" width="4.88671875" customWidth="1"/>
    <col min="4" max="4" width="7.6640625" style="34" customWidth="1"/>
    <col min="5" max="6" width="5.109375" style="34" customWidth="1"/>
    <col min="7" max="7" width="3.109375" style="34" customWidth="1"/>
    <col min="8" max="8" width="8.33203125" style="34" customWidth="1"/>
    <col min="9" max="9" width="3" style="34" bestFit="1" customWidth="1"/>
    <col min="10" max="10" width="6" style="34" customWidth="1"/>
    <col min="14" max="14" width="7.6640625" customWidth="1"/>
  </cols>
  <sheetData>
    <row r="1" spans="1:14" x14ac:dyDescent="0.3">
      <c r="A1" s="10" t="s">
        <v>24</v>
      </c>
      <c r="C1" t="s">
        <v>57</v>
      </c>
    </row>
    <row r="2" spans="1:14" ht="15" thickBot="1" x14ac:dyDescent="0.35">
      <c r="A2" s="11" t="s">
        <v>25</v>
      </c>
    </row>
    <row r="3" spans="1:14" x14ac:dyDescent="0.3">
      <c r="A3" s="10" t="s">
        <v>29</v>
      </c>
    </row>
    <row r="4" spans="1:14" ht="15" thickBot="1" x14ac:dyDescent="0.35">
      <c r="A4" s="11" t="s">
        <v>27</v>
      </c>
      <c r="D4" s="34" t="s">
        <v>1</v>
      </c>
      <c r="E4" s="34" t="s">
        <v>2</v>
      </c>
      <c r="F4" s="34" t="s">
        <v>3</v>
      </c>
    </row>
    <row r="5" spans="1:14" x14ac:dyDescent="0.3">
      <c r="A5" s="10" t="s">
        <v>30</v>
      </c>
      <c r="D5" s="34">
        <v>5.2380952380952372</v>
      </c>
      <c r="E5" s="34">
        <v>0</v>
      </c>
      <c r="F5" s="34">
        <v>0</v>
      </c>
      <c r="H5"/>
      <c r="I5"/>
      <c r="J5"/>
    </row>
    <row r="6" spans="1:14" ht="15" thickBot="1" x14ac:dyDescent="0.35">
      <c r="A6" s="11" t="b">
        <f>AND(D18:F18,D22)</f>
        <v>1</v>
      </c>
    </row>
    <row r="7" spans="1:14" x14ac:dyDescent="0.3">
      <c r="A7" s="10" t="s">
        <v>31</v>
      </c>
      <c r="C7" t="s">
        <v>0</v>
      </c>
      <c r="D7" s="34">
        <v>2</v>
      </c>
      <c r="E7" s="34">
        <v>3</v>
      </c>
      <c r="F7" s="34">
        <v>4</v>
      </c>
      <c r="H7" s="34">
        <f>SUMPRODUCT($D$5:$F$5,D7:F7)</f>
        <v>10.476190476190474</v>
      </c>
    </row>
    <row r="8" spans="1:14" x14ac:dyDescent="0.3">
      <c r="A8" s="12" t="str">
        <f ca="1">IF(VALUE(INFO("RELEASE"))&gt;=16,"Optimal", "ErrorOccurred")</f>
        <v>Optimal</v>
      </c>
    </row>
    <row r="9" spans="1:14" ht="15" thickBot="1" x14ac:dyDescent="0.35">
      <c r="A9" s="11">
        <f ca="1">VLOOKUP(A8,OpenSolverResultCodes,2,FALSE)</f>
        <v>0</v>
      </c>
      <c r="C9" t="s">
        <v>4</v>
      </c>
      <c r="D9" s="34">
        <v>10</v>
      </c>
      <c r="E9" s="34">
        <v>11</v>
      </c>
      <c r="F9" s="34">
        <v>12</v>
      </c>
      <c r="H9" s="34">
        <f>SUMPRODUCT($D$5:$F$5,D9:F9)+5*P8</f>
        <v>52.380952380952372</v>
      </c>
      <c r="I9" s="34" t="s">
        <v>5</v>
      </c>
      <c r="J9" s="34">
        <v>60</v>
      </c>
    </row>
    <row r="10" spans="1:14" ht="15" thickBot="1" x14ac:dyDescent="0.35">
      <c r="A10" s="25" t="str">
        <f>HYPERLINK("[OpenSolver SheetNameCharTester.xlsm]Results!A1", "&lt;- Results")</f>
        <v>&lt;- Results</v>
      </c>
      <c r="D10" s="34">
        <v>21</v>
      </c>
      <c r="E10" s="34">
        <v>22</v>
      </c>
      <c r="F10" s="34">
        <v>23</v>
      </c>
      <c r="H10" s="34">
        <f>SUMPRODUCT($D$5:$F$5,D10:F10)</f>
        <v>109.99999999999999</v>
      </c>
      <c r="I10" s="34" t="s">
        <v>5</v>
      </c>
      <c r="J10" s="34">
        <v>150</v>
      </c>
      <c r="N10" t="str">
        <f ca="1">INFO("RELEASE")</f>
        <v>16.0</v>
      </c>
    </row>
    <row r="11" spans="1:14" x14ac:dyDescent="0.3">
      <c r="D11" s="34">
        <v>21</v>
      </c>
      <c r="E11" s="34">
        <v>22</v>
      </c>
      <c r="F11" s="34">
        <v>-23</v>
      </c>
      <c r="H11" s="34">
        <f>SUMPRODUCT($D$5:$F$5,D11:F11)</f>
        <v>109.99999999999999</v>
      </c>
      <c r="I11" s="34" t="s">
        <v>6</v>
      </c>
      <c r="J11" s="34">
        <v>110</v>
      </c>
    </row>
    <row r="12" spans="1:14" x14ac:dyDescent="0.3">
      <c r="D12" s="34">
        <v>19</v>
      </c>
      <c r="E12" s="34">
        <v>34</v>
      </c>
      <c r="F12" s="34">
        <v>-32</v>
      </c>
      <c r="H12" s="34">
        <f>SUMPRODUCT($D$5:$F$5,D12:F12)</f>
        <v>99.523809523809504</v>
      </c>
      <c r="I12" s="34" t="s">
        <v>5</v>
      </c>
      <c r="J12" s="34">
        <v>180</v>
      </c>
    </row>
    <row r="16" spans="1:14" x14ac:dyDescent="0.3">
      <c r="C16" s="3" t="s">
        <v>8</v>
      </c>
    </row>
    <row r="17" spans="1:9" x14ac:dyDescent="0.3">
      <c r="D17" s="34">
        <v>5.2380952380952372</v>
      </c>
      <c r="E17" s="34">
        <v>0</v>
      </c>
      <c r="F17" s="34">
        <v>0</v>
      </c>
    </row>
    <row r="18" spans="1:9" x14ac:dyDescent="0.3">
      <c r="C18" t="s">
        <v>10</v>
      </c>
      <c r="D18" s="2" t="b">
        <f>ABS(D5-D17)/(1+ABS(D17))&lt;=0.000001</f>
        <v>1</v>
      </c>
      <c r="E18" s="2" t="b">
        <f>ABS(E5-E17)/(1+ABS(E17))&lt;=0.000001</f>
        <v>1</v>
      </c>
      <c r="F18" s="2" t="b">
        <f>ABS(F5-F17)/(1+ABS(F17))&lt;=0.000001</f>
        <v>1</v>
      </c>
      <c r="I18" s="34" t="str">
        <f ca="1">INFO("RELEASE")</f>
        <v>16.0</v>
      </c>
    </row>
    <row r="20" spans="1:9" s="34" customFormat="1" x14ac:dyDescent="0.3">
      <c r="A20" s="8"/>
      <c r="C20" s="3" t="s">
        <v>9</v>
      </c>
    </row>
    <row r="21" spans="1:9" s="34" customFormat="1" x14ac:dyDescent="0.3">
      <c r="A21" s="8"/>
      <c r="C21"/>
      <c r="D21" s="34">
        <v>10.476190476190474</v>
      </c>
    </row>
    <row r="22" spans="1:9" s="34" customFormat="1" x14ac:dyDescent="0.3">
      <c r="A22" s="8"/>
      <c r="C22" t="s">
        <v>10</v>
      </c>
      <c r="D22" s="2" t="b">
        <f>ABS(D21-H7)/(1+ABS(D21))&lt;=0.000001</f>
        <v>1</v>
      </c>
    </row>
  </sheetData>
  <dataConsolidate/>
  <dataValidations count="3">
    <dataValidation type="list" allowBlank="1" showInputMessage="1" showErrorMessage="1" sqref="A2" xr:uid="{EC0F7B40-A83C-49C8-8FF0-3839DD149426}">
      <formula1>TestType</formula1>
    </dataValidation>
    <dataValidation type="list" allowBlank="1" showInputMessage="1" showErrorMessage="1" sqref="A4" xr:uid="{710B778B-8112-41F3-8802-385C61E18A25}">
      <formula1>ModelType</formula1>
    </dataValidation>
    <dataValidation type="list" errorStyle="warning" allowBlank="1" showInputMessage="1" showErrorMessage="1" sqref="A8" xr:uid="{5852607E-46C6-442B-A77E-02715C2B54B4}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F36B33-ED63-4F60-AEFA-B74BC1423EEA}">
  <sheetPr codeName="BadName10"/>
  <dimension ref="A1:N22"/>
  <sheetViews>
    <sheetView workbookViewId="0">
      <selection activeCell="C2" sqref="C2"/>
    </sheetView>
  </sheetViews>
  <sheetFormatPr defaultColWidth="8.88671875" defaultRowHeight="14.4" x14ac:dyDescent="0.3"/>
  <cols>
    <col min="1" max="1" width="15" style="8" bestFit="1" customWidth="1"/>
    <col min="2" max="2" width="2.33203125" customWidth="1"/>
    <col min="3" max="3" width="4.88671875" customWidth="1"/>
    <col min="4" max="4" width="7.6640625" style="34" customWidth="1"/>
    <col min="5" max="6" width="5.109375" style="34" customWidth="1"/>
    <col min="7" max="7" width="3.109375" style="34" customWidth="1"/>
    <col min="8" max="8" width="8.33203125" style="34" customWidth="1"/>
    <col min="9" max="9" width="3" style="34" bestFit="1" customWidth="1"/>
    <col min="10" max="10" width="6" style="34" customWidth="1"/>
    <col min="14" max="14" width="7.6640625" customWidth="1"/>
  </cols>
  <sheetData>
    <row r="1" spans="1:14" x14ac:dyDescent="0.3">
      <c r="A1" s="10" t="s">
        <v>24</v>
      </c>
      <c r="C1" t="s">
        <v>58</v>
      </c>
    </row>
    <row r="2" spans="1:14" ht="15" thickBot="1" x14ac:dyDescent="0.35">
      <c r="A2" s="11" t="s">
        <v>25</v>
      </c>
    </row>
    <row r="3" spans="1:14" x14ac:dyDescent="0.3">
      <c r="A3" s="10" t="s">
        <v>29</v>
      </c>
    </row>
    <row r="4" spans="1:14" ht="15" thickBot="1" x14ac:dyDescent="0.35">
      <c r="A4" s="11" t="s">
        <v>27</v>
      </c>
      <c r="D4" s="34" t="s">
        <v>1</v>
      </c>
      <c r="E4" s="34" t="s">
        <v>2</v>
      </c>
      <c r="F4" s="34" t="s">
        <v>3</v>
      </c>
    </row>
    <row r="5" spans="1:14" x14ac:dyDescent="0.3">
      <c r="A5" s="10" t="s">
        <v>30</v>
      </c>
      <c r="D5" s="34">
        <v>5.2380952380952372</v>
      </c>
      <c r="E5" s="34">
        <v>0</v>
      </c>
      <c r="F5" s="34">
        <v>0</v>
      </c>
      <c r="H5"/>
      <c r="I5"/>
      <c r="J5"/>
    </row>
    <row r="6" spans="1:14" ht="15" thickBot="1" x14ac:dyDescent="0.35">
      <c r="A6" s="11" t="b">
        <f>AND(D18:F18,D22)</f>
        <v>1</v>
      </c>
    </row>
    <row r="7" spans="1:14" x14ac:dyDescent="0.3">
      <c r="A7" s="10" t="s">
        <v>31</v>
      </c>
      <c r="C7" t="s">
        <v>0</v>
      </c>
      <c r="D7" s="34">
        <v>2</v>
      </c>
      <c r="E7" s="34">
        <v>3</v>
      </c>
      <c r="F7" s="34">
        <v>4</v>
      </c>
      <c r="H7" s="34">
        <f>SUMPRODUCT($D$5:$F$5,D7:F7)</f>
        <v>10.476190476190474</v>
      </c>
    </row>
    <row r="8" spans="1:14" x14ac:dyDescent="0.3">
      <c r="A8" s="12" t="str">
        <f ca="1">IF(VALUE(INFO("RELEASE"))&gt;=16,"Optimal", "ErrorOccurred")</f>
        <v>Optimal</v>
      </c>
    </row>
    <row r="9" spans="1:14" ht="15" thickBot="1" x14ac:dyDescent="0.35">
      <c r="A9" s="11">
        <f ca="1">VLOOKUP(A8,OpenSolverResultCodes,2,FALSE)</f>
        <v>0</v>
      </c>
      <c r="C9" t="s">
        <v>4</v>
      </c>
      <c r="D9" s="34">
        <v>10</v>
      </c>
      <c r="E9" s="34">
        <v>11</v>
      </c>
      <c r="F9" s="34">
        <v>12</v>
      </c>
      <c r="H9" s="34">
        <f>SUMPRODUCT($D$5:$F$5,D9:F9)+5*P8</f>
        <v>52.380952380952372</v>
      </c>
      <c r="I9" s="34" t="s">
        <v>5</v>
      </c>
      <c r="J9" s="34">
        <v>60</v>
      </c>
    </row>
    <row r="10" spans="1:14" ht="15" thickBot="1" x14ac:dyDescent="0.35">
      <c r="A10" s="25" t="str">
        <f>HYPERLINK("[OpenSolver SheetNameCharTester.xlsm]Results!A1", "&lt;- Results")</f>
        <v>&lt;- Results</v>
      </c>
      <c r="D10" s="34">
        <v>21</v>
      </c>
      <c r="E10" s="34">
        <v>22</v>
      </c>
      <c r="F10" s="34">
        <v>23</v>
      </c>
      <c r="H10" s="34">
        <f>SUMPRODUCT($D$5:$F$5,D10:F10)</f>
        <v>109.99999999999999</v>
      </c>
      <c r="I10" s="34" t="s">
        <v>5</v>
      </c>
      <c r="J10" s="34">
        <v>150</v>
      </c>
      <c r="N10" t="str">
        <f ca="1">INFO("RELEASE")</f>
        <v>16.0</v>
      </c>
    </row>
    <row r="11" spans="1:14" x14ac:dyDescent="0.3">
      <c r="D11" s="34">
        <v>21</v>
      </c>
      <c r="E11" s="34">
        <v>22</v>
      </c>
      <c r="F11" s="34">
        <v>-23</v>
      </c>
      <c r="H11" s="34">
        <f>SUMPRODUCT($D$5:$F$5,D11:F11)</f>
        <v>109.99999999999999</v>
      </c>
      <c r="I11" s="34" t="s">
        <v>6</v>
      </c>
      <c r="J11" s="34">
        <v>110</v>
      </c>
    </row>
    <row r="12" spans="1:14" x14ac:dyDescent="0.3">
      <c r="D12" s="34">
        <v>19</v>
      </c>
      <c r="E12" s="34">
        <v>34</v>
      </c>
      <c r="F12" s="34">
        <v>-32</v>
      </c>
      <c r="H12" s="34">
        <f>SUMPRODUCT($D$5:$F$5,D12:F12)</f>
        <v>99.523809523809504</v>
      </c>
      <c r="I12" s="34" t="s">
        <v>5</v>
      </c>
      <c r="J12" s="34">
        <v>180</v>
      </c>
    </row>
    <row r="16" spans="1:14" x14ac:dyDescent="0.3">
      <c r="C16" s="3" t="s">
        <v>8</v>
      </c>
    </row>
    <row r="17" spans="1:9" x14ac:dyDescent="0.3">
      <c r="D17" s="34">
        <v>5.2380952380952372</v>
      </c>
      <c r="E17" s="34">
        <v>0</v>
      </c>
      <c r="F17" s="34">
        <v>0</v>
      </c>
    </row>
    <row r="18" spans="1:9" x14ac:dyDescent="0.3">
      <c r="C18" t="s">
        <v>10</v>
      </c>
      <c r="D18" s="2" t="b">
        <f>ABS(D5-D17)/(1+ABS(D17))&lt;=0.000001</f>
        <v>1</v>
      </c>
      <c r="E18" s="2" t="b">
        <f>ABS(E5-E17)/(1+ABS(E17))&lt;=0.000001</f>
        <v>1</v>
      </c>
      <c r="F18" s="2" t="b">
        <f>ABS(F5-F17)/(1+ABS(F17))&lt;=0.000001</f>
        <v>1</v>
      </c>
      <c r="I18" s="34" t="str">
        <f ca="1">INFO("RELEASE")</f>
        <v>16.0</v>
      </c>
    </row>
    <row r="20" spans="1:9" s="34" customFormat="1" x14ac:dyDescent="0.3">
      <c r="A20" s="8"/>
      <c r="C20" s="3" t="s">
        <v>9</v>
      </c>
    </row>
    <row r="21" spans="1:9" s="34" customFormat="1" x14ac:dyDescent="0.3">
      <c r="A21" s="8"/>
      <c r="C21"/>
      <c r="D21" s="34">
        <v>10.476190476190474</v>
      </c>
    </row>
    <row r="22" spans="1:9" s="34" customFormat="1" x14ac:dyDescent="0.3">
      <c r="A22" s="8"/>
      <c r="C22" t="s">
        <v>10</v>
      </c>
      <c r="D22" s="2" t="b">
        <f>ABS(D21-H7)/(1+ABS(D21))&lt;=0.000001</f>
        <v>1</v>
      </c>
    </row>
  </sheetData>
  <dataConsolidate/>
  <dataValidations count="3">
    <dataValidation type="list" errorStyle="warning" allowBlank="1" showInputMessage="1" showErrorMessage="1" sqref="A8" xr:uid="{C02B8104-2062-4EB8-975C-41727DAD032C}">
      <formula1>OpenSolverResult</formula1>
    </dataValidation>
    <dataValidation type="list" allowBlank="1" showInputMessage="1" showErrorMessage="1" sqref="A4" xr:uid="{0500C05E-3C02-45D1-834F-CD8FF6D5A39B}">
      <formula1>ModelType</formula1>
    </dataValidation>
    <dataValidation type="list" allowBlank="1" showInputMessage="1" showErrorMessage="1" sqref="A2" xr:uid="{10BE2199-0A55-442D-A648-190206885344}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8F417-6129-4115-AF65-6F59BBC4BFCF}">
  <sheetPr codeName="BadName11"/>
  <dimension ref="A1:N22"/>
  <sheetViews>
    <sheetView workbookViewId="0">
      <selection activeCell="Q8" sqref="Q8"/>
    </sheetView>
  </sheetViews>
  <sheetFormatPr defaultColWidth="8.88671875" defaultRowHeight="14.4" x14ac:dyDescent="0.3"/>
  <cols>
    <col min="1" max="1" width="15" style="8" bestFit="1" customWidth="1"/>
    <col min="2" max="2" width="2.33203125" customWidth="1"/>
    <col min="3" max="3" width="4.88671875" customWidth="1"/>
    <col min="4" max="4" width="7.6640625" style="34" customWidth="1"/>
    <col min="5" max="6" width="5.109375" style="34" customWidth="1"/>
    <col min="7" max="7" width="3.109375" style="34" customWidth="1"/>
    <col min="8" max="8" width="8.33203125" style="34" customWidth="1"/>
    <col min="9" max="9" width="3" style="34" bestFit="1" customWidth="1"/>
    <col min="10" max="10" width="6" style="34" customWidth="1"/>
    <col min="14" max="14" width="7.6640625" customWidth="1"/>
  </cols>
  <sheetData>
    <row r="1" spans="1:14" x14ac:dyDescent="0.3">
      <c r="A1" s="10" t="s">
        <v>24</v>
      </c>
      <c r="C1" t="s">
        <v>59</v>
      </c>
    </row>
    <row r="2" spans="1:14" ht="15" thickBot="1" x14ac:dyDescent="0.35">
      <c r="A2" s="11" t="s">
        <v>25</v>
      </c>
    </row>
    <row r="3" spans="1:14" x14ac:dyDescent="0.3">
      <c r="A3" s="10" t="s">
        <v>29</v>
      </c>
    </row>
    <row r="4" spans="1:14" ht="15" thickBot="1" x14ac:dyDescent="0.35">
      <c r="A4" s="11" t="s">
        <v>27</v>
      </c>
      <c r="D4" s="34" t="s">
        <v>1</v>
      </c>
      <c r="E4" s="34" t="s">
        <v>2</v>
      </c>
      <c r="F4" s="34" t="s">
        <v>3</v>
      </c>
    </row>
    <row r="5" spans="1:14" x14ac:dyDescent="0.3">
      <c r="A5" s="10" t="s">
        <v>30</v>
      </c>
      <c r="D5" s="34">
        <v>5.2380952380952372</v>
      </c>
      <c r="E5" s="34">
        <v>0</v>
      </c>
      <c r="F5" s="34">
        <v>0</v>
      </c>
      <c r="H5"/>
      <c r="I5"/>
      <c r="J5"/>
    </row>
    <row r="6" spans="1:14" ht="15" thickBot="1" x14ac:dyDescent="0.35">
      <c r="A6" s="11" t="b">
        <f>AND(D18:F18,D22)</f>
        <v>1</v>
      </c>
    </row>
    <row r="7" spans="1:14" x14ac:dyDescent="0.3">
      <c r="A7" s="10" t="s">
        <v>31</v>
      </c>
      <c r="C7" t="s">
        <v>0</v>
      </c>
      <c r="D7" s="34">
        <v>2</v>
      </c>
      <c r="E7" s="34">
        <v>3</v>
      </c>
      <c r="F7" s="34">
        <v>4</v>
      </c>
      <c r="H7" s="34">
        <f>SUMPRODUCT($D$5:$F$5,D7:F7)</f>
        <v>10.476190476190474</v>
      </c>
    </row>
    <row r="8" spans="1:14" x14ac:dyDescent="0.3">
      <c r="A8" s="12" t="str">
        <f ca="1">IF(VALUE(INFO("RELEASE"))&gt;=16,"Optimal", "ErrorOccurred")</f>
        <v>Optimal</v>
      </c>
    </row>
    <row r="9" spans="1:14" ht="15" thickBot="1" x14ac:dyDescent="0.35">
      <c r="A9" s="11">
        <f ca="1">VLOOKUP(A8,OpenSolverResultCodes,2,FALSE)</f>
        <v>0</v>
      </c>
      <c r="C9" t="s">
        <v>4</v>
      </c>
      <c r="D9" s="34">
        <v>10</v>
      </c>
      <c r="E9" s="34">
        <v>11</v>
      </c>
      <c r="F9" s="34">
        <v>12</v>
      </c>
      <c r="H9" s="34">
        <f>SUMPRODUCT($D$5:$F$5,D9:F9)+5*P8</f>
        <v>52.380952380952372</v>
      </c>
      <c r="I9" s="34" t="s">
        <v>5</v>
      </c>
      <c r="J9" s="34">
        <v>60</v>
      </c>
    </row>
    <row r="10" spans="1:14" ht="15" thickBot="1" x14ac:dyDescent="0.35">
      <c r="A10" s="25" t="str">
        <f>HYPERLINK("[OpenSolver SheetNameCharTester.xlsm]Results!A1", "&lt;- Results")</f>
        <v>&lt;- Results</v>
      </c>
      <c r="D10" s="34">
        <v>21</v>
      </c>
      <c r="E10" s="34">
        <v>22</v>
      </c>
      <c r="F10" s="34">
        <v>23</v>
      </c>
      <c r="H10" s="34">
        <f>SUMPRODUCT($D$5:$F$5,D10:F10)</f>
        <v>109.99999999999999</v>
      </c>
      <c r="I10" s="34" t="s">
        <v>5</v>
      </c>
      <c r="J10" s="34">
        <v>150</v>
      </c>
      <c r="N10" t="str">
        <f ca="1">INFO("RELEASE")</f>
        <v>16.0</v>
      </c>
    </row>
    <row r="11" spans="1:14" x14ac:dyDescent="0.3">
      <c r="D11" s="34">
        <v>21</v>
      </c>
      <c r="E11" s="34">
        <v>22</v>
      </c>
      <c r="F11" s="34">
        <v>-23</v>
      </c>
      <c r="H11" s="34">
        <f>SUMPRODUCT($D$5:$F$5,D11:F11)</f>
        <v>109.99999999999999</v>
      </c>
      <c r="I11" s="34" t="s">
        <v>6</v>
      </c>
      <c r="J11" s="34">
        <v>110</v>
      </c>
    </row>
    <row r="12" spans="1:14" x14ac:dyDescent="0.3">
      <c r="D12" s="34">
        <v>19</v>
      </c>
      <c r="E12" s="34">
        <v>34</v>
      </c>
      <c r="F12" s="34">
        <v>-32</v>
      </c>
      <c r="H12" s="34">
        <f>SUMPRODUCT($D$5:$F$5,D12:F12)</f>
        <v>99.523809523809504</v>
      </c>
      <c r="I12" s="34" t="s">
        <v>5</v>
      </c>
      <c r="J12" s="34">
        <v>180</v>
      </c>
    </row>
    <row r="16" spans="1:14" x14ac:dyDescent="0.3">
      <c r="C16" s="3" t="s">
        <v>8</v>
      </c>
    </row>
    <row r="17" spans="1:9" x14ac:dyDescent="0.3">
      <c r="D17" s="34">
        <v>5.2380952380952372</v>
      </c>
      <c r="E17" s="34">
        <v>0</v>
      </c>
      <c r="F17" s="34">
        <v>0</v>
      </c>
    </row>
    <row r="18" spans="1:9" x14ac:dyDescent="0.3">
      <c r="C18" t="s">
        <v>10</v>
      </c>
      <c r="D18" s="2" t="b">
        <f>ABS(D5-D17)/(1+ABS(D17))&lt;=0.000001</f>
        <v>1</v>
      </c>
      <c r="E18" s="2" t="b">
        <f>ABS(E5-E17)/(1+ABS(E17))&lt;=0.000001</f>
        <v>1</v>
      </c>
      <c r="F18" s="2" t="b">
        <f>ABS(F5-F17)/(1+ABS(F17))&lt;=0.000001</f>
        <v>1</v>
      </c>
      <c r="I18" s="34" t="str">
        <f ca="1">INFO("RELEASE")</f>
        <v>16.0</v>
      </c>
    </row>
    <row r="20" spans="1:9" s="34" customFormat="1" x14ac:dyDescent="0.3">
      <c r="A20" s="8"/>
      <c r="C20" s="3" t="s">
        <v>9</v>
      </c>
    </row>
    <row r="21" spans="1:9" s="34" customFormat="1" x14ac:dyDescent="0.3">
      <c r="A21" s="8"/>
      <c r="C21"/>
      <c r="D21" s="34">
        <v>10.476190476190474</v>
      </c>
    </row>
    <row r="22" spans="1:9" s="34" customFormat="1" x14ac:dyDescent="0.3">
      <c r="A22" s="8"/>
      <c r="C22" t="s">
        <v>10</v>
      </c>
      <c r="D22" s="2" t="b">
        <f>ABS(D21-H7)/(1+ABS(D21))&lt;=0.000001</f>
        <v>1</v>
      </c>
    </row>
  </sheetData>
  <dataConsolidate/>
  <dataValidations count="3">
    <dataValidation type="list" errorStyle="warning" allowBlank="1" showInputMessage="1" showErrorMessage="1" sqref="A8" xr:uid="{8BB624FA-A61A-4D68-B93A-0E3F2EF149DD}">
      <formula1>OpenSolverResult</formula1>
    </dataValidation>
    <dataValidation type="list" allowBlank="1" showInputMessage="1" showErrorMessage="1" sqref="A4" xr:uid="{4A2A5F8E-2F6C-47F5-92CE-F73DD7D5E5B2}">
      <formula1>ModelType</formula1>
    </dataValidation>
    <dataValidation type="list" allowBlank="1" showInputMessage="1" showErrorMessage="1" sqref="A2" xr:uid="{EE09FEE7-1DA9-4F51-AE61-37FBFC35E594}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C7585-9359-4ABB-86E6-0B14D29C1949}">
  <sheetPr codeName="BadName12"/>
  <dimension ref="A1:N22"/>
  <sheetViews>
    <sheetView workbookViewId="0">
      <selection activeCell="C2" sqref="C2"/>
    </sheetView>
  </sheetViews>
  <sheetFormatPr defaultColWidth="8.88671875" defaultRowHeight="14.4" x14ac:dyDescent="0.3"/>
  <cols>
    <col min="1" max="1" width="15" style="8" bestFit="1" customWidth="1"/>
    <col min="2" max="2" width="2.33203125" customWidth="1"/>
    <col min="3" max="3" width="4.88671875" customWidth="1"/>
    <col min="4" max="4" width="7.6640625" style="34" customWidth="1"/>
    <col min="5" max="6" width="5.109375" style="34" customWidth="1"/>
    <col min="7" max="7" width="3.109375" style="34" customWidth="1"/>
    <col min="8" max="8" width="8.33203125" style="34" customWidth="1"/>
    <col min="9" max="9" width="3" style="34" bestFit="1" customWidth="1"/>
    <col min="10" max="10" width="6" style="34" customWidth="1"/>
    <col min="14" max="14" width="7.6640625" customWidth="1"/>
  </cols>
  <sheetData>
    <row r="1" spans="1:14" x14ac:dyDescent="0.3">
      <c r="A1" s="10" t="s">
        <v>24</v>
      </c>
      <c r="C1" t="s">
        <v>60</v>
      </c>
    </row>
    <row r="2" spans="1:14" ht="15" thickBot="1" x14ac:dyDescent="0.35">
      <c r="A2" s="11" t="s">
        <v>25</v>
      </c>
    </row>
    <row r="3" spans="1:14" x14ac:dyDescent="0.3">
      <c r="A3" s="10" t="s">
        <v>29</v>
      </c>
    </row>
    <row r="4" spans="1:14" ht="15" thickBot="1" x14ac:dyDescent="0.35">
      <c r="A4" s="11" t="s">
        <v>27</v>
      </c>
      <c r="D4" s="34" t="s">
        <v>1</v>
      </c>
      <c r="E4" s="34" t="s">
        <v>2</v>
      </c>
      <c r="F4" s="34" t="s">
        <v>3</v>
      </c>
    </row>
    <row r="5" spans="1:14" x14ac:dyDescent="0.3">
      <c r="A5" s="10" t="s">
        <v>30</v>
      </c>
      <c r="D5" s="34">
        <v>5.2380952380952372</v>
      </c>
      <c r="E5" s="34">
        <v>0</v>
      </c>
      <c r="F5" s="34">
        <v>0</v>
      </c>
      <c r="H5"/>
      <c r="I5"/>
      <c r="J5"/>
    </row>
    <row r="6" spans="1:14" ht="15" thickBot="1" x14ac:dyDescent="0.35">
      <c r="A6" s="11" t="b">
        <f>AND(D18:F18,D22)</f>
        <v>1</v>
      </c>
    </row>
    <row r="7" spans="1:14" x14ac:dyDescent="0.3">
      <c r="A7" s="10" t="s">
        <v>31</v>
      </c>
      <c r="C7" t="s">
        <v>0</v>
      </c>
      <c r="D7" s="34">
        <v>2</v>
      </c>
      <c r="E7" s="34">
        <v>3</v>
      </c>
      <c r="F7" s="34">
        <v>4</v>
      </c>
      <c r="H7" s="34">
        <f>SUMPRODUCT($D$5:$F$5,D7:F7)</f>
        <v>10.476190476190474</v>
      </c>
    </row>
    <row r="8" spans="1:14" x14ac:dyDescent="0.3">
      <c r="A8" s="12" t="str">
        <f ca="1">IF(VALUE(INFO("RELEASE"))&gt;=16,"Optimal", "ErrorOccurred")</f>
        <v>Optimal</v>
      </c>
    </row>
    <row r="9" spans="1:14" ht="15" thickBot="1" x14ac:dyDescent="0.35">
      <c r="A9" s="11">
        <f ca="1">VLOOKUP(A8,OpenSolverResultCodes,2,FALSE)</f>
        <v>0</v>
      </c>
      <c r="C9" t="s">
        <v>4</v>
      </c>
      <c r="D9" s="34">
        <v>10</v>
      </c>
      <c r="E9" s="34">
        <v>11</v>
      </c>
      <c r="F9" s="34">
        <v>12</v>
      </c>
      <c r="H9" s="34">
        <f>SUMPRODUCT($D$5:$F$5,D9:F9)+5*P8</f>
        <v>52.380952380952372</v>
      </c>
      <c r="I9" s="34" t="s">
        <v>5</v>
      </c>
      <c r="J9" s="34">
        <v>60</v>
      </c>
    </row>
    <row r="10" spans="1:14" ht="15" thickBot="1" x14ac:dyDescent="0.35">
      <c r="A10" s="25" t="str">
        <f>HYPERLINK("[OpenSolver SheetNameCharTester.xlsm]Results!A1", "&lt;- Results")</f>
        <v>&lt;- Results</v>
      </c>
      <c r="D10" s="34">
        <v>21</v>
      </c>
      <c r="E10" s="34">
        <v>22</v>
      </c>
      <c r="F10" s="34">
        <v>23</v>
      </c>
      <c r="H10" s="34">
        <f>SUMPRODUCT($D$5:$F$5,D10:F10)</f>
        <v>109.99999999999999</v>
      </c>
      <c r="I10" s="34" t="s">
        <v>5</v>
      </c>
      <c r="J10" s="34">
        <v>150</v>
      </c>
      <c r="N10" t="str">
        <f ca="1">INFO("RELEASE")</f>
        <v>16.0</v>
      </c>
    </row>
    <row r="11" spans="1:14" x14ac:dyDescent="0.3">
      <c r="D11" s="34">
        <v>21</v>
      </c>
      <c r="E11" s="34">
        <v>22</v>
      </c>
      <c r="F11" s="34">
        <v>-23</v>
      </c>
      <c r="H11" s="34">
        <f>SUMPRODUCT($D$5:$F$5,D11:F11)</f>
        <v>109.99999999999999</v>
      </c>
      <c r="I11" s="34" t="s">
        <v>6</v>
      </c>
      <c r="J11" s="34">
        <v>110</v>
      </c>
    </row>
    <row r="12" spans="1:14" x14ac:dyDescent="0.3">
      <c r="D12" s="34">
        <v>19</v>
      </c>
      <c r="E12" s="34">
        <v>34</v>
      </c>
      <c r="F12" s="34">
        <v>-32</v>
      </c>
      <c r="H12" s="34">
        <f>SUMPRODUCT($D$5:$F$5,D12:F12)</f>
        <v>99.523809523809504</v>
      </c>
      <c r="I12" s="34" t="s">
        <v>5</v>
      </c>
      <c r="J12" s="34">
        <v>180</v>
      </c>
    </row>
    <row r="16" spans="1:14" x14ac:dyDescent="0.3">
      <c r="C16" s="3" t="s">
        <v>8</v>
      </c>
    </row>
    <row r="17" spans="1:9" x14ac:dyDescent="0.3">
      <c r="D17" s="34">
        <v>5.2380952380952372</v>
      </c>
      <c r="E17" s="34">
        <v>0</v>
      </c>
      <c r="F17" s="34">
        <v>0</v>
      </c>
    </row>
    <row r="18" spans="1:9" x14ac:dyDescent="0.3">
      <c r="C18" t="s">
        <v>10</v>
      </c>
      <c r="D18" s="2" t="b">
        <f>ABS(D5-D17)/(1+ABS(D17))&lt;=0.000001</f>
        <v>1</v>
      </c>
      <c r="E18" s="2" t="b">
        <f>ABS(E5-E17)/(1+ABS(E17))&lt;=0.000001</f>
        <v>1</v>
      </c>
      <c r="F18" s="2" t="b">
        <f>ABS(F5-F17)/(1+ABS(F17))&lt;=0.000001</f>
        <v>1</v>
      </c>
      <c r="I18" s="34" t="str">
        <f ca="1">INFO("RELEASE")</f>
        <v>16.0</v>
      </c>
    </row>
    <row r="20" spans="1:9" s="34" customFormat="1" x14ac:dyDescent="0.3">
      <c r="A20" s="8"/>
      <c r="C20" s="3" t="s">
        <v>9</v>
      </c>
    </row>
    <row r="21" spans="1:9" s="34" customFormat="1" x14ac:dyDescent="0.3">
      <c r="A21" s="8"/>
      <c r="C21"/>
      <c r="D21" s="34">
        <v>10.476190476190474</v>
      </c>
    </row>
    <row r="22" spans="1:9" s="34" customFormat="1" x14ac:dyDescent="0.3">
      <c r="A22" s="8"/>
      <c r="C22" t="s">
        <v>10</v>
      </c>
      <c r="D22" s="2" t="b">
        <f>ABS(D21-H7)/(1+ABS(D21))&lt;=0.000001</f>
        <v>1</v>
      </c>
    </row>
  </sheetData>
  <dataConsolidate/>
  <dataValidations count="3">
    <dataValidation type="list" allowBlank="1" showInputMessage="1" showErrorMessage="1" sqref="A2" xr:uid="{944AF804-9A64-440B-A6C4-30776646AC31}">
      <formula1>TestType</formula1>
    </dataValidation>
    <dataValidation type="list" allowBlank="1" showInputMessage="1" showErrorMessage="1" sqref="A4" xr:uid="{038F515E-C1A5-42AE-AEC8-3E28E6C41BCF}">
      <formula1>ModelType</formula1>
    </dataValidation>
    <dataValidation type="list" errorStyle="warning" allowBlank="1" showInputMessage="1" showErrorMessage="1" sqref="A8" xr:uid="{5543BE8A-8FBE-4527-A083-336E59800E15}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8ED8A-1B91-4202-8FD1-C8E3D5A4C76F}">
  <sheetPr codeName="BadName13"/>
  <dimension ref="A1:N22"/>
  <sheetViews>
    <sheetView workbookViewId="0">
      <selection activeCell="C2" sqref="C2"/>
    </sheetView>
  </sheetViews>
  <sheetFormatPr defaultColWidth="8.88671875" defaultRowHeight="14.4" x14ac:dyDescent="0.3"/>
  <cols>
    <col min="1" max="1" width="15" style="8" bestFit="1" customWidth="1"/>
    <col min="2" max="2" width="2.33203125" customWidth="1"/>
    <col min="3" max="3" width="4.88671875" customWidth="1"/>
    <col min="4" max="4" width="7.6640625" style="34" customWidth="1"/>
    <col min="5" max="6" width="5.109375" style="34" customWidth="1"/>
    <col min="7" max="7" width="3.109375" style="34" customWidth="1"/>
    <col min="8" max="8" width="8.33203125" style="34" customWidth="1"/>
    <col min="9" max="9" width="3" style="34" bestFit="1" customWidth="1"/>
    <col min="10" max="10" width="6" style="34" customWidth="1"/>
    <col min="14" max="14" width="7.6640625" customWidth="1"/>
  </cols>
  <sheetData>
    <row r="1" spans="1:14" x14ac:dyDescent="0.3">
      <c r="A1" s="10" t="s">
        <v>24</v>
      </c>
      <c r="C1" t="s">
        <v>62</v>
      </c>
    </row>
    <row r="2" spans="1:14" ht="15" thickBot="1" x14ac:dyDescent="0.35">
      <c r="A2" s="11" t="s">
        <v>25</v>
      </c>
    </row>
    <row r="3" spans="1:14" x14ac:dyDescent="0.3">
      <c r="A3" s="10" t="s">
        <v>29</v>
      </c>
    </row>
    <row r="4" spans="1:14" ht="15" thickBot="1" x14ac:dyDescent="0.35">
      <c r="A4" s="11" t="s">
        <v>27</v>
      </c>
      <c r="D4" s="34" t="s">
        <v>1</v>
      </c>
      <c r="E4" s="34" t="s">
        <v>2</v>
      </c>
      <c r="F4" s="34" t="s">
        <v>3</v>
      </c>
    </row>
    <row r="5" spans="1:14" x14ac:dyDescent="0.3">
      <c r="A5" s="10" t="s">
        <v>30</v>
      </c>
      <c r="D5" s="34">
        <v>5.2380952380952372</v>
      </c>
      <c r="E5" s="34">
        <v>0</v>
      </c>
      <c r="F5" s="34">
        <v>0</v>
      </c>
      <c r="H5"/>
      <c r="I5"/>
      <c r="J5"/>
    </row>
    <row r="6" spans="1:14" ht="15" thickBot="1" x14ac:dyDescent="0.35">
      <c r="A6" s="11" t="b">
        <f>AND(D18:F18,D22)</f>
        <v>1</v>
      </c>
    </row>
    <row r="7" spans="1:14" x14ac:dyDescent="0.3">
      <c r="A7" s="10" t="s">
        <v>31</v>
      </c>
      <c r="C7" t="s">
        <v>0</v>
      </c>
      <c r="D7" s="34">
        <v>2</v>
      </c>
      <c r="E7" s="34">
        <v>3</v>
      </c>
      <c r="F7" s="34">
        <v>4</v>
      </c>
      <c r="H7" s="34">
        <f>SUMPRODUCT($D$5:$F$5,D7:F7)</f>
        <v>10.476190476190474</v>
      </c>
    </row>
    <row r="8" spans="1:14" x14ac:dyDescent="0.3">
      <c r="A8" s="12" t="str">
        <f ca="1">IF(VALUE(INFO("RELEASE"))&gt;=16,"Optimal", "ErrorOccurred")</f>
        <v>Optimal</v>
      </c>
    </row>
    <row r="9" spans="1:14" ht="15" thickBot="1" x14ac:dyDescent="0.35">
      <c r="A9" s="11">
        <f ca="1">VLOOKUP(A8,OpenSolverResultCodes,2,FALSE)</f>
        <v>0</v>
      </c>
      <c r="C9" t="s">
        <v>4</v>
      </c>
      <c r="D9" s="34">
        <v>10</v>
      </c>
      <c r="E9" s="34">
        <v>11</v>
      </c>
      <c r="F9" s="34">
        <v>12</v>
      </c>
      <c r="H9" s="34">
        <f>SUMPRODUCT($D$5:$F$5,D9:F9)+5*P8</f>
        <v>52.380952380952372</v>
      </c>
      <c r="I9" s="34" t="s">
        <v>5</v>
      </c>
      <c r="J9" s="34">
        <v>60</v>
      </c>
    </row>
    <row r="10" spans="1:14" ht="15" thickBot="1" x14ac:dyDescent="0.35">
      <c r="A10" s="25" t="str">
        <f>HYPERLINK("[OpenSolver SheetNameCharTester.xlsm]Results!A1", "&lt;- Results")</f>
        <v>&lt;- Results</v>
      </c>
      <c r="D10" s="34">
        <v>21</v>
      </c>
      <c r="E10" s="34">
        <v>22</v>
      </c>
      <c r="F10" s="34">
        <v>23</v>
      </c>
      <c r="H10" s="34">
        <f>SUMPRODUCT($D$5:$F$5,D10:F10)</f>
        <v>109.99999999999999</v>
      </c>
      <c r="I10" s="34" t="s">
        <v>5</v>
      </c>
      <c r="J10" s="34">
        <v>150</v>
      </c>
      <c r="N10" t="str">
        <f ca="1">INFO("RELEASE")</f>
        <v>16.0</v>
      </c>
    </row>
    <row r="11" spans="1:14" x14ac:dyDescent="0.3">
      <c r="D11" s="34">
        <v>21</v>
      </c>
      <c r="E11" s="34">
        <v>22</v>
      </c>
      <c r="F11" s="34">
        <v>-23</v>
      </c>
      <c r="H11" s="34">
        <f>SUMPRODUCT($D$5:$F$5,D11:F11)</f>
        <v>109.99999999999999</v>
      </c>
      <c r="I11" s="34" t="s">
        <v>6</v>
      </c>
      <c r="J11" s="34">
        <v>110</v>
      </c>
    </row>
    <row r="12" spans="1:14" x14ac:dyDescent="0.3">
      <c r="D12" s="34">
        <v>19</v>
      </c>
      <c r="E12" s="34">
        <v>34</v>
      </c>
      <c r="F12" s="34">
        <v>-32</v>
      </c>
      <c r="H12" s="34">
        <f>SUMPRODUCT($D$5:$F$5,D12:F12)</f>
        <v>99.523809523809504</v>
      </c>
      <c r="I12" s="34" t="s">
        <v>5</v>
      </c>
      <c r="J12" s="34">
        <v>180</v>
      </c>
    </row>
    <row r="16" spans="1:14" x14ac:dyDescent="0.3">
      <c r="C16" s="3" t="s">
        <v>8</v>
      </c>
    </row>
    <row r="17" spans="1:9" x14ac:dyDescent="0.3">
      <c r="D17" s="34">
        <v>5.2380952380952372</v>
      </c>
      <c r="E17" s="34">
        <v>0</v>
      </c>
      <c r="F17" s="34">
        <v>0</v>
      </c>
    </row>
    <row r="18" spans="1:9" x14ac:dyDescent="0.3">
      <c r="C18" t="s">
        <v>10</v>
      </c>
      <c r="D18" s="2" t="b">
        <f>ABS(D5-D17)/(1+ABS(D17))&lt;=0.000001</f>
        <v>1</v>
      </c>
      <c r="E18" s="2" t="b">
        <f>ABS(E5-E17)/(1+ABS(E17))&lt;=0.000001</f>
        <v>1</v>
      </c>
      <c r="F18" s="2" t="b">
        <f>ABS(F5-F17)/(1+ABS(F17))&lt;=0.000001</f>
        <v>1</v>
      </c>
      <c r="I18" s="34" t="str">
        <f ca="1">INFO("RELEASE")</f>
        <v>16.0</v>
      </c>
    </row>
    <row r="20" spans="1:9" s="34" customFormat="1" x14ac:dyDescent="0.3">
      <c r="A20" s="8"/>
      <c r="C20" s="3" t="s">
        <v>9</v>
      </c>
    </row>
    <row r="21" spans="1:9" s="34" customFormat="1" x14ac:dyDescent="0.3">
      <c r="A21" s="8"/>
      <c r="C21"/>
      <c r="D21" s="34">
        <v>10.476190476190474</v>
      </c>
    </row>
    <row r="22" spans="1:9" s="34" customFormat="1" x14ac:dyDescent="0.3">
      <c r="A22" s="8"/>
      <c r="C22" t="s">
        <v>10</v>
      </c>
      <c r="D22" s="2" t="b">
        <f>ABS(D21-H7)/(1+ABS(D21))&lt;=0.000001</f>
        <v>1</v>
      </c>
    </row>
  </sheetData>
  <dataConsolidate/>
  <dataValidations count="3">
    <dataValidation type="list" errorStyle="warning" allowBlank="1" showInputMessage="1" showErrorMessage="1" sqref="A8" xr:uid="{2488469B-155B-4A33-8D7F-81BF4EC917E6}">
      <formula1>OpenSolverResult</formula1>
    </dataValidation>
    <dataValidation type="list" allowBlank="1" showInputMessage="1" showErrorMessage="1" sqref="A4" xr:uid="{10676318-2293-4052-B267-D1D8BA307101}">
      <formula1>ModelType</formula1>
    </dataValidation>
    <dataValidation type="list" allowBlank="1" showInputMessage="1" showErrorMessage="1" sqref="A2" xr:uid="{2AD243FF-9700-4C7B-A80E-AFCE1B15A4F7}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117D-E6D1-4B9E-AF72-ED9A44268B61}">
  <sheetPr codeName="BadName14"/>
  <dimension ref="A1:N22"/>
  <sheetViews>
    <sheetView workbookViewId="0">
      <selection activeCell="C2" sqref="C2"/>
    </sheetView>
  </sheetViews>
  <sheetFormatPr defaultColWidth="8.88671875" defaultRowHeight="14.4" x14ac:dyDescent="0.3"/>
  <cols>
    <col min="1" max="1" width="15" style="8" bestFit="1" customWidth="1"/>
    <col min="2" max="2" width="2.33203125" customWidth="1"/>
    <col min="3" max="3" width="4.88671875" customWidth="1"/>
    <col min="4" max="4" width="7.6640625" style="34" customWidth="1"/>
    <col min="5" max="6" width="5.109375" style="34" customWidth="1"/>
    <col min="7" max="7" width="3.109375" style="34" customWidth="1"/>
    <col min="8" max="8" width="8.33203125" style="34" customWidth="1"/>
    <col min="9" max="9" width="3" style="34" bestFit="1" customWidth="1"/>
    <col min="10" max="10" width="6" style="34" customWidth="1"/>
    <col min="14" max="14" width="7.6640625" customWidth="1"/>
  </cols>
  <sheetData>
    <row r="1" spans="1:14" x14ac:dyDescent="0.3">
      <c r="A1" s="10" t="s">
        <v>24</v>
      </c>
      <c r="C1" t="s">
        <v>61</v>
      </c>
    </row>
    <row r="2" spans="1:14" ht="15" thickBot="1" x14ac:dyDescent="0.35">
      <c r="A2" s="11" t="s">
        <v>25</v>
      </c>
    </row>
    <row r="3" spans="1:14" x14ac:dyDescent="0.3">
      <c r="A3" s="10" t="s">
        <v>29</v>
      </c>
    </row>
    <row r="4" spans="1:14" ht="15" thickBot="1" x14ac:dyDescent="0.35">
      <c r="A4" s="11" t="s">
        <v>27</v>
      </c>
      <c r="D4" s="34" t="s">
        <v>1</v>
      </c>
      <c r="E4" s="34" t="s">
        <v>2</v>
      </c>
      <c r="F4" s="34" t="s">
        <v>3</v>
      </c>
    </row>
    <row r="5" spans="1:14" x14ac:dyDescent="0.3">
      <c r="A5" s="10" t="s">
        <v>30</v>
      </c>
      <c r="D5" s="34">
        <v>5.2380952380952372</v>
      </c>
      <c r="E5" s="34">
        <v>0</v>
      </c>
      <c r="F5" s="34">
        <v>0</v>
      </c>
      <c r="H5"/>
      <c r="I5"/>
      <c r="J5"/>
    </row>
    <row r="6" spans="1:14" ht="15" thickBot="1" x14ac:dyDescent="0.35">
      <c r="A6" s="11" t="b">
        <f>AND(D18:F18,D22)</f>
        <v>1</v>
      </c>
    </row>
    <row r="7" spans="1:14" x14ac:dyDescent="0.3">
      <c r="A7" s="10" t="s">
        <v>31</v>
      </c>
      <c r="C7" t="s">
        <v>0</v>
      </c>
      <c r="D7" s="34">
        <v>2</v>
      </c>
      <c r="E7" s="34">
        <v>3</v>
      </c>
      <c r="F7" s="34">
        <v>4</v>
      </c>
      <c r="H7" s="34">
        <f>SUMPRODUCT($D$5:$F$5,D7:F7)</f>
        <v>10.476190476190474</v>
      </c>
    </row>
    <row r="8" spans="1:14" x14ac:dyDescent="0.3">
      <c r="A8" s="12" t="str">
        <f ca="1">IF(VALUE(INFO("RELEASE"))&gt;=16,"Optimal", "ErrorOccurred")</f>
        <v>Optimal</v>
      </c>
    </row>
    <row r="9" spans="1:14" ht="15" thickBot="1" x14ac:dyDescent="0.35">
      <c r="A9" s="11">
        <f ca="1">VLOOKUP(A8,OpenSolverResultCodes,2,FALSE)</f>
        <v>0</v>
      </c>
      <c r="C9" t="s">
        <v>4</v>
      </c>
      <c r="D9" s="34">
        <v>10</v>
      </c>
      <c r="E9" s="34">
        <v>11</v>
      </c>
      <c r="F9" s="34">
        <v>12</v>
      </c>
      <c r="H9" s="34">
        <f>SUMPRODUCT($D$5:$F$5,D9:F9)+5*P8</f>
        <v>52.380952380952372</v>
      </c>
      <c r="I9" s="34" t="s">
        <v>5</v>
      </c>
      <c r="J9" s="34">
        <v>60</v>
      </c>
    </row>
    <row r="10" spans="1:14" ht="15" thickBot="1" x14ac:dyDescent="0.35">
      <c r="A10" s="25" t="str">
        <f>HYPERLINK("[OpenSolver SheetNameCharTester.xlsm]Results!A1", "&lt;- Results")</f>
        <v>&lt;- Results</v>
      </c>
      <c r="D10" s="34">
        <v>21</v>
      </c>
      <c r="E10" s="34">
        <v>22</v>
      </c>
      <c r="F10" s="34">
        <v>23</v>
      </c>
      <c r="H10" s="34">
        <f>SUMPRODUCT($D$5:$F$5,D10:F10)</f>
        <v>109.99999999999999</v>
      </c>
      <c r="I10" s="34" t="s">
        <v>5</v>
      </c>
      <c r="J10" s="34">
        <v>150</v>
      </c>
      <c r="N10" t="str">
        <f ca="1">INFO("RELEASE")</f>
        <v>16.0</v>
      </c>
    </row>
    <row r="11" spans="1:14" x14ac:dyDescent="0.3">
      <c r="D11" s="34">
        <v>21</v>
      </c>
      <c r="E11" s="34">
        <v>22</v>
      </c>
      <c r="F11" s="34">
        <v>-23</v>
      </c>
      <c r="H11" s="34">
        <f>SUMPRODUCT($D$5:$F$5,D11:F11)</f>
        <v>109.99999999999999</v>
      </c>
      <c r="I11" s="34" t="s">
        <v>6</v>
      </c>
      <c r="J11" s="34">
        <v>110</v>
      </c>
    </row>
    <row r="12" spans="1:14" x14ac:dyDescent="0.3">
      <c r="D12" s="34">
        <v>19</v>
      </c>
      <c r="E12" s="34">
        <v>34</v>
      </c>
      <c r="F12" s="34">
        <v>-32</v>
      </c>
      <c r="H12" s="34">
        <f>SUMPRODUCT($D$5:$F$5,D12:F12)</f>
        <v>99.523809523809504</v>
      </c>
      <c r="I12" s="34" t="s">
        <v>5</v>
      </c>
      <c r="J12" s="34">
        <v>180</v>
      </c>
    </row>
    <row r="16" spans="1:14" x14ac:dyDescent="0.3">
      <c r="C16" s="3" t="s">
        <v>8</v>
      </c>
    </row>
    <row r="17" spans="1:9" x14ac:dyDescent="0.3">
      <c r="D17" s="34">
        <v>5.2380952380952372</v>
      </c>
      <c r="E17" s="34">
        <v>0</v>
      </c>
      <c r="F17" s="34">
        <v>0</v>
      </c>
    </row>
    <row r="18" spans="1:9" x14ac:dyDescent="0.3">
      <c r="C18" t="s">
        <v>10</v>
      </c>
      <c r="D18" s="2" t="b">
        <f>ABS(D5-D17)/(1+ABS(D17))&lt;=0.000001</f>
        <v>1</v>
      </c>
      <c r="E18" s="2" t="b">
        <f>ABS(E5-E17)/(1+ABS(E17))&lt;=0.000001</f>
        <v>1</v>
      </c>
      <c r="F18" s="2" t="b">
        <f>ABS(F5-F17)/(1+ABS(F17))&lt;=0.000001</f>
        <v>1</v>
      </c>
      <c r="I18" s="34" t="str">
        <f ca="1">INFO("RELEASE")</f>
        <v>16.0</v>
      </c>
    </row>
    <row r="20" spans="1:9" s="34" customFormat="1" x14ac:dyDescent="0.3">
      <c r="A20" s="8"/>
      <c r="C20" s="3" t="s">
        <v>9</v>
      </c>
    </row>
    <row r="21" spans="1:9" s="34" customFormat="1" x14ac:dyDescent="0.3">
      <c r="A21" s="8"/>
      <c r="C21"/>
      <c r="D21" s="34">
        <v>10.476190476190474</v>
      </c>
    </row>
    <row r="22" spans="1:9" s="34" customFormat="1" x14ac:dyDescent="0.3">
      <c r="A22" s="8"/>
      <c r="C22" t="s">
        <v>10</v>
      </c>
      <c r="D22" s="2" t="b">
        <f>ABS(D21-H7)/(1+ABS(D21))&lt;=0.000001</f>
        <v>1</v>
      </c>
    </row>
  </sheetData>
  <dataConsolidate/>
  <dataValidations count="3">
    <dataValidation type="list" allowBlank="1" showInputMessage="1" showErrorMessage="1" sqref="A2" xr:uid="{F5206D03-DF12-41DF-8022-C7D5960881AD}">
      <formula1>TestType</formula1>
    </dataValidation>
    <dataValidation type="list" allowBlank="1" showInputMessage="1" showErrorMessage="1" sqref="A4" xr:uid="{8ED337B1-4AA1-4D63-8DBE-2850454AE502}">
      <formula1>ModelType</formula1>
    </dataValidation>
    <dataValidation type="list" errorStyle="warning" allowBlank="1" showInputMessage="1" showErrorMessage="1" sqref="A8" xr:uid="{03A73714-BECA-49CD-A8C9-A50FAC13268F}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41FC7A-D188-43A4-9AD4-95B493AF48E3}">
  <sheetPr codeName="BadName15"/>
  <dimension ref="A1:N22"/>
  <sheetViews>
    <sheetView workbookViewId="0">
      <selection activeCell="C2" sqref="C2"/>
    </sheetView>
  </sheetViews>
  <sheetFormatPr defaultColWidth="8.88671875" defaultRowHeight="14.4" x14ac:dyDescent="0.3"/>
  <cols>
    <col min="1" max="1" width="15" style="8" bestFit="1" customWidth="1"/>
    <col min="2" max="2" width="2.33203125" customWidth="1"/>
    <col min="3" max="3" width="4.88671875" customWidth="1"/>
    <col min="4" max="4" width="7.6640625" style="34" customWidth="1"/>
    <col min="5" max="6" width="5.109375" style="34" customWidth="1"/>
    <col min="7" max="7" width="3.109375" style="34" customWidth="1"/>
    <col min="8" max="8" width="8.33203125" style="34" customWidth="1"/>
    <col min="9" max="9" width="3" style="34" bestFit="1" customWidth="1"/>
    <col min="10" max="10" width="6" style="34" customWidth="1"/>
    <col min="14" max="14" width="7.6640625" customWidth="1"/>
  </cols>
  <sheetData>
    <row r="1" spans="1:14" x14ac:dyDescent="0.3">
      <c r="A1" s="10" t="s">
        <v>24</v>
      </c>
      <c r="C1" t="s">
        <v>63</v>
      </c>
    </row>
    <row r="2" spans="1:14" ht="15" thickBot="1" x14ac:dyDescent="0.35">
      <c r="A2" s="11" t="s">
        <v>25</v>
      </c>
    </row>
    <row r="3" spans="1:14" x14ac:dyDescent="0.3">
      <c r="A3" s="10" t="s">
        <v>29</v>
      </c>
    </row>
    <row r="4" spans="1:14" ht="15" thickBot="1" x14ac:dyDescent="0.35">
      <c r="A4" s="11" t="s">
        <v>27</v>
      </c>
      <c r="D4" s="34" t="s">
        <v>1</v>
      </c>
      <c r="E4" s="34" t="s">
        <v>2</v>
      </c>
      <c r="F4" s="34" t="s">
        <v>3</v>
      </c>
    </row>
    <row r="5" spans="1:14" x14ac:dyDescent="0.3">
      <c r="A5" s="10" t="s">
        <v>30</v>
      </c>
      <c r="D5" s="34">
        <v>5.2380952380952372</v>
      </c>
      <c r="E5" s="34">
        <v>0</v>
      </c>
      <c r="F5" s="34">
        <v>0</v>
      </c>
      <c r="H5"/>
      <c r="I5"/>
      <c r="J5"/>
    </row>
    <row r="6" spans="1:14" ht="15" thickBot="1" x14ac:dyDescent="0.35">
      <c r="A6" s="11" t="b">
        <f>AND(D18:F18,D22)</f>
        <v>1</v>
      </c>
    </row>
    <row r="7" spans="1:14" x14ac:dyDescent="0.3">
      <c r="A7" s="10" t="s">
        <v>31</v>
      </c>
      <c r="C7" t="s">
        <v>0</v>
      </c>
      <c r="D7" s="34">
        <v>2</v>
      </c>
      <c r="E7" s="34">
        <v>3</v>
      </c>
      <c r="F7" s="34">
        <v>4</v>
      </c>
      <c r="H7" s="34">
        <f>SUMPRODUCT($D$5:$F$5,D7:F7)</f>
        <v>10.476190476190474</v>
      </c>
    </row>
    <row r="8" spans="1:14" x14ac:dyDescent="0.3">
      <c r="A8" s="12" t="str">
        <f ca="1">IF(VALUE(INFO("RELEASE"))&gt;=16,"Optimal", "ErrorOccurred")</f>
        <v>Optimal</v>
      </c>
    </row>
    <row r="9" spans="1:14" ht="15" thickBot="1" x14ac:dyDescent="0.35">
      <c r="A9" s="11">
        <f ca="1">VLOOKUP(A8,OpenSolverResultCodes,2,FALSE)</f>
        <v>0</v>
      </c>
      <c r="C9" t="s">
        <v>4</v>
      </c>
      <c r="D9" s="34">
        <v>10</v>
      </c>
      <c r="E9" s="34">
        <v>11</v>
      </c>
      <c r="F9" s="34">
        <v>12</v>
      </c>
      <c r="H9" s="34">
        <f>SUMPRODUCT($D$5:$F$5,D9:F9)+5*P8</f>
        <v>52.380952380952372</v>
      </c>
      <c r="I9" s="34" t="s">
        <v>5</v>
      </c>
      <c r="J9" s="34">
        <v>60</v>
      </c>
    </row>
    <row r="10" spans="1:14" ht="15" thickBot="1" x14ac:dyDescent="0.35">
      <c r="A10" s="25" t="str">
        <f>HYPERLINK("[OpenSolver SheetNameCharTester.xlsm]Results!A1", "&lt;- Results")</f>
        <v>&lt;- Results</v>
      </c>
      <c r="D10" s="34">
        <v>21</v>
      </c>
      <c r="E10" s="34">
        <v>22</v>
      </c>
      <c r="F10" s="34">
        <v>23</v>
      </c>
      <c r="H10" s="34">
        <f>SUMPRODUCT($D$5:$F$5,D10:F10)</f>
        <v>109.99999999999999</v>
      </c>
      <c r="I10" s="34" t="s">
        <v>5</v>
      </c>
      <c r="J10" s="34">
        <v>150</v>
      </c>
      <c r="N10" t="str">
        <f ca="1">INFO("RELEASE")</f>
        <v>16.0</v>
      </c>
    </row>
    <row r="11" spans="1:14" x14ac:dyDescent="0.3">
      <c r="D11" s="34">
        <v>21</v>
      </c>
      <c r="E11" s="34">
        <v>22</v>
      </c>
      <c r="F11" s="34">
        <v>-23</v>
      </c>
      <c r="H11" s="34">
        <f>SUMPRODUCT($D$5:$F$5,D11:F11)</f>
        <v>109.99999999999999</v>
      </c>
      <c r="I11" s="34" t="s">
        <v>6</v>
      </c>
      <c r="J11" s="34">
        <v>110</v>
      </c>
    </row>
    <row r="12" spans="1:14" x14ac:dyDescent="0.3">
      <c r="D12" s="34">
        <v>19</v>
      </c>
      <c r="E12" s="34">
        <v>34</v>
      </c>
      <c r="F12" s="34">
        <v>-32</v>
      </c>
      <c r="H12" s="34">
        <f>SUMPRODUCT($D$5:$F$5,D12:F12)</f>
        <v>99.523809523809504</v>
      </c>
      <c r="I12" s="34" t="s">
        <v>5</v>
      </c>
      <c r="J12" s="34">
        <v>180</v>
      </c>
    </row>
    <row r="16" spans="1:14" x14ac:dyDescent="0.3">
      <c r="C16" s="3" t="s">
        <v>8</v>
      </c>
    </row>
    <row r="17" spans="1:9" x14ac:dyDescent="0.3">
      <c r="D17" s="34">
        <v>5.2380952380952372</v>
      </c>
      <c r="E17" s="34">
        <v>0</v>
      </c>
      <c r="F17" s="34">
        <v>0</v>
      </c>
    </row>
    <row r="18" spans="1:9" x14ac:dyDescent="0.3">
      <c r="C18" t="s">
        <v>10</v>
      </c>
      <c r="D18" s="2" t="b">
        <f>ABS(D5-D17)/(1+ABS(D17))&lt;=0.000001</f>
        <v>1</v>
      </c>
      <c r="E18" s="2" t="b">
        <f>ABS(E5-E17)/(1+ABS(E17))&lt;=0.000001</f>
        <v>1</v>
      </c>
      <c r="F18" s="2" t="b">
        <f>ABS(F5-F17)/(1+ABS(F17))&lt;=0.000001</f>
        <v>1</v>
      </c>
      <c r="I18" s="34" t="str">
        <f ca="1">INFO("RELEASE")</f>
        <v>16.0</v>
      </c>
    </row>
    <row r="20" spans="1:9" s="34" customFormat="1" x14ac:dyDescent="0.3">
      <c r="A20" s="8"/>
      <c r="C20" s="3" t="s">
        <v>9</v>
      </c>
    </row>
    <row r="21" spans="1:9" s="34" customFormat="1" x14ac:dyDescent="0.3">
      <c r="A21" s="8"/>
      <c r="C21"/>
      <c r="D21" s="34">
        <v>10.476190476190474</v>
      </c>
    </row>
    <row r="22" spans="1:9" s="34" customFormat="1" x14ac:dyDescent="0.3">
      <c r="A22" s="8"/>
      <c r="C22" t="s">
        <v>10</v>
      </c>
      <c r="D22" s="2" t="b">
        <f>ABS(D21-H7)/(1+ABS(D21))&lt;=0.000001</f>
        <v>1</v>
      </c>
    </row>
  </sheetData>
  <dataConsolidate/>
  <dataValidations count="3">
    <dataValidation type="list" errorStyle="warning" allowBlank="1" showInputMessage="1" showErrorMessage="1" sqref="A8" xr:uid="{09E28BB1-27A3-493B-901E-23E85E5285FB}">
      <formula1>OpenSolverResult</formula1>
    </dataValidation>
    <dataValidation type="list" allowBlank="1" showInputMessage="1" showErrorMessage="1" sqref="A4" xr:uid="{2B493764-DC9F-4A2F-9B06-6E1B7EDFD0BB}">
      <formula1>ModelType</formula1>
    </dataValidation>
    <dataValidation type="list" allowBlank="1" showInputMessage="1" showErrorMessage="1" sqref="A2" xr:uid="{5F4C0310-1A46-475F-B8DA-F284677A7D68}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28FFD-3ED7-4534-9F22-F55D11547510}">
  <sheetPr codeName="BadName16"/>
  <dimension ref="A1:N22"/>
  <sheetViews>
    <sheetView workbookViewId="0">
      <selection activeCell="C2" sqref="C2"/>
    </sheetView>
  </sheetViews>
  <sheetFormatPr defaultColWidth="8.88671875" defaultRowHeight="14.4" x14ac:dyDescent="0.3"/>
  <cols>
    <col min="1" max="1" width="15" style="8" bestFit="1" customWidth="1"/>
    <col min="2" max="2" width="2.33203125" customWidth="1"/>
    <col min="3" max="3" width="4.88671875" customWidth="1"/>
    <col min="4" max="4" width="7.6640625" style="34" customWidth="1"/>
    <col min="5" max="6" width="5.109375" style="34" customWidth="1"/>
    <col min="7" max="7" width="3.109375" style="34" customWidth="1"/>
    <col min="8" max="8" width="8.33203125" style="34" customWidth="1"/>
    <col min="9" max="9" width="3" style="34" bestFit="1" customWidth="1"/>
    <col min="10" max="10" width="6" style="34" customWidth="1"/>
    <col min="14" max="14" width="7.6640625" customWidth="1"/>
  </cols>
  <sheetData>
    <row r="1" spans="1:14" x14ac:dyDescent="0.3">
      <c r="A1" s="10" t="s">
        <v>24</v>
      </c>
      <c r="C1" t="s">
        <v>64</v>
      </c>
    </row>
    <row r="2" spans="1:14" ht="15" thickBot="1" x14ac:dyDescent="0.35">
      <c r="A2" s="11" t="s">
        <v>25</v>
      </c>
    </row>
    <row r="3" spans="1:14" x14ac:dyDescent="0.3">
      <c r="A3" s="10" t="s">
        <v>29</v>
      </c>
    </row>
    <row r="4" spans="1:14" ht="15" thickBot="1" x14ac:dyDescent="0.35">
      <c r="A4" s="11" t="s">
        <v>27</v>
      </c>
      <c r="D4" s="34" t="s">
        <v>1</v>
      </c>
      <c r="E4" s="34" t="s">
        <v>2</v>
      </c>
      <c r="F4" s="34" t="s">
        <v>3</v>
      </c>
    </row>
    <row r="5" spans="1:14" x14ac:dyDescent="0.3">
      <c r="A5" s="10" t="s">
        <v>30</v>
      </c>
      <c r="D5" s="34">
        <v>5.2380952380952372</v>
      </c>
      <c r="E5" s="34">
        <v>0</v>
      </c>
      <c r="F5" s="34">
        <v>0</v>
      </c>
      <c r="H5"/>
      <c r="I5"/>
      <c r="J5"/>
    </row>
    <row r="6" spans="1:14" ht="15" thickBot="1" x14ac:dyDescent="0.35">
      <c r="A6" s="11" t="b">
        <f>AND(D18:F18,D22)</f>
        <v>1</v>
      </c>
    </row>
    <row r="7" spans="1:14" x14ac:dyDescent="0.3">
      <c r="A7" s="10" t="s">
        <v>31</v>
      </c>
      <c r="C7" t="s">
        <v>0</v>
      </c>
      <c r="D7" s="34">
        <v>2</v>
      </c>
      <c r="E7" s="34">
        <v>3</v>
      </c>
      <c r="F7" s="34">
        <v>4</v>
      </c>
      <c r="H7" s="34">
        <f>SUMPRODUCT($D$5:$F$5,D7:F7)</f>
        <v>10.476190476190474</v>
      </c>
    </row>
    <row r="8" spans="1:14" x14ac:dyDescent="0.3">
      <c r="A8" s="12" t="str">
        <f ca="1">IF(VALUE(INFO("RELEASE"))&gt;=16,"Optimal", "ErrorOccurred")</f>
        <v>Optimal</v>
      </c>
    </row>
    <row r="9" spans="1:14" ht="15" thickBot="1" x14ac:dyDescent="0.35">
      <c r="A9" s="11">
        <f ca="1">VLOOKUP(A8,OpenSolverResultCodes,2,FALSE)</f>
        <v>0</v>
      </c>
      <c r="C9" t="s">
        <v>4</v>
      </c>
      <c r="D9" s="34">
        <v>10</v>
      </c>
      <c r="E9" s="34">
        <v>11</v>
      </c>
      <c r="F9" s="34">
        <v>12</v>
      </c>
      <c r="H9" s="34">
        <f>SUMPRODUCT($D$5:$F$5,D9:F9)+5*P8</f>
        <v>52.380952380952372</v>
      </c>
      <c r="I9" s="34" t="s">
        <v>5</v>
      </c>
      <c r="J9" s="34">
        <v>60</v>
      </c>
    </row>
    <row r="10" spans="1:14" ht="15" thickBot="1" x14ac:dyDescent="0.35">
      <c r="A10" s="25" t="str">
        <f>HYPERLINK("[OpenSolver SheetNameCharTester.xlsm]Results!A1", "&lt;- Results")</f>
        <v>&lt;- Results</v>
      </c>
      <c r="D10" s="34">
        <v>21</v>
      </c>
      <c r="E10" s="34">
        <v>22</v>
      </c>
      <c r="F10" s="34">
        <v>23</v>
      </c>
      <c r="H10" s="34">
        <f>SUMPRODUCT($D$5:$F$5,D10:F10)</f>
        <v>109.99999999999999</v>
      </c>
      <c r="I10" s="34" t="s">
        <v>5</v>
      </c>
      <c r="J10" s="34">
        <v>150</v>
      </c>
      <c r="N10" t="str">
        <f ca="1">INFO("RELEASE")</f>
        <v>16.0</v>
      </c>
    </row>
    <row r="11" spans="1:14" x14ac:dyDescent="0.3">
      <c r="D11" s="34">
        <v>21</v>
      </c>
      <c r="E11" s="34">
        <v>22</v>
      </c>
      <c r="F11" s="34">
        <v>-23</v>
      </c>
      <c r="H11" s="34">
        <f>SUMPRODUCT($D$5:$F$5,D11:F11)</f>
        <v>109.99999999999999</v>
      </c>
      <c r="I11" s="34" t="s">
        <v>6</v>
      </c>
      <c r="J11" s="34">
        <v>110</v>
      </c>
    </row>
    <row r="12" spans="1:14" x14ac:dyDescent="0.3">
      <c r="D12" s="34">
        <v>19</v>
      </c>
      <c r="E12" s="34">
        <v>34</v>
      </c>
      <c r="F12" s="34">
        <v>-32</v>
      </c>
      <c r="H12" s="34">
        <f>SUMPRODUCT($D$5:$F$5,D12:F12)</f>
        <v>99.523809523809504</v>
      </c>
      <c r="I12" s="34" t="s">
        <v>5</v>
      </c>
      <c r="J12" s="34">
        <v>180</v>
      </c>
    </row>
    <row r="16" spans="1:14" x14ac:dyDescent="0.3">
      <c r="C16" s="3" t="s">
        <v>8</v>
      </c>
    </row>
    <row r="17" spans="1:9" x14ac:dyDescent="0.3">
      <c r="D17" s="34">
        <v>5.2380952380952372</v>
      </c>
      <c r="E17" s="34">
        <v>0</v>
      </c>
      <c r="F17" s="34">
        <v>0</v>
      </c>
    </row>
    <row r="18" spans="1:9" x14ac:dyDescent="0.3">
      <c r="C18" t="s">
        <v>10</v>
      </c>
      <c r="D18" s="2" t="b">
        <f>ABS(D5-D17)/(1+ABS(D17))&lt;=0.000001</f>
        <v>1</v>
      </c>
      <c r="E18" s="2" t="b">
        <f>ABS(E5-E17)/(1+ABS(E17))&lt;=0.000001</f>
        <v>1</v>
      </c>
      <c r="F18" s="2" t="b">
        <f>ABS(F5-F17)/(1+ABS(F17))&lt;=0.000001</f>
        <v>1</v>
      </c>
      <c r="I18" s="34" t="str">
        <f ca="1">INFO("RELEASE")</f>
        <v>16.0</v>
      </c>
    </row>
    <row r="20" spans="1:9" s="34" customFormat="1" x14ac:dyDescent="0.3">
      <c r="A20" s="8"/>
      <c r="C20" s="3" t="s">
        <v>9</v>
      </c>
    </row>
    <row r="21" spans="1:9" s="34" customFormat="1" x14ac:dyDescent="0.3">
      <c r="A21" s="8"/>
      <c r="C21"/>
      <c r="D21" s="34">
        <v>10.476190476190474</v>
      </c>
    </row>
    <row r="22" spans="1:9" s="34" customFormat="1" x14ac:dyDescent="0.3">
      <c r="A22" s="8"/>
      <c r="C22" t="s">
        <v>10</v>
      </c>
      <c r="D22" s="2" t="b">
        <f>ABS(D21-H7)/(1+ABS(D21))&lt;=0.000001</f>
        <v>1</v>
      </c>
    </row>
  </sheetData>
  <dataConsolidate/>
  <dataValidations count="3">
    <dataValidation type="list" allowBlank="1" showInputMessage="1" showErrorMessage="1" sqref="A2" xr:uid="{B54A56B1-541D-412F-8921-092950CD858E}">
      <formula1>TestType</formula1>
    </dataValidation>
    <dataValidation type="list" allowBlank="1" showInputMessage="1" showErrorMessage="1" sqref="A4" xr:uid="{D59FE37E-B3C5-4315-A80C-6F2986B3B6D0}">
      <formula1>ModelType</formula1>
    </dataValidation>
    <dataValidation type="list" errorStyle="warning" allowBlank="1" showInputMessage="1" showErrorMessage="1" sqref="A8" xr:uid="{DD333DE0-FBDF-48E9-80F9-8D40A024D420}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2DF86-12CD-4002-BDBC-2E313BAB3FAB}">
  <sheetPr codeName="BadName17"/>
  <dimension ref="A1:N22"/>
  <sheetViews>
    <sheetView workbookViewId="0">
      <selection activeCell="A10" sqref="A10"/>
    </sheetView>
  </sheetViews>
  <sheetFormatPr defaultColWidth="8.88671875" defaultRowHeight="14.4" x14ac:dyDescent="0.3"/>
  <cols>
    <col min="1" max="1" width="15" style="8" bestFit="1" customWidth="1"/>
    <col min="2" max="2" width="2.33203125" customWidth="1"/>
    <col min="3" max="3" width="4.88671875" customWidth="1"/>
    <col min="4" max="4" width="7.6640625" style="34" customWidth="1"/>
    <col min="5" max="6" width="5.109375" style="34" customWidth="1"/>
    <col min="7" max="7" width="3.109375" style="34" customWidth="1"/>
    <col min="8" max="8" width="8.33203125" style="34" customWidth="1"/>
    <col min="9" max="9" width="3" style="34" bestFit="1" customWidth="1"/>
    <col min="10" max="10" width="6" style="34" customWidth="1"/>
    <col min="14" max="14" width="7.6640625" customWidth="1"/>
  </cols>
  <sheetData>
    <row r="1" spans="1:14" x14ac:dyDescent="0.3">
      <c r="A1" s="10" t="s">
        <v>24</v>
      </c>
      <c r="C1" t="s">
        <v>63</v>
      </c>
    </row>
    <row r="2" spans="1:14" ht="15" thickBot="1" x14ac:dyDescent="0.35">
      <c r="A2" s="11" t="s">
        <v>25</v>
      </c>
    </row>
    <row r="3" spans="1:14" x14ac:dyDescent="0.3">
      <c r="A3" s="10" t="s">
        <v>29</v>
      </c>
    </row>
    <row r="4" spans="1:14" ht="15" thickBot="1" x14ac:dyDescent="0.35">
      <c r="A4" s="11" t="s">
        <v>27</v>
      </c>
      <c r="D4" s="34" t="s">
        <v>1</v>
      </c>
      <c r="E4" s="34" t="s">
        <v>2</v>
      </c>
      <c r="F4" s="34" t="s">
        <v>3</v>
      </c>
    </row>
    <row r="5" spans="1:14" x14ac:dyDescent="0.3">
      <c r="A5" s="10" t="s">
        <v>30</v>
      </c>
      <c r="D5" s="34">
        <v>5.2380952380952372</v>
      </c>
      <c r="E5" s="34">
        <v>0</v>
      </c>
      <c r="F5" s="34">
        <v>0</v>
      </c>
      <c r="H5"/>
      <c r="I5"/>
      <c r="J5"/>
    </row>
    <row r="6" spans="1:14" ht="15" thickBot="1" x14ac:dyDescent="0.35">
      <c r="A6" s="11" t="b">
        <f>AND(D18:F18,D22)</f>
        <v>1</v>
      </c>
    </row>
    <row r="7" spans="1:14" x14ac:dyDescent="0.3">
      <c r="A7" s="10" t="s">
        <v>31</v>
      </c>
      <c r="C7" t="s">
        <v>0</v>
      </c>
      <c r="D7" s="34">
        <v>2</v>
      </c>
      <c r="E7" s="34">
        <v>3</v>
      </c>
      <c r="F7" s="34">
        <v>4</v>
      </c>
      <c r="H7" s="34">
        <f>SUMPRODUCT($D$5:$F$5,D7:F7)</f>
        <v>10.476190476190474</v>
      </c>
    </row>
    <row r="8" spans="1:14" x14ac:dyDescent="0.3">
      <c r="A8" s="12" t="str">
        <f ca="1">IF(VALUE(INFO("RELEASE"))&gt;=16,"Optimal", "ErrorOccurred")</f>
        <v>Optimal</v>
      </c>
    </row>
    <row r="9" spans="1:14" ht="15" thickBot="1" x14ac:dyDescent="0.35">
      <c r="A9" s="11">
        <f ca="1">VLOOKUP(A8,OpenSolverResultCodes,2,FALSE)</f>
        <v>0</v>
      </c>
      <c r="C9" t="s">
        <v>4</v>
      </c>
      <c r="D9" s="34">
        <v>10</v>
      </c>
      <c r="E9" s="34">
        <v>11</v>
      </c>
      <c r="F9" s="34">
        <v>12</v>
      </c>
      <c r="H9" s="34">
        <f>SUMPRODUCT($D$5:$F$5,D9:F9)+5*P8</f>
        <v>52.380952380952372</v>
      </c>
      <c r="I9" s="34" t="s">
        <v>5</v>
      </c>
      <c r="J9" s="34">
        <v>60</v>
      </c>
    </row>
    <row r="10" spans="1:14" ht="15" thickBot="1" x14ac:dyDescent="0.35">
      <c r="A10" s="25" t="str">
        <f>HYPERLINK("[OpenSolver SheetNameCharTester.xlsm]Results!A1", "&lt;- Results")</f>
        <v>&lt;- Results</v>
      </c>
      <c r="D10" s="34">
        <v>21</v>
      </c>
      <c r="E10" s="34">
        <v>22</v>
      </c>
      <c r="F10" s="34">
        <v>23</v>
      </c>
      <c r="H10" s="34">
        <f>SUMPRODUCT($D$5:$F$5,D10:F10)</f>
        <v>109.99999999999999</v>
      </c>
      <c r="I10" s="34" t="s">
        <v>5</v>
      </c>
      <c r="J10" s="34">
        <v>150</v>
      </c>
      <c r="N10" t="str">
        <f ca="1">INFO("RELEASE")</f>
        <v>16.0</v>
      </c>
    </row>
    <row r="11" spans="1:14" x14ac:dyDescent="0.3">
      <c r="D11" s="34">
        <v>21</v>
      </c>
      <c r="E11" s="34">
        <v>22</v>
      </c>
      <c r="F11" s="34">
        <v>-23</v>
      </c>
      <c r="H11" s="34">
        <f>SUMPRODUCT($D$5:$F$5,D11:F11)</f>
        <v>109.99999999999999</v>
      </c>
      <c r="I11" s="34" t="s">
        <v>6</v>
      </c>
      <c r="J11" s="34">
        <v>110</v>
      </c>
    </row>
    <row r="12" spans="1:14" x14ac:dyDescent="0.3">
      <c r="D12" s="34">
        <v>19</v>
      </c>
      <c r="E12" s="34">
        <v>34</v>
      </c>
      <c r="F12" s="34">
        <v>-32</v>
      </c>
      <c r="H12" s="34">
        <f>SUMPRODUCT($D$5:$F$5,D12:F12)</f>
        <v>99.523809523809504</v>
      </c>
      <c r="I12" s="34" t="s">
        <v>5</v>
      </c>
      <c r="J12" s="34">
        <v>180</v>
      </c>
    </row>
    <row r="16" spans="1:14" x14ac:dyDescent="0.3">
      <c r="C16" s="3" t="s">
        <v>8</v>
      </c>
    </row>
    <row r="17" spans="1:9" x14ac:dyDescent="0.3">
      <c r="D17" s="34">
        <v>5.2380952380952372</v>
      </c>
      <c r="E17" s="34">
        <v>0</v>
      </c>
      <c r="F17" s="34">
        <v>0</v>
      </c>
    </row>
    <row r="18" spans="1:9" x14ac:dyDescent="0.3">
      <c r="C18" t="s">
        <v>10</v>
      </c>
      <c r="D18" s="2" t="b">
        <f>ABS(D5-D17)/(1+ABS(D17))&lt;=0.000001</f>
        <v>1</v>
      </c>
      <c r="E18" s="2" t="b">
        <f>ABS(E5-E17)/(1+ABS(E17))&lt;=0.000001</f>
        <v>1</v>
      </c>
      <c r="F18" s="2" t="b">
        <f>ABS(F5-F17)/(1+ABS(F17))&lt;=0.000001</f>
        <v>1</v>
      </c>
      <c r="I18" s="34" t="str">
        <f ca="1">INFO("RELEASE")</f>
        <v>16.0</v>
      </c>
    </row>
    <row r="20" spans="1:9" s="34" customFormat="1" x14ac:dyDescent="0.3">
      <c r="A20" s="8"/>
      <c r="C20" s="3" t="s">
        <v>9</v>
      </c>
    </row>
    <row r="21" spans="1:9" s="34" customFormat="1" x14ac:dyDescent="0.3">
      <c r="A21" s="8"/>
      <c r="C21"/>
      <c r="D21" s="34">
        <v>10.476190476190474</v>
      </c>
    </row>
    <row r="22" spans="1:9" s="34" customFormat="1" x14ac:dyDescent="0.3">
      <c r="A22" s="8"/>
      <c r="C22" t="s">
        <v>10</v>
      </c>
      <c r="D22" s="2" t="b">
        <f>ABS(D21-H7)/(1+ABS(D21))&lt;=0.000001</f>
        <v>1</v>
      </c>
    </row>
  </sheetData>
  <dataConsolidate/>
  <dataValidations count="3">
    <dataValidation type="list" allowBlank="1" showInputMessage="1" showErrorMessage="1" sqref="A2" xr:uid="{E755E9FB-8AB5-4097-8D83-4AD5763A8F64}">
      <formula1>TestType</formula1>
    </dataValidation>
    <dataValidation type="list" allowBlank="1" showInputMessage="1" showErrorMessage="1" sqref="A4" xr:uid="{D9F75ADD-9A67-4125-A2DB-1BCFC400AE21}">
      <formula1>ModelType</formula1>
    </dataValidation>
    <dataValidation type="list" errorStyle="warning" allowBlank="1" showInputMessage="1" showErrorMessage="1" sqref="A8" xr:uid="{FD7353F7-632A-4701-A1EC-605017DCD6B9}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99D2A-163B-4853-B824-7E28E319EDF0}">
  <sheetPr codeName="BadName18"/>
  <dimension ref="A1:N22"/>
  <sheetViews>
    <sheetView workbookViewId="0">
      <selection activeCell="C2" sqref="C2"/>
    </sheetView>
  </sheetViews>
  <sheetFormatPr defaultColWidth="8.88671875" defaultRowHeight="14.4" x14ac:dyDescent="0.3"/>
  <cols>
    <col min="1" max="1" width="15" style="8" bestFit="1" customWidth="1"/>
    <col min="2" max="2" width="2.33203125" customWidth="1"/>
    <col min="3" max="3" width="4.88671875" customWidth="1"/>
    <col min="4" max="4" width="7.6640625" style="34" customWidth="1"/>
    <col min="5" max="6" width="5.109375" style="34" customWidth="1"/>
    <col min="7" max="7" width="3.109375" style="34" customWidth="1"/>
    <col min="8" max="8" width="8.33203125" style="34" customWidth="1"/>
    <col min="9" max="9" width="3" style="34" bestFit="1" customWidth="1"/>
    <col min="10" max="10" width="6" style="34" customWidth="1"/>
    <col min="14" max="14" width="7.6640625" customWidth="1"/>
  </cols>
  <sheetData>
    <row r="1" spans="1:14" x14ac:dyDescent="0.3">
      <c r="A1" s="10" t="s">
        <v>24</v>
      </c>
      <c r="C1" t="s">
        <v>65</v>
      </c>
    </row>
    <row r="2" spans="1:14" ht="15" thickBot="1" x14ac:dyDescent="0.35">
      <c r="A2" s="11" t="s">
        <v>25</v>
      </c>
    </row>
    <row r="3" spans="1:14" x14ac:dyDescent="0.3">
      <c r="A3" s="10" t="s">
        <v>29</v>
      </c>
    </row>
    <row r="4" spans="1:14" ht="15" thickBot="1" x14ac:dyDescent="0.35">
      <c r="A4" s="11" t="s">
        <v>27</v>
      </c>
      <c r="D4" s="34" t="s">
        <v>1</v>
      </c>
      <c r="E4" s="34" t="s">
        <v>2</v>
      </c>
      <c r="F4" s="34" t="s">
        <v>3</v>
      </c>
    </row>
    <row r="5" spans="1:14" x14ac:dyDescent="0.3">
      <c r="A5" s="10" t="s">
        <v>30</v>
      </c>
      <c r="D5" s="34">
        <v>8.9884656743115785E+307</v>
      </c>
      <c r="E5" s="34">
        <v>8.9884656743115785E+307</v>
      </c>
      <c r="F5" s="34">
        <v>8.9884656743115785E+307</v>
      </c>
      <c r="H5"/>
      <c r="I5"/>
      <c r="J5"/>
    </row>
    <row r="6" spans="1:14" ht="15" thickBot="1" x14ac:dyDescent="0.35">
      <c r="A6" s="11" t="e">
        <f>AND(D18:F18,D22)</f>
        <v>#NUM!</v>
      </c>
    </row>
    <row r="7" spans="1:14" x14ac:dyDescent="0.3">
      <c r="A7" s="10" t="s">
        <v>31</v>
      </c>
      <c r="C7" t="s">
        <v>0</v>
      </c>
      <c r="D7" s="34">
        <v>2</v>
      </c>
      <c r="E7" s="34">
        <v>3</v>
      </c>
      <c r="F7" s="34">
        <v>4</v>
      </c>
      <c r="H7" s="34" t="e">
        <f>SUMPRODUCT($D$5:$F$5,D7:F7)</f>
        <v>#NUM!</v>
      </c>
    </row>
    <row r="8" spans="1:14" x14ac:dyDescent="0.3">
      <c r="A8" s="12" t="str">
        <f ca="1">IF(VALUE(INFO("RELEASE"))&gt;=16,"Optimal", "ErrorOccurred")</f>
        <v>Optimal</v>
      </c>
    </row>
    <row r="9" spans="1:14" ht="15" thickBot="1" x14ac:dyDescent="0.35">
      <c r="A9" s="11">
        <f ca="1">VLOOKUP(A8,OpenSolverResultCodes,2,FALSE)</f>
        <v>0</v>
      </c>
      <c r="C9" t="s">
        <v>4</v>
      </c>
      <c r="D9" s="34">
        <v>10</v>
      </c>
      <c r="E9" s="34">
        <v>11</v>
      </c>
      <c r="F9" s="34">
        <v>12</v>
      </c>
      <c r="H9" s="34" t="e">
        <f>SUMPRODUCT($D$5:$F$5,D9:F9)+5*P8</f>
        <v>#NUM!</v>
      </c>
      <c r="I9" s="34" t="s">
        <v>5</v>
      </c>
      <c r="J9" s="34">
        <v>60</v>
      </c>
    </row>
    <row r="10" spans="1:14" ht="15" thickBot="1" x14ac:dyDescent="0.35">
      <c r="A10" s="25" t="str">
        <f>HYPERLINK("[OpenSolver SheetNameCharTester.xlsm]Results!A1", "&lt;- Results")</f>
        <v>&lt;- Results</v>
      </c>
      <c r="D10" s="34">
        <v>21</v>
      </c>
      <c r="E10" s="34">
        <v>22</v>
      </c>
      <c r="F10" s="34">
        <v>23</v>
      </c>
      <c r="H10" s="34" t="e">
        <f>SUMPRODUCT($D$5:$F$5,D10:F10)</f>
        <v>#NUM!</v>
      </c>
      <c r="I10" s="34" t="s">
        <v>5</v>
      </c>
      <c r="J10" s="34">
        <v>150</v>
      </c>
      <c r="N10" t="str">
        <f ca="1">INFO("RELEASE")</f>
        <v>16.0</v>
      </c>
    </row>
    <row r="11" spans="1:14" x14ac:dyDescent="0.3">
      <c r="D11" s="34">
        <v>21</v>
      </c>
      <c r="E11" s="34">
        <v>22</v>
      </c>
      <c r="F11" s="34">
        <v>-23</v>
      </c>
      <c r="H11" s="34" t="e">
        <f>SUMPRODUCT($D$5:$F$5,D11:F11)</f>
        <v>#NUM!</v>
      </c>
      <c r="I11" s="34" t="s">
        <v>6</v>
      </c>
      <c r="J11" s="34">
        <v>110</v>
      </c>
    </row>
    <row r="12" spans="1:14" x14ac:dyDescent="0.3">
      <c r="D12" s="34">
        <v>19</v>
      </c>
      <c r="E12" s="34">
        <v>34</v>
      </c>
      <c r="F12" s="34">
        <v>-32</v>
      </c>
      <c r="H12" s="34" t="e">
        <f>SUMPRODUCT($D$5:$F$5,D12:F12)</f>
        <v>#NUM!</v>
      </c>
      <c r="I12" s="34" t="s">
        <v>5</v>
      </c>
      <c r="J12" s="34">
        <v>180</v>
      </c>
    </row>
    <row r="16" spans="1:14" x14ac:dyDescent="0.3">
      <c r="C16" s="3" t="s">
        <v>8</v>
      </c>
    </row>
    <row r="17" spans="1:9" x14ac:dyDescent="0.3">
      <c r="D17" s="34">
        <v>5.2380952380952372</v>
      </c>
      <c r="E17" s="34">
        <v>0</v>
      </c>
      <c r="F17" s="34">
        <v>0</v>
      </c>
    </row>
    <row r="18" spans="1:9" x14ac:dyDescent="0.3">
      <c r="C18" t="s">
        <v>10</v>
      </c>
      <c r="D18" s="2" t="b">
        <f>ABS(D5-D17)/(1+ABS(D17))&lt;=0.000001</f>
        <v>0</v>
      </c>
      <c r="E18" s="2" t="b">
        <f>ABS(E5-E17)/(1+ABS(E17))&lt;=0.000001</f>
        <v>0</v>
      </c>
      <c r="F18" s="2" t="b">
        <f>ABS(F5-F17)/(1+ABS(F17))&lt;=0.000001</f>
        <v>0</v>
      </c>
      <c r="I18" s="34" t="str">
        <f ca="1">INFO("RELEASE")</f>
        <v>16.0</v>
      </c>
    </row>
    <row r="20" spans="1:9" s="34" customFormat="1" x14ac:dyDescent="0.3">
      <c r="A20" s="8"/>
      <c r="C20" s="3" t="s">
        <v>9</v>
      </c>
    </row>
    <row r="21" spans="1:9" s="34" customFormat="1" x14ac:dyDescent="0.3">
      <c r="A21" s="8"/>
      <c r="C21"/>
      <c r="D21" s="34">
        <v>10.476190476190474</v>
      </c>
    </row>
    <row r="22" spans="1:9" s="34" customFormat="1" x14ac:dyDescent="0.3">
      <c r="A22" s="8"/>
      <c r="C22" t="s">
        <v>10</v>
      </c>
      <c r="D22" s="2" t="e">
        <f>ABS(D21-H7)/(1+ABS(D21))&lt;=0.000001</f>
        <v>#NUM!</v>
      </c>
    </row>
  </sheetData>
  <dataConsolidate/>
  <dataValidations count="3">
    <dataValidation type="list" errorStyle="warning" allowBlank="1" showInputMessage="1" showErrorMessage="1" sqref="A8" xr:uid="{26E65C93-CBDB-4488-9C46-9287C75BA7A2}">
      <formula1>OpenSolverResult</formula1>
    </dataValidation>
    <dataValidation type="list" allowBlank="1" showInputMessage="1" showErrorMessage="1" sqref="A4" xr:uid="{3222458A-EDB2-49ED-8E24-A97139F91599}">
      <formula1>ModelType</formula1>
    </dataValidation>
    <dataValidation type="list" allowBlank="1" showInputMessage="1" showErrorMessage="1" sqref="A2" xr:uid="{4F12AAC8-0B3C-4B84-A105-AECB0EF7B8A2}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23FA6-3835-4B95-904A-6CFB284074CA}">
  <sheetPr codeName="BadName19"/>
  <dimension ref="A1:N22"/>
  <sheetViews>
    <sheetView workbookViewId="0">
      <selection activeCell="C2" sqref="C2"/>
    </sheetView>
  </sheetViews>
  <sheetFormatPr defaultColWidth="8.88671875" defaultRowHeight="14.4" x14ac:dyDescent="0.3"/>
  <cols>
    <col min="1" max="1" width="15" style="8" bestFit="1" customWidth="1"/>
    <col min="2" max="2" width="2.33203125" customWidth="1"/>
    <col min="3" max="3" width="4.88671875" customWidth="1"/>
    <col min="4" max="4" width="7.6640625" style="34" customWidth="1"/>
    <col min="5" max="6" width="5.109375" style="34" customWidth="1"/>
    <col min="7" max="7" width="3.109375" style="34" customWidth="1"/>
    <col min="8" max="8" width="8.33203125" style="34" customWidth="1"/>
    <col min="9" max="9" width="3" style="34" bestFit="1" customWidth="1"/>
    <col min="10" max="10" width="6" style="34" customWidth="1"/>
    <col min="14" max="14" width="7.6640625" customWidth="1"/>
  </cols>
  <sheetData>
    <row r="1" spans="1:14" x14ac:dyDescent="0.3">
      <c r="A1" s="10" t="s">
        <v>24</v>
      </c>
      <c r="C1" t="s">
        <v>65</v>
      </c>
    </row>
    <row r="2" spans="1:14" ht="15" thickBot="1" x14ac:dyDescent="0.35">
      <c r="A2" s="11" t="s">
        <v>25</v>
      </c>
    </row>
    <row r="3" spans="1:14" x14ac:dyDescent="0.3">
      <c r="A3" s="10" t="s">
        <v>29</v>
      </c>
    </row>
    <row r="4" spans="1:14" ht="15" thickBot="1" x14ac:dyDescent="0.35">
      <c r="A4" s="11" t="s">
        <v>27</v>
      </c>
      <c r="D4" s="34" t="s">
        <v>1</v>
      </c>
      <c r="E4" s="34" t="s">
        <v>2</v>
      </c>
      <c r="F4" s="34" t="s">
        <v>3</v>
      </c>
    </row>
    <row r="5" spans="1:14" x14ac:dyDescent="0.3">
      <c r="A5" s="10" t="s">
        <v>30</v>
      </c>
      <c r="D5" s="34">
        <v>5.2380952380952372</v>
      </c>
      <c r="E5" s="34">
        <v>0</v>
      </c>
      <c r="F5" s="34">
        <v>0</v>
      </c>
      <c r="H5"/>
      <c r="I5"/>
      <c r="J5"/>
    </row>
    <row r="6" spans="1:14" ht="15" thickBot="1" x14ac:dyDescent="0.35">
      <c r="A6" s="11" t="b">
        <f>AND(D18:F18,D22)</f>
        <v>1</v>
      </c>
    </row>
    <row r="7" spans="1:14" x14ac:dyDescent="0.3">
      <c r="A7" s="10" t="s">
        <v>31</v>
      </c>
      <c r="C7" t="s">
        <v>0</v>
      </c>
      <c r="D7" s="34">
        <v>2</v>
      </c>
      <c r="E7" s="34">
        <v>3</v>
      </c>
      <c r="F7" s="34">
        <v>4</v>
      </c>
      <c r="H7" s="34">
        <f>SUMPRODUCT($D$5:$F$5,D7:F7)</f>
        <v>10.476190476190474</v>
      </c>
    </row>
    <row r="8" spans="1:14" x14ac:dyDescent="0.3">
      <c r="A8" s="12" t="str">
        <f ca="1">IF(VALUE(INFO("RELEASE"))&gt;=16,"Optimal", "ErrorOccurred")</f>
        <v>Optimal</v>
      </c>
    </row>
    <row r="9" spans="1:14" ht="15" thickBot="1" x14ac:dyDescent="0.35">
      <c r="A9" s="11">
        <f ca="1">VLOOKUP(A8,OpenSolverResultCodes,2,FALSE)</f>
        <v>0</v>
      </c>
      <c r="C9" t="s">
        <v>4</v>
      </c>
      <c r="D9" s="34">
        <v>10</v>
      </c>
      <c r="E9" s="34">
        <v>11</v>
      </c>
      <c r="F9" s="34">
        <v>12</v>
      </c>
      <c r="H9" s="34">
        <f>SUMPRODUCT($D$5:$F$5,D9:F9)+5*P8</f>
        <v>52.380952380952372</v>
      </c>
      <c r="I9" s="34" t="s">
        <v>5</v>
      </c>
      <c r="J9" s="34">
        <v>60</v>
      </c>
    </row>
    <row r="10" spans="1:14" ht="15" thickBot="1" x14ac:dyDescent="0.35">
      <c r="A10" s="25" t="str">
        <f>HYPERLINK("[OpenSolver SheetNameCharTester.xlsm]Results!A1", "&lt;- Results")</f>
        <v>&lt;- Results</v>
      </c>
      <c r="D10" s="34">
        <v>21</v>
      </c>
      <c r="E10" s="34">
        <v>22</v>
      </c>
      <c r="F10" s="34">
        <v>23</v>
      </c>
      <c r="H10" s="34">
        <f>SUMPRODUCT($D$5:$F$5,D10:F10)</f>
        <v>109.99999999999999</v>
      </c>
      <c r="I10" s="34" t="s">
        <v>5</v>
      </c>
      <c r="J10" s="34">
        <v>150</v>
      </c>
      <c r="N10" t="str">
        <f ca="1">INFO("RELEASE")</f>
        <v>16.0</v>
      </c>
    </row>
    <row r="11" spans="1:14" x14ac:dyDescent="0.3">
      <c r="D11" s="34">
        <v>21</v>
      </c>
      <c r="E11" s="34">
        <v>22</v>
      </c>
      <c r="F11" s="34">
        <v>-23</v>
      </c>
      <c r="H11" s="34">
        <f>SUMPRODUCT($D$5:$F$5,D11:F11)</f>
        <v>109.99999999999999</v>
      </c>
      <c r="I11" s="34" t="s">
        <v>6</v>
      </c>
      <c r="J11" s="34">
        <v>110</v>
      </c>
    </row>
    <row r="12" spans="1:14" x14ac:dyDescent="0.3">
      <c r="D12" s="34">
        <v>19</v>
      </c>
      <c r="E12" s="34">
        <v>34</v>
      </c>
      <c r="F12" s="34">
        <v>-32</v>
      </c>
      <c r="H12" s="34">
        <f>SUMPRODUCT($D$5:$F$5,D12:F12)</f>
        <v>99.523809523809504</v>
      </c>
      <c r="I12" s="34" t="s">
        <v>5</v>
      </c>
      <c r="J12" s="34">
        <v>180</v>
      </c>
    </row>
    <row r="16" spans="1:14" x14ac:dyDescent="0.3">
      <c r="C16" s="3" t="s">
        <v>8</v>
      </c>
    </row>
    <row r="17" spans="1:9" x14ac:dyDescent="0.3">
      <c r="D17" s="34">
        <v>5.2380952380952372</v>
      </c>
      <c r="E17" s="34">
        <v>0</v>
      </c>
      <c r="F17" s="34">
        <v>0</v>
      </c>
    </row>
    <row r="18" spans="1:9" x14ac:dyDescent="0.3">
      <c r="C18" t="s">
        <v>10</v>
      </c>
      <c r="D18" s="2" t="b">
        <f>ABS(D5-D17)/(1+ABS(D17))&lt;=0.000001</f>
        <v>1</v>
      </c>
      <c r="E18" s="2" t="b">
        <f>ABS(E5-E17)/(1+ABS(E17))&lt;=0.000001</f>
        <v>1</v>
      </c>
      <c r="F18" s="2" t="b">
        <f>ABS(F5-F17)/(1+ABS(F17))&lt;=0.000001</f>
        <v>1</v>
      </c>
      <c r="I18" s="34" t="str">
        <f ca="1">INFO("RELEASE")</f>
        <v>16.0</v>
      </c>
    </row>
    <row r="20" spans="1:9" s="34" customFormat="1" x14ac:dyDescent="0.3">
      <c r="A20" s="8"/>
      <c r="C20" s="3" t="s">
        <v>9</v>
      </c>
    </row>
    <row r="21" spans="1:9" s="34" customFormat="1" x14ac:dyDescent="0.3">
      <c r="A21" s="8"/>
      <c r="C21"/>
      <c r="D21" s="34">
        <v>10.476190476190474</v>
      </c>
    </row>
    <row r="22" spans="1:9" s="34" customFormat="1" x14ac:dyDescent="0.3">
      <c r="A22" s="8"/>
      <c r="C22" t="s">
        <v>10</v>
      </c>
      <c r="D22" s="2" t="b">
        <f>ABS(D21-H7)/(1+ABS(D21))&lt;=0.000001</f>
        <v>1</v>
      </c>
    </row>
  </sheetData>
  <dataConsolidate/>
  <dataValidations count="3">
    <dataValidation type="list" allowBlank="1" showInputMessage="1" showErrorMessage="1" sqref="A2" xr:uid="{D049C4C1-8B2F-489C-B134-54A07B1DE7D8}">
      <formula1>TestType</formula1>
    </dataValidation>
    <dataValidation type="list" allowBlank="1" showInputMessage="1" showErrorMessage="1" sqref="A4" xr:uid="{D04CC335-2C68-48FC-BA67-C111C76019C2}">
      <formula1>ModelType</formula1>
    </dataValidation>
    <dataValidation type="list" errorStyle="warning" allowBlank="1" showInputMessage="1" showErrorMessage="1" sqref="A8" xr:uid="{5EA5A4F5-7770-4136-98B1-59C0B6BA5675}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1159-6FA4-494E-8351-F8B7A30DC01D}">
  <sheetPr codeName="BadName20"/>
  <dimension ref="A1:N22"/>
  <sheetViews>
    <sheetView workbookViewId="0">
      <selection activeCell="C2" sqref="C2"/>
    </sheetView>
  </sheetViews>
  <sheetFormatPr defaultColWidth="8.88671875" defaultRowHeight="14.4" x14ac:dyDescent="0.3"/>
  <cols>
    <col min="1" max="1" width="15" style="8" bestFit="1" customWidth="1"/>
    <col min="2" max="2" width="2.33203125" customWidth="1"/>
    <col min="3" max="3" width="4.88671875" customWidth="1"/>
    <col min="4" max="4" width="7.6640625" style="34" customWidth="1"/>
    <col min="5" max="6" width="5.109375" style="34" customWidth="1"/>
    <col min="7" max="7" width="3.109375" style="34" customWidth="1"/>
    <col min="8" max="8" width="8.33203125" style="34" customWidth="1"/>
    <col min="9" max="9" width="3" style="34" bestFit="1" customWidth="1"/>
    <col min="10" max="10" width="6" style="34" customWidth="1"/>
    <col min="14" max="14" width="7.6640625" customWidth="1"/>
  </cols>
  <sheetData>
    <row r="1" spans="1:14" x14ac:dyDescent="0.3">
      <c r="A1" s="10" t="s">
        <v>24</v>
      </c>
      <c r="C1" t="s">
        <v>66</v>
      </c>
    </row>
    <row r="2" spans="1:14" ht="15" thickBot="1" x14ac:dyDescent="0.35">
      <c r="A2" s="11" t="s">
        <v>25</v>
      </c>
    </row>
    <row r="3" spans="1:14" x14ac:dyDescent="0.3">
      <c r="A3" s="10" t="s">
        <v>29</v>
      </c>
    </row>
    <row r="4" spans="1:14" ht="15" thickBot="1" x14ac:dyDescent="0.35">
      <c r="A4" s="11" t="s">
        <v>27</v>
      </c>
      <c r="D4" s="34" t="s">
        <v>1</v>
      </c>
      <c r="E4" s="34" t="s">
        <v>2</v>
      </c>
      <c r="F4" s="34" t="s">
        <v>3</v>
      </c>
    </row>
    <row r="5" spans="1:14" x14ac:dyDescent="0.3">
      <c r="A5" s="10" t="s">
        <v>30</v>
      </c>
      <c r="D5" s="34">
        <v>5.2380952380952372</v>
      </c>
      <c r="E5" s="34">
        <v>0</v>
      </c>
      <c r="F5" s="34">
        <v>0</v>
      </c>
      <c r="H5"/>
      <c r="I5"/>
      <c r="J5"/>
    </row>
    <row r="6" spans="1:14" ht="15" thickBot="1" x14ac:dyDescent="0.35">
      <c r="A6" s="11" t="b">
        <f>AND(D18:F18,D22)</f>
        <v>1</v>
      </c>
    </row>
    <row r="7" spans="1:14" x14ac:dyDescent="0.3">
      <c r="A7" s="10" t="s">
        <v>31</v>
      </c>
      <c r="C7" t="s">
        <v>0</v>
      </c>
      <c r="D7" s="34">
        <v>2</v>
      </c>
      <c r="E7" s="34">
        <v>3</v>
      </c>
      <c r="F7" s="34">
        <v>4</v>
      </c>
      <c r="H7" s="34">
        <f>SUMPRODUCT($D$5:$F$5,D7:F7)</f>
        <v>10.476190476190474</v>
      </c>
    </row>
    <row r="8" spans="1:14" x14ac:dyDescent="0.3">
      <c r="A8" s="12" t="str">
        <f ca="1">IF(VALUE(INFO("RELEASE"))&gt;=16,"Optimal", "ErrorOccurred")</f>
        <v>Optimal</v>
      </c>
    </row>
    <row r="9" spans="1:14" ht="15" thickBot="1" x14ac:dyDescent="0.35">
      <c r="A9" s="11">
        <f ca="1">VLOOKUP(A8,OpenSolverResultCodes,2,FALSE)</f>
        <v>0</v>
      </c>
      <c r="C9" t="s">
        <v>4</v>
      </c>
      <c r="D9" s="34">
        <v>10</v>
      </c>
      <c r="E9" s="34">
        <v>11</v>
      </c>
      <c r="F9" s="34">
        <v>12</v>
      </c>
      <c r="H9" s="34">
        <f>SUMPRODUCT($D$5:$F$5,D9:F9)+5*P8</f>
        <v>52.380952380952372</v>
      </c>
      <c r="I9" s="34" t="s">
        <v>5</v>
      </c>
      <c r="J9" s="34">
        <v>60</v>
      </c>
    </row>
    <row r="10" spans="1:14" ht="15" thickBot="1" x14ac:dyDescent="0.35">
      <c r="A10" s="25" t="str">
        <f>HYPERLINK("[OpenSolver SheetNameCharTester.xlsm]Results!A1", "&lt;- Results")</f>
        <v>&lt;- Results</v>
      </c>
      <c r="D10" s="34">
        <v>21</v>
      </c>
      <c r="E10" s="34">
        <v>22</v>
      </c>
      <c r="F10" s="34">
        <v>23</v>
      </c>
      <c r="H10" s="34">
        <f>SUMPRODUCT($D$5:$F$5,D10:F10)</f>
        <v>109.99999999999999</v>
      </c>
      <c r="I10" s="34" t="s">
        <v>5</v>
      </c>
      <c r="J10" s="34">
        <v>150</v>
      </c>
      <c r="N10" t="str">
        <f ca="1">INFO("RELEASE")</f>
        <v>16.0</v>
      </c>
    </row>
    <row r="11" spans="1:14" x14ac:dyDescent="0.3">
      <c r="D11" s="34">
        <v>21</v>
      </c>
      <c r="E11" s="34">
        <v>22</v>
      </c>
      <c r="F11" s="34">
        <v>-23</v>
      </c>
      <c r="H11" s="34">
        <f>SUMPRODUCT($D$5:$F$5,D11:F11)</f>
        <v>109.99999999999999</v>
      </c>
      <c r="I11" s="34" t="s">
        <v>6</v>
      </c>
      <c r="J11" s="34">
        <v>110</v>
      </c>
    </row>
    <row r="12" spans="1:14" x14ac:dyDescent="0.3">
      <c r="D12" s="34">
        <v>19</v>
      </c>
      <c r="E12" s="34">
        <v>34</v>
      </c>
      <c r="F12" s="34">
        <v>-32</v>
      </c>
      <c r="H12" s="34">
        <f>SUMPRODUCT($D$5:$F$5,D12:F12)</f>
        <v>99.523809523809504</v>
      </c>
      <c r="I12" s="34" t="s">
        <v>5</v>
      </c>
      <c r="J12" s="34">
        <v>180</v>
      </c>
    </row>
    <row r="16" spans="1:14" x14ac:dyDescent="0.3">
      <c r="C16" s="3" t="s">
        <v>8</v>
      </c>
    </row>
    <row r="17" spans="1:9" x14ac:dyDescent="0.3">
      <c r="D17" s="34">
        <v>5.2380952380952372</v>
      </c>
      <c r="E17" s="34">
        <v>0</v>
      </c>
      <c r="F17" s="34">
        <v>0</v>
      </c>
    </row>
    <row r="18" spans="1:9" x14ac:dyDescent="0.3">
      <c r="C18" t="s">
        <v>10</v>
      </c>
      <c r="D18" s="2" t="b">
        <f>ABS(D5-D17)/(1+ABS(D17))&lt;=0.000001</f>
        <v>1</v>
      </c>
      <c r="E18" s="2" t="b">
        <f>ABS(E5-E17)/(1+ABS(E17))&lt;=0.000001</f>
        <v>1</v>
      </c>
      <c r="F18" s="2" t="b">
        <f>ABS(F5-F17)/(1+ABS(F17))&lt;=0.000001</f>
        <v>1</v>
      </c>
      <c r="I18" s="34" t="str">
        <f ca="1">INFO("RELEASE")</f>
        <v>16.0</v>
      </c>
    </row>
    <row r="20" spans="1:9" s="34" customFormat="1" x14ac:dyDescent="0.3">
      <c r="A20" s="8"/>
      <c r="C20" s="3" t="s">
        <v>9</v>
      </c>
    </row>
    <row r="21" spans="1:9" s="34" customFormat="1" x14ac:dyDescent="0.3">
      <c r="A21" s="8"/>
      <c r="C21"/>
      <c r="D21" s="34">
        <v>10.476190476190474</v>
      </c>
    </row>
    <row r="22" spans="1:9" s="34" customFormat="1" x14ac:dyDescent="0.3">
      <c r="A22" s="8"/>
      <c r="C22" t="s">
        <v>10</v>
      </c>
      <c r="D22" s="2" t="b">
        <f>ABS(D21-H7)/(1+ABS(D21))&lt;=0.000001</f>
        <v>1</v>
      </c>
    </row>
  </sheetData>
  <dataConsolidate/>
  <dataValidations count="3">
    <dataValidation type="list" errorStyle="warning" allowBlank="1" showInputMessage="1" showErrorMessage="1" sqref="A8" xr:uid="{3EEA173B-B668-4475-87B4-1854357E0C95}">
      <formula1>OpenSolverResult</formula1>
    </dataValidation>
    <dataValidation type="list" allowBlank="1" showInputMessage="1" showErrorMessage="1" sqref="A4" xr:uid="{7FCCFB55-ECFC-411A-87EF-034EAFC73310}">
      <formula1>ModelType</formula1>
    </dataValidation>
    <dataValidation type="list" allowBlank="1" showInputMessage="1" showErrorMessage="1" sqref="A2" xr:uid="{C12806B9-6E30-458F-91DF-59BE4DB31BAD}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43BFD-4007-41E5-A069-BD17D0BA1CB5}">
  <sheetPr codeName="BadName21"/>
  <dimension ref="A1:N22"/>
  <sheetViews>
    <sheetView workbookViewId="0">
      <selection activeCell="C2" sqref="C2"/>
    </sheetView>
  </sheetViews>
  <sheetFormatPr defaultColWidth="8.88671875" defaultRowHeight="14.4" x14ac:dyDescent="0.3"/>
  <cols>
    <col min="1" max="1" width="15" style="8" bestFit="1" customWidth="1"/>
    <col min="2" max="2" width="2.33203125" customWidth="1"/>
    <col min="3" max="3" width="4.88671875" customWidth="1"/>
    <col min="4" max="4" width="7.6640625" style="34" customWidth="1"/>
    <col min="5" max="6" width="5.109375" style="34" customWidth="1"/>
    <col min="7" max="7" width="3.109375" style="34" customWidth="1"/>
    <col min="8" max="8" width="8.33203125" style="34" customWidth="1"/>
    <col min="9" max="9" width="3" style="34" bestFit="1" customWidth="1"/>
    <col min="10" max="10" width="6" style="34" customWidth="1"/>
    <col min="14" max="14" width="7.6640625" customWidth="1"/>
  </cols>
  <sheetData>
    <row r="1" spans="1:14" x14ac:dyDescent="0.3">
      <c r="A1" s="10" t="s">
        <v>24</v>
      </c>
      <c r="C1" t="s">
        <v>67</v>
      </c>
    </row>
    <row r="2" spans="1:14" ht="15" thickBot="1" x14ac:dyDescent="0.35">
      <c r="A2" s="11" t="s">
        <v>25</v>
      </c>
    </row>
    <row r="3" spans="1:14" x14ac:dyDescent="0.3">
      <c r="A3" s="10" t="s">
        <v>29</v>
      </c>
    </row>
    <row r="4" spans="1:14" ht="15" thickBot="1" x14ac:dyDescent="0.35">
      <c r="A4" s="11" t="s">
        <v>27</v>
      </c>
      <c r="D4" s="34" t="s">
        <v>1</v>
      </c>
      <c r="E4" s="34" t="s">
        <v>2</v>
      </c>
      <c r="F4" s="34" t="s">
        <v>3</v>
      </c>
    </row>
    <row r="5" spans="1:14" x14ac:dyDescent="0.3">
      <c r="A5" s="10" t="s">
        <v>30</v>
      </c>
      <c r="D5" s="34">
        <v>5.2380952380952372</v>
      </c>
      <c r="E5" s="34">
        <v>0</v>
      </c>
      <c r="F5" s="34">
        <v>0</v>
      </c>
      <c r="H5"/>
      <c r="I5"/>
      <c r="J5"/>
    </row>
    <row r="6" spans="1:14" ht="15" thickBot="1" x14ac:dyDescent="0.35">
      <c r="A6" s="11" t="b">
        <f>AND(D18:F18,D22)</f>
        <v>1</v>
      </c>
    </row>
    <row r="7" spans="1:14" x14ac:dyDescent="0.3">
      <c r="A7" s="10" t="s">
        <v>31</v>
      </c>
      <c r="C7" t="s">
        <v>0</v>
      </c>
      <c r="D7" s="34">
        <v>2</v>
      </c>
      <c r="E7" s="34">
        <v>3</v>
      </c>
      <c r="F7" s="34">
        <v>4</v>
      </c>
      <c r="H7" s="34">
        <f>SUMPRODUCT($D$5:$F$5,D7:F7)</f>
        <v>10.476190476190474</v>
      </c>
    </row>
    <row r="8" spans="1:14" x14ac:dyDescent="0.3">
      <c r="A8" s="12" t="str">
        <f ca="1">IF(VALUE(INFO("RELEASE"))&gt;=16,"Optimal", "ErrorOccurred")</f>
        <v>Optimal</v>
      </c>
    </row>
    <row r="9" spans="1:14" ht="15" thickBot="1" x14ac:dyDescent="0.35">
      <c r="A9" s="11">
        <f ca="1">VLOOKUP(A8,OpenSolverResultCodes,2,FALSE)</f>
        <v>0</v>
      </c>
      <c r="C9" t="s">
        <v>4</v>
      </c>
      <c r="D9" s="34">
        <v>10</v>
      </c>
      <c r="E9" s="34">
        <v>11</v>
      </c>
      <c r="F9" s="34">
        <v>12</v>
      </c>
      <c r="H9" s="34">
        <f>SUMPRODUCT($D$5:$F$5,D9:F9)+5*P8</f>
        <v>52.380952380952372</v>
      </c>
      <c r="I9" s="34" t="s">
        <v>5</v>
      </c>
      <c r="J9" s="34">
        <v>60</v>
      </c>
    </row>
    <row r="10" spans="1:14" ht="15" thickBot="1" x14ac:dyDescent="0.35">
      <c r="A10" s="25" t="str">
        <f>HYPERLINK("[OpenSolver SheetNameCharTester.xlsm]Results!A1", "&lt;- Results")</f>
        <v>&lt;- Results</v>
      </c>
      <c r="D10" s="34">
        <v>21</v>
      </c>
      <c r="E10" s="34">
        <v>22</v>
      </c>
      <c r="F10" s="34">
        <v>23</v>
      </c>
      <c r="H10" s="34">
        <f>SUMPRODUCT($D$5:$F$5,D10:F10)</f>
        <v>109.99999999999999</v>
      </c>
      <c r="I10" s="34" t="s">
        <v>5</v>
      </c>
      <c r="J10" s="34">
        <v>150</v>
      </c>
      <c r="N10" t="str">
        <f ca="1">INFO("RELEASE")</f>
        <v>16.0</v>
      </c>
    </row>
    <row r="11" spans="1:14" x14ac:dyDescent="0.3">
      <c r="D11" s="34">
        <v>21</v>
      </c>
      <c r="E11" s="34">
        <v>22</v>
      </c>
      <c r="F11" s="34">
        <v>-23</v>
      </c>
      <c r="H11" s="34">
        <f>SUMPRODUCT($D$5:$F$5,D11:F11)</f>
        <v>109.99999999999999</v>
      </c>
      <c r="I11" s="34" t="s">
        <v>6</v>
      </c>
      <c r="J11" s="34">
        <v>110</v>
      </c>
    </row>
    <row r="12" spans="1:14" x14ac:dyDescent="0.3">
      <c r="D12" s="34">
        <v>19</v>
      </c>
      <c r="E12" s="34">
        <v>34</v>
      </c>
      <c r="F12" s="34">
        <v>-32</v>
      </c>
      <c r="H12" s="34">
        <f>SUMPRODUCT($D$5:$F$5,D12:F12)</f>
        <v>99.523809523809504</v>
      </c>
      <c r="I12" s="34" t="s">
        <v>5</v>
      </c>
      <c r="J12" s="34">
        <v>180</v>
      </c>
    </row>
    <row r="16" spans="1:14" x14ac:dyDescent="0.3">
      <c r="C16" s="3" t="s">
        <v>8</v>
      </c>
    </row>
    <row r="17" spans="1:9" x14ac:dyDescent="0.3">
      <c r="D17" s="34">
        <v>5.2380952380952372</v>
      </c>
      <c r="E17" s="34">
        <v>0</v>
      </c>
      <c r="F17" s="34">
        <v>0</v>
      </c>
    </row>
    <row r="18" spans="1:9" x14ac:dyDescent="0.3">
      <c r="C18" t="s">
        <v>10</v>
      </c>
      <c r="D18" s="2" t="b">
        <f>ABS(D5-D17)/(1+ABS(D17))&lt;=0.000001</f>
        <v>1</v>
      </c>
      <c r="E18" s="2" t="b">
        <f>ABS(E5-E17)/(1+ABS(E17))&lt;=0.000001</f>
        <v>1</v>
      </c>
      <c r="F18" s="2" t="b">
        <f>ABS(F5-F17)/(1+ABS(F17))&lt;=0.000001</f>
        <v>1</v>
      </c>
      <c r="I18" s="34" t="str">
        <f ca="1">INFO("RELEASE")</f>
        <v>16.0</v>
      </c>
    </row>
    <row r="20" spans="1:9" s="34" customFormat="1" x14ac:dyDescent="0.3">
      <c r="A20" s="8"/>
      <c r="C20" s="3" t="s">
        <v>9</v>
      </c>
    </row>
    <row r="21" spans="1:9" s="34" customFormat="1" x14ac:dyDescent="0.3">
      <c r="A21" s="8"/>
      <c r="C21"/>
      <c r="D21" s="34">
        <v>10.476190476190474</v>
      </c>
    </row>
    <row r="22" spans="1:9" s="34" customFormat="1" x14ac:dyDescent="0.3">
      <c r="A22" s="8"/>
      <c r="C22" t="s">
        <v>10</v>
      </c>
      <c r="D22" s="2" t="b">
        <f>ABS(D21-H7)/(1+ABS(D21))&lt;=0.000001</f>
        <v>1</v>
      </c>
    </row>
  </sheetData>
  <dataConsolidate/>
  <dataValidations count="3">
    <dataValidation type="list" allowBlank="1" showInputMessage="1" showErrorMessage="1" sqref="A2" xr:uid="{F52621A7-228B-4BDF-9C8F-B533456B2234}">
      <formula1>TestType</formula1>
    </dataValidation>
    <dataValidation type="list" allowBlank="1" showInputMessage="1" showErrorMessage="1" sqref="A4" xr:uid="{30A54AB8-5C50-46A7-8875-900155504669}">
      <formula1>ModelType</formula1>
    </dataValidation>
    <dataValidation type="list" errorStyle="warning" allowBlank="1" showInputMessage="1" showErrorMessage="1" sqref="A8" xr:uid="{D2C5C243-A976-4540-A59B-F19AF953A417}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0AAA73-0464-4A5D-9E1F-EFD2C2CA0308}">
  <sheetPr codeName="BadName22"/>
  <dimension ref="A1:N22"/>
  <sheetViews>
    <sheetView workbookViewId="0">
      <selection activeCell="C2" sqref="C2"/>
    </sheetView>
  </sheetViews>
  <sheetFormatPr defaultColWidth="8.88671875" defaultRowHeight="14.4" x14ac:dyDescent="0.3"/>
  <cols>
    <col min="1" max="1" width="15" style="8" bestFit="1" customWidth="1"/>
    <col min="2" max="2" width="2.33203125" customWidth="1"/>
    <col min="3" max="3" width="4.88671875" customWidth="1"/>
    <col min="4" max="4" width="7.6640625" style="34" customWidth="1"/>
    <col min="5" max="6" width="5.109375" style="34" customWidth="1"/>
    <col min="7" max="7" width="3.109375" style="34" customWidth="1"/>
    <col min="8" max="8" width="8.33203125" style="34" customWidth="1"/>
    <col min="9" max="9" width="3" style="34" bestFit="1" customWidth="1"/>
    <col min="10" max="10" width="6" style="34" customWidth="1"/>
    <col min="14" max="14" width="7.6640625" customWidth="1"/>
  </cols>
  <sheetData>
    <row r="1" spans="1:14" x14ac:dyDescent="0.3">
      <c r="A1" s="10" t="s">
        <v>24</v>
      </c>
      <c r="C1" t="s">
        <v>68</v>
      </c>
    </row>
    <row r="2" spans="1:14" ht="15" thickBot="1" x14ac:dyDescent="0.35">
      <c r="A2" s="11" t="s">
        <v>25</v>
      </c>
    </row>
    <row r="3" spans="1:14" x14ac:dyDescent="0.3">
      <c r="A3" s="10" t="s">
        <v>29</v>
      </c>
    </row>
    <row r="4" spans="1:14" ht="15" thickBot="1" x14ac:dyDescent="0.35">
      <c r="A4" s="11" t="s">
        <v>27</v>
      </c>
      <c r="D4" s="34" t="s">
        <v>1</v>
      </c>
      <c r="E4" s="34" t="s">
        <v>2</v>
      </c>
      <c r="F4" s="34" t="s">
        <v>3</v>
      </c>
    </row>
    <row r="5" spans="1:14" x14ac:dyDescent="0.3">
      <c r="A5" s="10" t="s">
        <v>30</v>
      </c>
      <c r="D5" s="34">
        <v>5.2380952380952372</v>
      </c>
      <c r="E5" s="34">
        <v>0</v>
      </c>
      <c r="F5" s="34">
        <v>0</v>
      </c>
      <c r="H5"/>
      <c r="I5"/>
      <c r="J5"/>
    </row>
    <row r="6" spans="1:14" ht="15" thickBot="1" x14ac:dyDescent="0.35">
      <c r="A6" s="11" t="b">
        <f>AND(D18:F18,D22)</f>
        <v>1</v>
      </c>
    </row>
    <row r="7" spans="1:14" x14ac:dyDescent="0.3">
      <c r="A7" s="10" t="s">
        <v>31</v>
      </c>
      <c r="C7" t="s">
        <v>0</v>
      </c>
      <c r="D7" s="34">
        <v>2</v>
      </c>
      <c r="E7" s="34">
        <v>3</v>
      </c>
      <c r="F7" s="34">
        <v>4</v>
      </c>
      <c r="H7" s="34">
        <f>SUMPRODUCT($D$5:$F$5,D7:F7)</f>
        <v>10.476190476190474</v>
      </c>
    </row>
    <row r="8" spans="1:14" x14ac:dyDescent="0.3">
      <c r="A8" s="12" t="str">
        <f ca="1">IF(VALUE(INFO("RELEASE"))&gt;=16,"Optimal", "ErrorOccurred")</f>
        <v>Optimal</v>
      </c>
    </row>
    <row r="9" spans="1:14" ht="15" thickBot="1" x14ac:dyDescent="0.35">
      <c r="A9" s="11">
        <f ca="1">VLOOKUP(A8,OpenSolverResultCodes,2,FALSE)</f>
        <v>0</v>
      </c>
      <c r="C9" t="s">
        <v>4</v>
      </c>
      <c r="D9" s="34">
        <v>10</v>
      </c>
      <c r="E9" s="34">
        <v>11</v>
      </c>
      <c r="F9" s="34">
        <v>12</v>
      </c>
      <c r="H9" s="34">
        <f>SUMPRODUCT($D$5:$F$5,D9:F9)+5*P8</f>
        <v>52.380952380952372</v>
      </c>
      <c r="I9" s="34" t="s">
        <v>5</v>
      </c>
      <c r="J9" s="34">
        <v>60</v>
      </c>
    </row>
    <row r="10" spans="1:14" ht="15" thickBot="1" x14ac:dyDescent="0.35">
      <c r="A10" s="25" t="str">
        <f>HYPERLINK("[OpenSolver SheetNameCharTester.xlsm]Results!A1", "&lt;- Results")</f>
        <v>&lt;- Results</v>
      </c>
      <c r="D10" s="34">
        <v>21</v>
      </c>
      <c r="E10" s="34">
        <v>22</v>
      </c>
      <c r="F10" s="34">
        <v>23</v>
      </c>
      <c r="H10" s="34">
        <f>SUMPRODUCT($D$5:$F$5,D10:F10)</f>
        <v>109.99999999999999</v>
      </c>
      <c r="I10" s="34" t="s">
        <v>5</v>
      </c>
      <c r="J10" s="34">
        <v>150</v>
      </c>
      <c r="N10" t="str">
        <f ca="1">INFO("RELEASE")</f>
        <v>16.0</v>
      </c>
    </row>
    <row r="11" spans="1:14" x14ac:dyDescent="0.3">
      <c r="D11" s="34">
        <v>21</v>
      </c>
      <c r="E11" s="34">
        <v>22</v>
      </c>
      <c r="F11" s="34">
        <v>-23</v>
      </c>
      <c r="H11" s="34">
        <f>SUMPRODUCT($D$5:$F$5,D11:F11)</f>
        <v>109.99999999999999</v>
      </c>
      <c r="I11" s="34" t="s">
        <v>6</v>
      </c>
      <c r="J11" s="34">
        <v>110</v>
      </c>
    </row>
    <row r="12" spans="1:14" x14ac:dyDescent="0.3">
      <c r="D12" s="34">
        <v>19</v>
      </c>
      <c r="E12" s="34">
        <v>34</v>
      </c>
      <c r="F12" s="34">
        <v>-32</v>
      </c>
      <c r="H12" s="34">
        <f>SUMPRODUCT($D$5:$F$5,D12:F12)</f>
        <v>99.523809523809504</v>
      </c>
      <c r="I12" s="34" t="s">
        <v>5</v>
      </c>
      <c r="J12" s="34">
        <v>180</v>
      </c>
    </row>
    <row r="16" spans="1:14" x14ac:dyDescent="0.3">
      <c r="C16" s="3" t="s">
        <v>8</v>
      </c>
    </row>
    <row r="17" spans="1:9" x14ac:dyDescent="0.3">
      <c r="D17" s="34">
        <v>5.2380952380952372</v>
      </c>
      <c r="E17" s="34">
        <v>0</v>
      </c>
      <c r="F17" s="34">
        <v>0</v>
      </c>
    </row>
    <row r="18" spans="1:9" x14ac:dyDescent="0.3">
      <c r="C18" t="s">
        <v>10</v>
      </c>
      <c r="D18" s="2" t="b">
        <f>ABS(D5-D17)/(1+ABS(D17))&lt;=0.000001</f>
        <v>1</v>
      </c>
      <c r="E18" s="2" t="b">
        <f>ABS(E5-E17)/(1+ABS(E17))&lt;=0.000001</f>
        <v>1</v>
      </c>
      <c r="F18" s="2" t="b">
        <f>ABS(F5-F17)/(1+ABS(F17))&lt;=0.000001</f>
        <v>1</v>
      </c>
      <c r="I18" s="34" t="str">
        <f ca="1">INFO("RELEASE")</f>
        <v>16.0</v>
      </c>
    </row>
    <row r="20" spans="1:9" s="34" customFormat="1" x14ac:dyDescent="0.3">
      <c r="A20" s="8"/>
      <c r="C20" s="3" t="s">
        <v>9</v>
      </c>
    </row>
    <row r="21" spans="1:9" s="34" customFormat="1" x14ac:dyDescent="0.3">
      <c r="A21" s="8"/>
      <c r="C21"/>
      <c r="D21" s="34">
        <v>10.476190476190474</v>
      </c>
    </row>
    <row r="22" spans="1:9" s="34" customFormat="1" x14ac:dyDescent="0.3">
      <c r="A22" s="8"/>
      <c r="C22" t="s">
        <v>10</v>
      </c>
      <c r="D22" s="2" t="b">
        <f>ABS(D21-H7)/(1+ABS(D21))&lt;=0.000001</f>
        <v>1</v>
      </c>
    </row>
  </sheetData>
  <dataConsolidate/>
  <dataValidations count="3">
    <dataValidation type="list" errorStyle="warning" allowBlank="1" showInputMessage="1" showErrorMessage="1" sqref="A8" xr:uid="{8D3A58CF-FA75-46BB-AF94-DCCACA5B39E9}">
      <formula1>OpenSolverResult</formula1>
    </dataValidation>
    <dataValidation type="list" allowBlank="1" showInputMessage="1" showErrorMessage="1" sqref="A4" xr:uid="{72BDF7E5-BA66-4426-88EC-5A823A0020EB}">
      <formula1>ModelType</formula1>
    </dataValidation>
    <dataValidation type="list" allowBlank="1" showInputMessage="1" showErrorMessage="1" sqref="A2" xr:uid="{7CC97BC4-2630-4C69-B96F-FEEBA6E51B98}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0FAEE-CC70-471B-922D-F84A14B2EF1A}">
  <sheetPr codeName="BadName23"/>
  <dimension ref="A1:N22"/>
  <sheetViews>
    <sheetView workbookViewId="0">
      <selection activeCell="A10" sqref="A10"/>
    </sheetView>
  </sheetViews>
  <sheetFormatPr defaultColWidth="8.88671875" defaultRowHeight="14.4" x14ac:dyDescent="0.3"/>
  <cols>
    <col min="1" max="1" width="15" style="8" bestFit="1" customWidth="1"/>
    <col min="2" max="2" width="2.33203125" customWidth="1"/>
    <col min="3" max="3" width="4.88671875" customWidth="1"/>
    <col min="4" max="4" width="7.6640625" style="34" customWidth="1"/>
    <col min="5" max="6" width="5.109375" style="34" customWidth="1"/>
    <col min="7" max="7" width="3.109375" style="34" customWidth="1"/>
    <col min="8" max="8" width="8.33203125" style="34" customWidth="1"/>
    <col min="9" max="9" width="3" style="34" bestFit="1" customWidth="1"/>
    <col min="10" max="10" width="6" style="34" customWidth="1"/>
    <col min="14" max="14" width="7.6640625" customWidth="1"/>
  </cols>
  <sheetData>
    <row r="1" spans="1:14" x14ac:dyDescent="0.3">
      <c r="A1" s="10" t="s">
        <v>24</v>
      </c>
      <c r="C1" t="s">
        <v>69</v>
      </c>
    </row>
    <row r="2" spans="1:14" ht="15" thickBot="1" x14ac:dyDescent="0.35">
      <c r="A2" s="11" t="s">
        <v>25</v>
      </c>
    </row>
    <row r="3" spans="1:14" x14ac:dyDescent="0.3">
      <c r="A3" s="10" t="s">
        <v>29</v>
      </c>
    </row>
    <row r="4" spans="1:14" ht="15" thickBot="1" x14ac:dyDescent="0.35">
      <c r="A4" s="11" t="s">
        <v>27</v>
      </c>
      <c r="D4" s="34" t="s">
        <v>1</v>
      </c>
      <c r="E4" s="34" t="s">
        <v>2</v>
      </c>
      <c r="F4" s="34" t="s">
        <v>3</v>
      </c>
    </row>
    <row r="5" spans="1:14" x14ac:dyDescent="0.3">
      <c r="A5" s="10" t="s">
        <v>30</v>
      </c>
      <c r="D5" s="34">
        <v>5.2380952380952372</v>
      </c>
      <c r="E5" s="34">
        <v>0</v>
      </c>
      <c r="F5" s="34">
        <v>0</v>
      </c>
      <c r="H5"/>
      <c r="I5"/>
      <c r="J5"/>
    </row>
    <row r="6" spans="1:14" ht="15" thickBot="1" x14ac:dyDescent="0.35">
      <c r="A6" s="11" t="b">
        <f>AND(D18:F18,D22)</f>
        <v>1</v>
      </c>
    </row>
    <row r="7" spans="1:14" x14ac:dyDescent="0.3">
      <c r="A7" s="10" t="s">
        <v>31</v>
      </c>
      <c r="C7" t="s">
        <v>0</v>
      </c>
      <c r="D7" s="34">
        <v>2</v>
      </c>
      <c r="E7" s="34">
        <v>3</v>
      </c>
      <c r="F7" s="34">
        <v>4</v>
      </c>
      <c r="H7" s="34">
        <f>SUMPRODUCT($D$5:$F$5,D7:F7)</f>
        <v>10.476190476190474</v>
      </c>
    </row>
    <row r="8" spans="1:14" x14ac:dyDescent="0.3">
      <c r="A8" s="12" t="str">
        <f ca="1">IF(VALUE(INFO("RELEASE"))&gt;=16,"Optimal", "ErrorOccurred")</f>
        <v>Optimal</v>
      </c>
    </row>
    <row r="9" spans="1:14" ht="15" thickBot="1" x14ac:dyDescent="0.35">
      <c r="A9" s="11">
        <f ca="1">VLOOKUP(A8,OpenSolverResultCodes,2,FALSE)</f>
        <v>0</v>
      </c>
      <c r="C9" t="s">
        <v>4</v>
      </c>
      <c r="D9" s="34">
        <v>10</v>
      </c>
      <c r="E9" s="34">
        <v>11</v>
      </c>
      <c r="F9" s="34">
        <v>12</v>
      </c>
      <c r="H9" s="34">
        <f>SUMPRODUCT($D$5:$F$5,D9:F9)+5*P8</f>
        <v>52.380952380952372</v>
      </c>
      <c r="I9" s="34" t="s">
        <v>5</v>
      </c>
      <c r="J9" s="34">
        <v>60</v>
      </c>
    </row>
    <row r="10" spans="1:14" ht="15" thickBot="1" x14ac:dyDescent="0.35">
      <c r="A10" s="25" t="str">
        <f>HYPERLINK("[OpenSolver SheetNameCharTester.xlsm]Results!A1", "&lt;- Results")</f>
        <v>&lt;- Results</v>
      </c>
      <c r="D10" s="34">
        <v>21</v>
      </c>
      <c r="E10" s="34">
        <v>22</v>
      </c>
      <c r="F10" s="34">
        <v>23</v>
      </c>
      <c r="H10" s="34">
        <f>SUMPRODUCT($D$5:$F$5,D10:F10)</f>
        <v>109.99999999999999</v>
      </c>
      <c r="I10" s="34" t="s">
        <v>5</v>
      </c>
      <c r="J10" s="34">
        <v>150</v>
      </c>
      <c r="N10" t="str">
        <f ca="1">INFO("RELEASE")</f>
        <v>16.0</v>
      </c>
    </row>
    <row r="11" spans="1:14" x14ac:dyDescent="0.3">
      <c r="D11" s="34">
        <v>21</v>
      </c>
      <c r="E11" s="34">
        <v>22</v>
      </c>
      <c r="F11" s="34">
        <v>-23</v>
      </c>
      <c r="H11" s="34">
        <f>SUMPRODUCT($D$5:$F$5,D11:F11)</f>
        <v>109.99999999999999</v>
      </c>
      <c r="I11" s="34" t="s">
        <v>6</v>
      </c>
      <c r="J11" s="34">
        <v>110</v>
      </c>
    </row>
    <row r="12" spans="1:14" x14ac:dyDescent="0.3">
      <c r="D12" s="34">
        <v>19</v>
      </c>
      <c r="E12" s="34">
        <v>34</v>
      </c>
      <c r="F12" s="34">
        <v>-32</v>
      </c>
      <c r="H12" s="34">
        <f>SUMPRODUCT($D$5:$F$5,D12:F12)</f>
        <v>99.523809523809504</v>
      </c>
      <c r="I12" s="34" t="s">
        <v>5</v>
      </c>
      <c r="J12" s="34">
        <v>180</v>
      </c>
    </row>
    <row r="16" spans="1:14" x14ac:dyDescent="0.3">
      <c r="C16" s="3" t="s">
        <v>8</v>
      </c>
    </row>
    <row r="17" spans="1:9" x14ac:dyDescent="0.3">
      <c r="D17" s="34">
        <v>5.2380952380952372</v>
      </c>
      <c r="E17" s="34">
        <v>0</v>
      </c>
      <c r="F17" s="34">
        <v>0</v>
      </c>
    </row>
    <row r="18" spans="1:9" x14ac:dyDescent="0.3">
      <c r="C18" t="s">
        <v>10</v>
      </c>
      <c r="D18" s="2" t="b">
        <f>ABS(D5-D17)/(1+ABS(D17))&lt;=0.000001</f>
        <v>1</v>
      </c>
      <c r="E18" s="2" t="b">
        <f>ABS(E5-E17)/(1+ABS(E17))&lt;=0.000001</f>
        <v>1</v>
      </c>
      <c r="F18" s="2" t="b">
        <f>ABS(F5-F17)/(1+ABS(F17))&lt;=0.000001</f>
        <v>1</v>
      </c>
      <c r="I18" s="34" t="str">
        <f ca="1">INFO("RELEASE")</f>
        <v>16.0</v>
      </c>
    </row>
    <row r="20" spans="1:9" s="34" customFormat="1" x14ac:dyDescent="0.3">
      <c r="A20" s="8"/>
      <c r="C20" s="3" t="s">
        <v>9</v>
      </c>
    </row>
    <row r="21" spans="1:9" s="34" customFormat="1" x14ac:dyDescent="0.3">
      <c r="A21" s="8"/>
      <c r="C21"/>
      <c r="D21" s="34">
        <v>10.476190476190474</v>
      </c>
    </row>
    <row r="22" spans="1:9" s="34" customFormat="1" x14ac:dyDescent="0.3">
      <c r="A22" s="8"/>
      <c r="C22" t="s">
        <v>10</v>
      </c>
      <c r="D22" s="2" t="b">
        <f>ABS(D21-H7)/(1+ABS(D21))&lt;=0.000001</f>
        <v>1</v>
      </c>
    </row>
  </sheetData>
  <dataConsolidate/>
  <dataValidations count="3">
    <dataValidation type="list" errorStyle="warning" allowBlank="1" showInputMessage="1" showErrorMessage="1" sqref="A8" xr:uid="{EC5E9A62-ABE1-4FF8-AE1D-223950D865BD}">
      <formula1>OpenSolverResult</formula1>
    </dataValidation>
    <dataValidation type="list" allowBlank="1" showInputMessage="1" showErrorMessage="1" sqref="A4" xr:uid="{E9A8278C-2CDB-4DB2-A2F4-0574E4A55F8B}">
      <formula1>ModelType</formula1>
    </dataValidation>
    <dataValidation type="list" allowBlank="1" showInputMessage="1" showErrorMessage="1" sqref="A2" xr:uid="{F6A40718-6DBF-47F3-B849-2D93657B0071}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F8A69-47AB-4061-9463-30ABD680F876}">
  <sheetPr codeName="BadName24"/>
  <dimension ref="A1:N22"/>
  <sheetViews>
    <sheetView workbookViewId="0">
      <selection activeCell="A10" sqref="A10"/>
    </sheetView>
  </sheetViews>
  <sheetFormatPr defaultColWidth="8.88671875" defaultRowHeight="14.4" x14ac:dyDescent="0.3"/>
  <cols>
    <col min="1" max="1" width="15" style="8" bestFit="1" customWidth="1"/>
    <col min="2" max="2" width="2.33203125" customWidth="1"/>
    <col min="3" max="3" width="4.88671875" customWidth="1"/>
    <col min="4" max="4" width="7.6640625" style="34" customWidth="1"/>
    <col min="5" max="6" width="5.109375" style="34" customWidth="1"/>
    <col min="7" max="7" width="3.109375" style="34" customWidth="1"/>
    <col min="8" max="8" width="8.33203125" style="34" customWidth="1"/>
    <col min="9" max="9" width="3" style="34" bestFit="1" customWidth="1"/>
    <col min="10" max="10" width="6" style="34" customWidth="1"/>
    <col min="14" max="14" width="7.6640625" customWidth="1"/>
  </cols>
  <sheetData>
    <row r="1" spans="1:14" x14ac:dyDescent="0.3">
      <c r="A1" s="10" t="s">
        <v>24</v>
      </c>
      <c r="C1" t="s">
        <v>69</v>
      </c>
    </row>
    <row r="2" spans="1:14" ht="15" thickBot="1" x14ac:dyDescent="0.35">
      <c r="A2" s="11" t="s">
        <v>25</v>
      </c>
    </row>
    <row r="3" spans="1:14" x14ac:dyDescent="0.3">
      <c r="A3" s="10" t="s">
        <v>29</v>
      </c>
    </row>
    <row r="4" spans="1:14" ht="15" thickBot="1" x14ac:dyDescent="0.35">
      <c r="A4" s="11" t="s">
        <v>27</v>
      </c>
      <c r="D4" s="34" t="s">
        <v>1</v>
      </c>
      <c r="E4" s="34" t="s">
        <v>2</v>
      </c>
      <c r="F4" s="34" t="s">
        <v>3</v>
      </c>
    </row>
    <row r="5" spans="1:14" x14ac:dyDescent="0.3">
      <c r="A5" s="10" t="s">
        <v>30</v>
      </c>
      <c r="D5" s="34">
        <v>5.2380952380952372</v>
      </c>
      <c r="E5" s="34">
        <v>0</v>
      </c>
      <c r="F5" s="34">
        <v>0</v>
      </c>
      <c r="H5"/>
      <c r="I5"/>
      <c r="J5"/>
    </row>
    <row r="6" spans="1:14" ht="15" thickBot="1" x14ac:dyDescent="0.35">
      <c r="A6" s="11" t="b">
        <f>AND(D18:F18,D22)</f>
        <v>1</v>
      </c>
    </row>
    <row r="7" spans="1:14" x14ac:dyDescent="0.3">
      <c r="A7" s="10" t="s">
        <v>31</v>
      </c>
      <c r="C7" t="s">
        <v>0</v>
      </c>
      <c r="D7" s="34">
        <v>2</v>
      </c>
      <c r="E7" s="34">
        <v>3</v>
      </c>
      <c r="F7" s="34">
        <v>4</v>
      </c>
      <c r="H7" s="34">
        <f>SUMPRODUCT($D$5:$F$5,D7:F7)</f>
        <v>10.476190476190474</v>
      </c>
    </row>
    <row r="8" spans="1:14" x14ac:dyDescent="0.3">
      <c r="A8" s="12" t="str">
        <f ca="1">IF(VALUE(INFO("RELEASE"))&gt;=16,"Optimal", "ErrorOccurred")</f>
        <v>Optimal</v>
      </c>
    </row>
    <row r="9" spans="1:14" ht="15" thickBot="1" x14ac:dyDescent="0.35">
      <c r="A9" s="11">
        <f ca="1">VLOOKUP(A8,OpenSolverResultCodes,2,FALSE)</f>
        <v>0</v>
      </c>
      <c r="C9" t="s">
        <v>4</v>
      </c>
      <c r="D9" s="34">
        <v>10</v>
      </c>
      <c r="E9" s="34">
        <v>11</v>
      </c>
      <c r="F9" s="34">
        <v>12</v>
      </c>
      <c r="H9" s="34">
        <f>SUMPRODUCT($D$5:$F$5,D9:F9)+5*P8</f>
        <v>52.380952380952372</v>
      </c>
      <c r="I9" s="34" t="s">
        <v>5</v>
      </c>
      <c r="J9" s="34">
        <v>60</v>
      </c>
    </row>
    <row r="10" spans="1:14" ht="15" thickBot="1" x14ac:dyDescent="0.35">
      <c r="A10" s="25" t="str">
        <f>HYPERLINK("[OpenSolver SheetNameCharTester.xlsm]Results!A1", "&lt;- Results")</f>
        <v>&lt;- Results</v>
      </c>
      <c r="D10" s="34">
        <v>21</v>
      </c>
      <c r="E10" s="34">
        <v>22</v>
      </c>
      <c r="F10" s="34">
        <v>23</v>
      </c>
      <c r="H10" s="34">
        <f>SUMPRODUCT($D$5:$F$5,D10:F10)</f>
        <v>109.99999999999999</v>
      </c>
      <c r="I10" s="34" t="s">
        <v>5</v>
      </c>
      <c r="J10" s="34">
        <v>150</v>
      </c>
      <c r="N10" t="str">
        <f ca="1">INFO("RELEASE")</f>
        <v>16.0</v>
      </c>
    </row>
    <row r="11" spans="1:14" x14ac:dyDescent="0.3">
      <c r="D11" s="34">
        <v>21</v>
      </c>
      <c r="E11" s="34">
        <v>22</v>
      </c>
      <c r="F11" s="34">
        <v>-23</v>
      </c>
      <c r="H11" s="34">
        <f>SUMPRODUCT($D$5:$F$5,D11:F11)</f>
        <v>109.99999999999999</v>
      </c>
      <c r="I11" s="34" t="s">
        <v>6</v>
      </c>
      <c r="J11" s="34">
        <v>110</v>
      </c>
    </row>
    <row r="12" spans="1:14" x14ac:dyDescent="0.3">
      <c r="D12" s="34">
        <v>19</v>
      </c>
      <c r="E12" s="34">
        <v>34</v>
      </c>
      <c r="F12" s="34">
        <v>-32</v>
      </c>
      <c r="H12" s="34">
        <f>SUMPRODUCT($D$5:$F$5,D12:F12)</f>
        <v>99.523809523809504</v>
      </c>
      <c r="I12" s="34" t="s">
        <v>5</v>
      </c>
      <c r="J12" s="34">
        <v>180</v>
      </c>
    </row>
    <row r="16" spans="1:14" x14ac:dyDescent="0.3">
      <c r="C16" s="3" t="s">
        <v>8</v>
      </c>
    </row>
    <row r="17" spans="1:9" x14ac:dyDescent="0.3">
      <c r="D17" s="34">
        <v>5.2380952380952372</v>
      </c>
      <c r="E17" s="34">
        <v>0</v>
      </c>
      <c r="F17" s="34">
        <v>0</v>
      </c>
    </row>
    <row r="18" spans="1:9" x14ac:dyDescent="0.3">
      <c r="C18" t="s">
        <v>10</v>
      </c>
      <c r="D18" s="2" t="b">
        <f>ABS(D5-D17)/(1+ABS(D17))&lt;=0.000001</f>
        <v>1</v>
      </c>
      <c r="E18" s="2" t="b">
        <f>ABS(E5-E17)/(1+ABS(E17))&lt;=0.000001</f>
        <v>1</v>
      </c>
      <c r="F18" s="2" t="b">
        <f>ABS(F5-F17)/(1+ABS(F17))&lt;=0.000001</f>
        <v>1</v>
      </c>
      <c r="I18" s="34" t="str">
        <f ca="1">INFO("RELEASE")</f>
        <v>16.0</v>
      </c>
    </row>
    <row r="20" spans="1:9" s="34" customFormat="1" x14ac:dyDescent="0.3">
      <c r="A20" s="8"/>
      <c r="C20" s="3" t="s">
        <v>9</v>
      </c>
    </row>
    <row r="21" spans="1:9" s="34" customFormat="1" x14ac:dyDescent="0.3">
      <c r="A21" s="8"/>
      <c r="C21"/>
      <c r="D21" s="34">
        <v>10.476190476190474</v>
      </c>
    </row>
    <row r="22" spans="1:9" s="34" customFormat="1" x14ac:dyDescent="0.3">
      <c r="A22" s="8"/>
      <c r="C22" t="s">
        <v>10</v>
      </c>
      <c r="D22" s="2" t="b">
        <f>ABS(D21-H7)/(1+ABS(D21))&lt;=0.000001</f>
        <v>1</v>
      </c>
    </row>
  </sheetData>
  <dataConsolidate/>
  <dataValidations count="3">
    <dataValidation type="list" allowBlank="1" showInputMessage="1" showErrorMessage="1" sqref="A2" xr:uid="{B2EBB4E0-2643-44F4-8144-242FC3B3BCE4}">
      <formula1>TestType</formula1>
    </dataValidation>
    <dataValidation type="list" allowBlank="1" showInputMessage="1" showErrorMessage="1" sqref="A4" xr:uid="{9A725EB6-E07D-428F-B745-81A9D994F8A3}">
      <formula1>ModelType</formula1>
    </dataValidation>
    <dataValidation type="list" errorStyle="warning" allowBlank="1" showInputMessage="1" showErrorMessage="1" sqref="A8" xr:uid="{C55D7DB7-C33F-4F6B-A69F-D6B7A59ED48F}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D3451-B182-4CD4-8DEE-4F813B75FEF1}">
  <sheetPr codeName="BadName25"/>
  <dimension ref="A1:N22"/>
  <sheetViews>
    <sheetView workbookViewId="0">
      <selection activeCell="A10" sqref="A10"/>
    </sheetView>
  </sheetViews>
  <sheetFormatPr defaultColWidth="8.88671875" defaultRowHeight="14.4" x14ac:dyDescent="0.3"/>
  <cols>
    <col min="1" max="1" width="15" style="8" bestFit="1" customWidth="1"/>
    <col min="2" max="2" width="2.33203125" customWidth="1"/>
    <col min="3" max="3" width="4.88671875" customWidth="1"/>
    <col min="4" max="4" width="7.6640625" style="34" customWidth="1"/>
    <col min="5" max="6" width="5.109375" style="34" customWidth="1"/>
    <col min="7" max="7" width="3.109375" style="34" customWidth="1"/>
    <col min="8" max="8" width="8.33203125" style="34" customWidth="1"/>
    <col min="9" max="9" width="3" style="34" bestFit="1" customWidth="1"/>
    <col min="10" max="10" width="6" style="34" customWidth="1"/>
    <col min="14" max="14" width="7.6640625" customWidth="1"/>
  </cols>
  <sheetData>
    <row r="1" spans="1:14" x14ac:dyDescent="0.3">
      <c r="A1" s="10" t="s">
        <v>24</v>
      </c>
      <c r="C1" t="s">
        <v>69</v>
      </c>
    </row>
    <row r="2" spans="1:14" ht="15" thickBot="1" x14ac:dyDescent="0.35">
      <c r="A2" s="11" t="s">
        <v>25</v>
      </c>
    </row>
    <row r="3" spans="1:14" x14ac:dyDescent="0.3">
      <c r="A3" s="10" t="s">
        <v>29</v>
      </c>
    </row>
    <row r="4" spans="1:14" ht="15" thickBot="1" x14ac:dyDescent="0.35">
      <c r="A4" s="11" t="s">
        <v>27</v>
      </c>
      <c r="D4" s="34" t="s">
        <v>1</v>
      </c>
      <c r="E4" s="34" t="s">
        <v>2</v>
      </c>
      <c r="F4" s="34" t="s">
        <v>3</v>
      </c>
    </row>
    <row r="5" spans="1:14" x14ac:dyDescent="0.3">
      <c r="A5" s="10" t="s">
        <v>30</v>
      </c>
      <c r="D5" s="34">
        <v>5.2380952380952372</v>
      </c>
      <c r="E5" s="34">
        <v>0</v>
      </c>
      <c r="F5" s="34">
        <v>0</v>
      </c>
      <c r="H5"/>
      <c r="I5"/>
      <c r="J5"/>
    </row>
    <row r="6" spans="1:14" ht="15" thickBot="1" x14ac:dyDescent="0.35">
      <c r="A6" s="11" t="b">
        <f>AND(D18:F18,D22)</f>
        <v>1</v>
      </c>
    </row>
    <row r="7" spans="1:14" x14ac:dyDescent="0.3">
      <c r="A7" s="10" t="s">
        <v>31</v>
      </c>
      <c r="C7" t="s">
        <v>0</v>
      </c>
      <c r="D7" s="34">
        <v>2</v>
      </c>
      <c r="E7" s="34">
        <v>3</v>
      </c>
      <c r="F7" s="34">
        <v>4</v>
      </c>
      <c r="H7" s="34">
        <f>SUMPRODUCT($D$5:$F$5,D7:F7)</f>
        <v>10.476190476190474</v>
      </c>
    </row>
    <row r="8" spans="1:14" x14ac:dyDescent="0.3">
      <c r="A8" s="12" t="str">
        <f ca="1">IF(VALUE(INFO("RELEASE"))&gt;=16,"Optimal", "ErrorOccurred")</f>
        <v>Optimal</v>
      </c>
    </row>
    <row r="9" spans="1:14" ht="15" thickBot="1" x14ac:dyDescent="0.35">
      <c r="A9" s="11">
        <f ca="1">VLOOKUP(A8,OpenSolverResultCodes,2,FALSE)</f>
        <v>0</v>
      </c>
      <c r="C9" t="s">
        <v>4</v>
      </c>
      <c r="D9" s="34">
        <v>10</v>
      </c>
      <c r="E9" s="34">
        <v>11</v>
      </c>
      <c r="F9" s="34">
        <v>12</v>
      </c>
      <c r="H9" s="34">
        <f>SUMPRODUCT($D$5:$F$5,D9:F9)+5*P8</f>
        <v>52.380952380952372</v>
      </c>
      <c r="I9" s="34" t="s">
        <v>5</v>
      </c>
      <c r="J9" s="34">
        <v>60</v>
      </c>
    </row>
    <row r="10" spans="1:14" ht="15" thickBot="1" x14ac:dyDescent="0.35">
      <c r="A10" s="25" t="str">
        <f>HYPERLINK("[OpenSolver SheetNameCharTester.xlsm]Results!A1", "&lt;- Results")</f>
        <v>&lt;- Results</v>
      </c>
      <c r="D10" s="34">
        <v>21</v>
      </c>
      <c r="E10" s="34">
        <v>22</v>
      </c>
      <c r="F10" s="34">
        <v>23</v>
      </c>
      <c r="H10" s="34">
        <f>SUMPRODUCT($D$5:$F$5,D10:F10)</f>
        <v>109.99999999999999</v>
      </c>
      <c r="I10" s="34" t="s">
        <v>5</v>
      </c>
      <c r="J10" s="34">
        <v>150</v>
      </c>
      <c r="N10" t="str">
        <f ca="1">INFO("RELEASE")</f>
        <v>16.0</v>
      </c>
    </row>
    <row r="11" spans="1:14" x14ac:dyDescent="0.3">
      <c r="D11" s="34">
        <v>21</v>
      </c>
      <c r="E11" s="34">
        <v>22</v>
      </c>
      <c r="F11" s="34">
        <v>-23</v>
      </c>
      <c r="H11" s="34">
        <f>SUMPRODUCT($D$5:$F$5,D11:F11)</f>
        <v>109.99999999999999</v>
      </c>
      <c r="I11" s="34" t="s">
        <v>6</v>
      </c>
      <c r="J11" s="34">
        <v>110</v>
      </c>
    </row>
    <row r="12" spans="1:14" x14ac:dyDescent="0.3">
      <c r="D12" s="34">
        <v>19</v>
      </c>
      <c r="E12" s="34">
        <v>34</v>
      </c>
      <c r="F12" s="34">
        <v>-32</v>
      </c>
      <c r="H12" s="34">
        <f>SUMPRODUCT($D$5:$F$5,D12:F12)</f>
        <v>99.523809523809504</v>
      </c>
      <c r="I12" s="34" t="s">
        <v>5</v>
      </c>
      <c r="J12" s="34">
        <v>180</v>
      </c>
    </row>
    <row r="16" spans="1:14" x14ac:dyDescent="0.3">
      <c r="C16" s="3" t="s">
        <v>8</v>
      </c>
    </row>
    <row r="17" spans="1:9" x14ac:dyDescent="0.3">
      <c r="D17" s="34">
        <v>5.2380952380952372</v>
      </c>
      <c r="E17" s="34">
        <v>0</v>
      </c>
      <c r="F17" s="34">
        <v>0</v>
      </c>
    </row>
    <row r="18" spans="1:9" x14ac:dyDescent="0.3">
      <c r="C18" t="s">
        <v>10</v>
      </c>
      <c r="D18" s="2" t="b">
        <f>ABS(D5-D17)/(1+ABS(D17))&lt;=0.000001</f>
        <v>1</v>
      </c>
      <c r="E18" s="2" t="b">
        <f>ABS(E5-E17)/(1+ABS(E17))&lt;=0.000001</f>
        <v>1</v>
      </c>
      <c r="F18" s="2" t="b">
        <f>ABS(F5-F17)/(1+ABS(F17))&lt;=0.000001</f>
        <v>1</v>
      </c>
      <c r="I18" s="34" t="str">
        <f ca="1">INFO("RELEASE")</f>
        <v>16.0</v>
      </c>
    </row>
    <row r="20" spans="1:9" s="34" customFormat="1" x14ac:dyDescent="0.3">
      <c r="A20" s="8"/>
      <c r="C20" s="3" t="s">
        <v>9</v>
      </c>
    </row>
    <row r="21" spans="1:9" s="34" customFormat="1" x14ac:dyDescent="0.3">
      <c r="A21" s="8"/>
      <c r="C21"/>
      <c r="D21" s="34">
        <v>10.476190476190474</v>
      </c>
    </row>
    <row r="22" spans="1:9" s="34" customFormat="1" x14ac:dyDescent="0.3">
      <c r="A22" s="8"/>
      <c r="C22" t="s">
        <v>10</v>
      </c>
      <c r="D22" s="2" t="b">
        <f>ABS(D21-H7)/(1+ABS(D21))&lt;=0.000001</f>
        <v>1</v>
      </c>
    </row>
  </sheetData>
  <dataConsolidate/>
  <dataValidations count="3">
    <dataValidation type="list" errorStyle="warning" allowBlank="1" showInputMessage="1" showErrorMessage="1" sqref="A8" xr:uid="{08407A48-29CF-41CE-971A-9E06B9B7C924}">
      <formula1>OpenSolverResult</formula1>
    </dataValidation>
    <dataValidation type="list" allowBlank="1" showInputMessage="1" showErrorMessage="1" sqref="A4" xr:uid="{B564E455-5DEE-4A47-9BE2-2CCE0E8F6F57}">
      <formula1>ModelType</formula1>
    </dataValidation>
    <dataValidation type="list" allowBlank="1" showInputMessage="1" showErrorMessage="1" sqref="A2" xr:uid="{C94E9AA6-883E-43F2-A977-D2E0C2CF6388}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86A31-A7EA-4247-8623-2AA71110B8A0}">
  <sheetPr codeName="BadName26"/>
  <dimension ref="A1:N22"/>
  <sheetViews>
    <sheetView workbookViewId="0">
      <selection activeCell="A10" sqref="A10"/>
    </sheetView>
  </sheetViews>
  <sheetFormatPr defaultColWidth="8.88671875" defaultRowHeight="14.4" x14ac:dyDescent="0.3"/>
  <cols>
    <col min="1" max="1" width="15" style="8" bestFit="1" customWidth="1"/>
    <col min="2" max="2" width="2.33203125" customWidth="1"/>
    <col min="3" max="3" width="4.88671875" customWidth="1"/>
    <col min="4" max="4" width="7.6640625" style="34" customWidth="1"/>
    <col min="5" max="6" width="5.109375" style="34" customWidth="1"/>
    <col min="7" max="7" width="3.109375" style="34" customWidth="1"/>
    <col min="8" max="8" width="8.33203125" style="34" customWidth="1"/>
    <col min="9" max="9" width="3" style="34" bestFit="1" customWidth="1"/>
    <col min="10" max="10" width="6" style="34" customWidth="1"/>
    <col min="14" max="14" width="7.6640625" customWidth="1"/>
  </cols>
  <sheetData>
    <row r="1" spans="1:14" x14ac:dyDescent="0.3">
      <c r="A1" s="10" t="s">
        <v>24</v>
      </c>
      <c r="C1" t="s">
        <v>69</v>
      </c>
    </row>
    <row r="2" spans="1:14" ht="15" thickBot="1" x14ac:dyDescent="0.35">
      <c r="A2" s="11" t="s">
        <v>25</v>
      </c>
    </row>
    <row r="3" spans="1:14" x14ac:dyDescent="0.3">
      <c r="A3" s="10" t="s">
        <v>29</v>
      </c>
    </row>
    <row r="4" spans="1:14" ht="15" thickBot="1" x14ac:dyDescent="0.35">
      <c r="A4" s="11" t="s">
        <v>27</v>
      </c>
      <c r="D4" s="34" t="s">
        <v>1</v>
      </c>
      <c r="E4" s="34" t="s">
        <v>2</v>
      </c>
      <c r="F4" s="34" t="s">
        <v>3</v>
      </c>
    </row>
    <row r="5" spans="1:14" x14ac:dyDescent="0.3">
      <c r="A5" s="10" t="s">
        <v>30</v>
      </c>
      <c r="D5" s="34">
        <v>5.2380952380952372</v>
      </c>
      <c r="E5" s="34">
        <v>0</v>
      </c>
      <c r="F5" s="34">
        <v>0</v>
      </c>
      <c r="H5"/>
      <c r="I5"/>
      <c r="J5"/>
    </row>
    <row r="6" spans="1:14" ht="15" thickBot="1" x14ac:dyDescent="0.35">
      <c r="A6" s="11" t="b">
        <f>AND(D18:F18,D22)</f>
        <v>1</v>
      </c>
    </row>
    <row r="7" spans="1:14" x14ac:dyDescent="0.3">
      <c r="A7" s="10" t="s">
        <v>31</v>
      </c>
      <c r="C7" t="s">
        <v>0</v>
      </c>
      <c r="D7" s="34">
        <v>2</v>
      </c>
      <c r="E7" s="34">
        <v>3</v>
      </c>
      <c r="F7" s="34">
        <v>4</v>
      </c>
      <c r="H7" s="34">
        <f>SUMPRODUCT($D$5:$F$5,D7:F7)</f>
        <v>10.476190476190474</v>
      </c>
    </row>
    <row r="8" spans="1:14" x14ac:dyDescent="0.3">
      <c r="A8" s="12" t="str">
        <f ca="1">IF(VALUE(INFO("RELEASE"))&gt;=16,"Optimal", "ErrorOccurred")</f>
        <v>Optimal</v>
      </c>
    </row>
    <row r="9" spans="1:14" ht="15" thickBot="1" x14ac:dyDescent="0.35">
      <c r="A9" s="11">
        <f ca="1">VLOOKUP(A8,OpenSolverResultCodes,2,FALSE)</f>
        <v>0</v>
      </c>
      <c r="C9" t="s">
        <v>4</v>
      </c>
      <c r="D9" s="34">
        <v>10</v>
      </c>
      <c r="E9" s="34">
        <v>11</v>
      </c>
      <c r="F9" s="34">
        <v>12</v>
      </c>
      <c r="H9" s="34">
        <f>SUMPRODUCT($D$5:$F$5,D9:F9)+5*P8</f>
        <v>52.380952380952372</v>
      </c>
      <c r="I9" s="34" t="s">
        <v>5</v>
      </c>
      <c r="J9" s="34">
        <v>60</v>
      </c>
    </row>
    <row r="10" spans="1:14" ht="15" thickBot="1" x14ac:dyDescent="0.35">
      <c r="A10" s="25" t="str">
        <f>HYPERLINK("[OpenSolver SheetNameCharTester.xlsm]Results!A1", "&lt;- Results")</f>
        <v>&lt;- Results</v>
      </c>
      <c r="D10" s="34">
        <v>21</v>
      </c>
      <c r="E10" s="34">
        <v>22</v>
      </c>
      <c r="F10" s="34">
        <v>23</v>
      </c>
      <c r="H10" s="34">
        <f>SUMPRODUCT($D$5:$F$5,D10:F10)</f>
        <v>109.99999999999999</v>
      </c>
      <c r="I10" s="34" t="s">
        <v>5</v>
      </c>
      <c r="J10" s="34">
        <v>150</v>
      </c>
      <c r="N10" t="str">
        <f ca="1">INFO("RELEASE")</f>
        <v>16.0</v>
      </c>
    </row>
    <row r="11" spans="1:14" x14ac:dyDescent="0.3">
      <c r="D11" s="34">
        <v>21</v>
      </c>
      <c r="E11" s="34">
        <v>22</v>
      </c>
      <c r="F11" s="34">
        <v>-23</v>
      </c>
      <c r="H11" s="34">
        <f>SUMPRODUCT($D$5:$F$5,D11:F11)</f>
        <v>109.99999999999999</v>
      </c>
      <c r="I11" s="34" t="s">
        <v>6</v>
      </c>
      <c r="J11" s="34">
        <v>110</v>
      </c>
    </row>
    <row r="12" spans="1:14" x14ac:dyDescent="0.3">
      <c r="D12" s="34">
        <v>19</v>
      </c>
      <c r="E12" s="34">
        <v>34</v>
      </c>
      <c r="F12" s="34">
        <v>-32</v>
      </c>
      <c r="H12" s="34">
        <f>SUMPRODUCT($D$5:$F$5,D12:F12)</f>
        <v>99.523809523809504</v>
      </c>
      <c r="I12" s="34" t="s">
        <v>5</v>
      </c>
      <c r="J12" s="34">
        <v>180</v>
      </c>
    </row>
    <row r="16" spans="1:14" x14ac:dyDescent="0.3">
      <c r="C16" s="3" t="s">
        <v>8</v>
      </c>
    </row>
    <row r="17" spans="1:9" x14ac:dyDescent="0.3">
      <c r="D17" s="34">
        <v>5.2380952380952372</v>
      </c>
      <c r="E17" s="34">
        <v>0</v>
      </c>
      <c r="F17" s="34">
        <v>0</v>
      </c>
    </row>
    <row r="18" spans="1:9" x14ac:dyDescent="0.3">
      <c r="C18" t="s">
        <v>10</v>
      </c>
      <c r="D18" s="2" t="b">
        <f>ABS(D5-D17)/(1+ABS(D17))&lt;=0.000001</f>
        <v>1</v>
      </c>
      <c r="E18" s="2" t="b">
        <f>ABS(E5-E17)/(1+ABS(E17))&lt;=0.000001</f>
        <v>1</v>
      </c>
      <c r="F18" s="2" t="b">
        <f>ABS(F5-F17)/(1+ABS(F17))&lt;=0.000001</f>
        <v>1</v>
      </c>
      <c r="I18" s="34" t="str">
        <f ca="1">INFO("RELEASE")</f>
        <v>16.0</v>
      </c>
    </row>
    <row r="20" spans="1:9" s="34" customFormat="1" x14ac:dyDescent="0.3">
      <c r="A20" s="8"/>
      <c r="C20" s="3" t="s">
        <v>9</v>
      </c>
    </row>
    <row r="21" spans="1:9" s="34" customFormat="1" x14ac:dyDescent="0.3">
      <c r="A21" s="8"/>
      <c r="C21"/>
      <c r="D21" s="34">
        <v>10.476190476190474</v>
      </c>
    </row>
    <row r="22" spans="1:9" s="34" customFormat="1" x14ac:dyDescent="0.3">
      <c r="A22" s="8"/>
      <c r="C22" t="s">
        <v>10</v>
      </c>
      <c r="D22" s="2" t="b">
        <f>ABS(D21-H7)/(1+ABS(D21))&lt;=0.000001</f>
        <v>1</v>
      </c>
    </row>
  </sheetData>
  <dataConsolidate/>
  <dataValidations count="3">
    <dataValidation type="list" allowBlank="1" showInputMessage="1" showErrorMessage="1" sqref="A2" xr:uid="{608B930C-E25A-4661-A2BB-B9B30E62E79C}">
      <formula1>TestType</formula1>
    </dataValidation>
    <dataValidation type="list" allowBlank="1" showInputMessage="1" showErrorMessage="1" sqref="A4" xr:uid="{1E4DBE94-A9C4-4D60-A4D9-4A61C67FEFE0}">
      <formula1>ModelType</formula1>
    </dataValidation>
    <dataValidation type="list" errorStyle="warning" allowBlank="1" showInputMessage="1" showErrorMessage="1" sqref="A8" xr:uid="{9A43E26E-369A-48A7-9045-BC18FDB84243}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06077B-D31A-4A93-8B3D-67E2F400EDD3}">
  <sheetPr codeName="BadName27"/>
  <dimension ref="A1:N22"/>
  <sheetViews>
    <sheetView workbookViewId="0">
      <selection activeCell="A10" sqref="A10"/>
    </sheetView>
  </sheetViews>
  <sheetFormatPr defaultColWidth="8.88671875" defaultRowHeight="14.4" x14ac:dyDescent="0.3"/>
  <cols>
    <col min="1" max="1" width="15" style="8" bestFit="1" customWidth="1"/>
    <col min="2" max="2" width="2.33203125" customWidth="1"/>
    <col min="3" max="3" width="4.88671875" customWidth="1"/>
    <col min="4" max="4" width="7.6640625" style="34" customWidth="1"/>
    <col min="5" max="6" width="5.109375" style="34" customWidth="1"/>
    <col min="7" max="7" width="3.109375" style="34" customWidth="1"/>
    <col min="8" max="8" width="8.33203125" style="34" customWidth="1"/>
    <col min="9" max="9" width="3" style="34" bestFit="1" customWidth="1"/>
    <col min="10" max="10" width="6" style="34" customWidth="1"/>
    <col min="14" max="14" width="7.6640625" customWidth="1"/>
  </cols>
  <sheetData>
    <row r="1" spans="1:14" x14ac:dyDescent="0.3">
      <c r="A1" s="10" t="s">
        <v>24</v>
      </c>
      <c r="C1" t="s">
        <v>69</v>
      </c>
    </row>
    <row r="2" spans="1:14" ht="15" thickBot="1" x14ac:dyDescent="0.35">
      <c r="A2" s="11" t="s">
        <v>25</v>
      </c>
    </row>
    <row r="3" spans="1:14" x14ac:dyDescent="0.3">
      <c r="A3" s="10" t="s">
        <v>29</v>
      </c>
    </row>
    <row r="4" spans="1:14" ht="15" thickBot="1" x14ac:dyDescent="0.35">
      <c r="A4" s="11" t="s">
        <v>27</v>
      </c>
      <c r="D4" s="34" t="s">
        <v>1</v>
      </c>
      <c r="E4" s="34" t="s">
        <v>2</v>
      </c>
      <c r="F4" s="34" t="s">
        <v>3</v>
      </c>
    </row>
    <row r="5" spans="1:14" x14ac:dyDescent="0.3">
      <c r="A5" s="10" t="s">
        <v>30</v>
      </c>
      <c r="D5" s="34">
        <v>5.2380952380952372</v>
      </c>
      <c r="E5" s="34">
        <v>0</v>
      </c>
      <c r="F5" s="34">
        <v>0</v>
      </c>
      <c r="H5"/>
      <c r="I5"/>
      <c r="J5"/>
    </row>
    <row r="6" spans="1:14" ht="15" thickBot="1" x14ac:dyDescent="0.35">
      <c r="A6" s="11" t="b">
        <f>AND(D18:F18,D22)</f>
        <v>1</v>
      </c>
    </row>
    <row r="7" spans="1:14" x14ac:dyDescent="0.3">
      <c r="A7" s="10" t="s">
        <v>31</v>
      </c>
      <c r="C7" t="s">
        <v>0</v>
      </c>
      <c r="D7" s="34">
        <v>2</v>
      </c>
      <c r="E7" s="34">
        <v>3</v>
      </c>
      <c r="F7" s="34">
        <v>4</v>
      </c>
      <c r="H7" s="34">
        <f>SUMPRODUCT($D$5:$F$5,D7:F7)</f>
        <v>10.476190476190474</v>
      </c>
    </row>
    <row r="8" spans="1:14" x14ac:dyDescent="0.3">
      <c r="A8" s="12" t="str">
        <f ca="1">IF(VALUE(INFO("RELEASE"))&gt;=16,"Optimal", "ErrorOccurred")</f>
        <v>Optimal</v>
      </c>
    </row>
    <row r="9" spans="1:14" ht="15" thickBot="1" x14ac:dyDescent="0.35">
      <c r="A9" s="11">
        <f ca="1">VLOOKUP(A8,OpenSolverResultCodes,2,FALSE)</f>
        <v>0</v>
      </c>
      <c r="C9" t="s">
        <v>4</v>
      </c>
      <c r="D9" s="34">
        <v>10</v>
      </c>
      <c r="E9" s="34">
        <v>11</v>
      </c>
      <c r="F9" s="34">
        <v>12</v>
      </c>
      <c r="H9" s="34">
        <f>SUMPRODUCT($D$5:$F$5,D9:F9)+5*P8</f>
        <v>52.380952380952372</v>
      </c>
      <c r="I9" s="34" t="s">
        <v>5</v>
      </c>
      <c r="J9" s="34">
        <v>60</v>
      </c>
    </row>
    <row r="10" spans="1:14" ht="15" thickBot="1" x14ac:dyDescent="0.35">
      <c r="A10" s="25" t="str">
        <f>HYPERLINK("[OpenSolver SheetNameCharTester.xlsm]Results!A1", "&lt;- Results")</f>
        <v>&lt;- Results</v>
      </c>
      <c r="D10" s="34">
        <v>21</v>
      </c>
      <c r="E10" s="34">
        <v>22</v>
      </c>
      <c r="F10" s="34">
        <v>23</v>
      </c>
      <c r="H10" s="34">
        <f>SUMPRODUCT($D$5:$F$5,D10:F10)</f>
        <v>109.99999999999999</v>
      </c>
      <c r="I10" s="34" t="s">
        <v>5</v>
      </c>
      <c r="J10" s="34">
        <v>150</v>
      </c>
      <c r="N10" t="str">
        <f ca="1">INFO("RELEASE")</f>
        <v>16.0</v>
      </c>
    </row>
    <row r="11" spans="1:14" x14ac:dyDescent="0.3">
      <c r="D11" s="34">
        <v>21</v>
      </c>
      <c r="E11" s="34">
        <v>22</v>
      </c>
      <c r="F11" s="34">
        <v>-23</v>
      </c>
      <c r="H11" s="34">
        <f>SUMPRODUCT($D$5:$F$5,D11:F11)</f>
        <v>109.99999999999999</v>
      </c>
      <c r="I11" s="34" t="s">
        <v>6</v>
      </c>
      <c r="J11" s="34">
        <v>110</v>
      </c>
    </row>
    <row r="12" spans="1:14" x14ac:dyDescent="0.3">
      <c r="D12" s="34">
        <v>19</v>
      </c>
      <c r="E12" s="34">
        <v>34</v>
      </c>
      <c r="F12" s="34">
        <v>-32</v>
      </c>
      <c r="H12" s="34">
        <f>SUMPRODUCT($D$5:$F$5,D12:F12)</f>
        <v>99.523809523809504</v>
      </c>
      <c r="I12" s="34" t="s">
        <v>5</v>
      </c>
      <c r="J12" s="34">
        <v>180</v>
      </c>
    </row>
    <row r="16" spans="1:14" x14ac:dyDescent="0.3">
      <c r="C16" s="3" t="s">
        <v>8</v>
      </c>
    </row>
    <row r="17" spans="1:9" x14ac:dyDescent="0.3">
      <c r="D17" s="34">
        <v>5.2380952380952372</v>
      </c>
      <c r="E17" s="34">
        <v>0</v>
      </c>
      <c r="F17" s="34">
        <v>0</v>
      </c>
    </row>
    <row r="18" spans="1:9" x14ac:dyDescent="0.3">
      <c r="C18" t="s">
        <v>10</v>
      </c>
      <c r="D18" s="2" t="b">
        <f>ABS(D5-D17)/(1+ABS(D17))&lt;=0.000001</f>
        <v>1</v>
      </c>
      <c r="E18" s="2" t="b">
        <f>ABS(E5-E17)/(1+ABS(E17))&lt;=0.000001</f>
        <v>1</v>
      </c>
      <c r="F18" s="2" t="b">
        <f>ABS(F5-F17)/(1+ABS(F17))&lt;=0.000001</f>
        <v>1</v>
      </c>
      <c r="I18" s="34" t="str">
        <f ca="1">INFO("RELEASE")</f>
        <v>16.0</v>
      </c>
    </row>
    <row r="20" spans="1:9" s="34" customFormat="1" x14ac:dyDescent="0.3">
      <c r="A20" s="8"/>
      <c r="C20" s="3" t="s">
        <v>9</v>
      </c>
    </row>
    <row r="21" spans="1:9" s="34" customFormat="1" x14ac:dyDescent="0.3">
      <c r="A21" s="8"/>
      <c r="C21"/>
      <c r="D21" s="34">
        <v>10.476190476190474</v>
      </c>
    </row>
    <row r="22" spans="1:9" s="34" customFormat="1" x14ac:dyDescent="0.3">
      <c r="A22" s="8"/>
      <c r="C22" t="s">
        <v>10</v>
      </c>
      <c r="D22" s="2" t="b">
        <f>ABS(D21-H7)/(1+ABS(D21))&lt;=0.000001</f>
        <v>1</v>
      </c>
    </row>
  </sheetData>
  <dataConsolidate/>
  <dataValidations count="3">
    <dataValidation type="list" errorStyle="warning" allowBlank="1" showInputMessage="1" showErrorMessage="1" sqref="A8" xr:uid="{BCB543E6-8BE0-4078-B44F-0C2B44FA0A24}">
      <formula1>OpenSolverResult</formula1>
    </dataValidation>
    <dataValidation type="list" allowBlank="1" showInputMessage="1" showErrorMessage="1" sqref="A4" xr:uid="{895214A4-65A5-43F7-99F7-117BC6E76165}">
      <formula1>ModelType</formula1>
    </dataValidation>
    <dataValidation type="list" allowBlank="1" showInputMessage="1" showErrorMessage="1" sqref="A2" xr:uid="{E7ABF570-B04D-4898-B9B5-7679D0C9CB4A}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EE0A2-72DE-4032-AD5E-206439DA5B46}">
  <sheetPr codeName="BadName28"/>
  <dimension ref="A1:N22"/>
  <sheetViews>
    <sheetView workbookViewId="0">
      <selection activeCell="A10" sqref="A10"/>
    </sheetView>
  </sheetViews>
  <sheetFormatPr defaultColWidth="8.88671875" defaultRowHeight="14.4" x14ac:dyDescent="0.3"/>
  <cols>
    <col min="1" max="1" width="15" style="8" bestFit="1" customWidth="1"/>
    <col min="2" max="2" width="2.33203125" customWidth="1"/>
    <col min="3" max="3" width="4.88671875" customWidth="1"/>
    <col min="4" max="4" width="7.6640625" style="34" customWidth="1"/>
    <col min="5" max="6" width="5.109375" style="34" customWidth="1"/>
    <col min="7" max="7" width="3.109375" style="34" customWidth="1"/>
    <col min="8" max="8" width="8.33203125" style="34" customWidth="1"/>
    <col min="9" max="9" width="3" style="34" bestFit="1" customWidth="1"/>
    <col min="10" max="10" width="6" style="34" customWidth="1"/>
    <col min="14" max="14" width="7.6640625" customWidth="1"/>
  </cols>
  <sheetData>
    <row r="1" spans="1:14" x14ac:dyDescent="0.3">
      <c r="A1" s="10" t="s">
        <v>24</v>
      </c>
      <c r="C1" t="s">
        <v>69</v>
      </c>
    </row>
    <row r="2" spans="1:14" ht="15" thickBot="1" x14ac:dyDescent="0.35">
      <c r="A2" s="11" t="s">
        <v>25</v>
      </c>
    </row>
    <row r="3" spans="1:14" x14ac:dyDescent="0.3">
      <c r="A3" s="10" t="s">
        <v>29</v>
      </c>
    </row>
    <row r="4" spans="1:14" ht="15" thickBot="1" x14ac:dyDescent="0.35">
      <c r="A4" s="11" t="s">
        <v>27</v>
      </c>
      <c r="D4" s="34" t="s">
        <v>1</v>
      </c>
      <c r="E4" s="34" t="s">
        <v>2</v>
      </c>
      <c r="F4" s="34" t="s">
        <v>3</v>
      </c>
    </row>
    <row r="5" spans="1:14" x14ac:dyDescent="0.3">
      <c r="A5" s="10" t="s">
        <v>30</v>
      </c>
      <c r="D5" s="34">
        <v>5.2380952380952372</v>
      </c>
      <c r="E5" s="34">
        <v>0</v>
      </c>
      <c r="F5" s="34">
        <v>0</v>
      </c>
      <c r="H5"/>
      <c r="I5"/>
      <c r="J5"/>
    </row>
    <row r="6" spans="1:14" ht="15" thickBot="1" x14ac:dyDescent="0.35">
      <c r="A6" s="11" t="b">
        <f>AND(D18:F18,D22)</f>
        <v>1</v>
      </c>
    </row>
    <row r="7" spans="1:14" x14ac:dyDescent="0.3">
      <c r="A7" s="10" t="s">
        <v>31</v>
      </c>
      <c r="C7" t="s">
        <v>0</v>
      </c>
      <c r="D7" s="34">
        <v>2</v>
      </c>
      <c r="E7" s="34">
        <v>3</v>
      </c>
      <c r="F7" s="34">
        <v>4</v>
      </c>
      <c r="H7" s="34">
        <f>SUMPRODUCT($D$5:$F$5,D7:F7)</f>
        <v>10.476190476190474</v>
      </c>
    </row>
    <row r="8" spans="1:14" x14ac:dyDescent="0.3">
      <c r="A8" s="12" t="str">
        <f ca="1">IF(VALUE(INFO("RELEASE"))&gt;=16,"Optimal", "ErrorOccurred")</f>
        <v>Optimal</v>
      </c>
    </row>
    <row r="9" spans="1:14" ht="15" thickBot="1" x14ac:dyDescent="0.35">
      <c r="A9" s="11">
        <f ca="1">VLOOKUP(A8,OpenSolverResultCodes,2,FALSE)</f>
        <v>0</v>
      </c>
      <c r="C9" t="s">
        <v>4</v>
      </c>
      <c r="D9" s="34">
        <v>10</v>
      </c>
      <c r="E9" s="34">
        <v>11</v>
      </c>
      <c r="F9" s="34">
        <v>12</v>
      </c>
      <c r="H9" s="34">
        <f>SUMPRODUCT($D$5:$F$5,D9:F9)+5*P8</f>
        <v>52.380952380952372</v>
      </c>
      <c r="I9" s="34" t="s">
        <v>5</v>
      </c>
      <c r="J9" s="34">
        <v>60</v>
      </c>
    </row>
    <row r="10" spans="1:14" ht="15" thickBot="1" x14ac:dyDescent="0.35">
      <c r="A10" s="25" t="str">
        <f>HYPERLINK("[OpenSolver SheetNameCharTester.xlsm]Results!A1", "&lt;- Results")</f>
        <v>&lt;- Results</v>
      </c>
      <c r="D10" s="34">
        <v>21</v>
      </c>
      <c r="E10" s="34">
        <v>22</v>
      </c>
      <c r="F10" s="34">
        <v>23</v>
      </c>
      <c r="H10" s="34">
        <f>SUMPRODUCT($D$5:$F$5,D10:F10)</f>
        <v>109.99999999999999</v>
      </c>
      <c r="I10" s="34" t="s">
        <v>5</v>
      </c>
      <c r="J10" s="34">
        <v>150</v>
      </c>
      <c r="N10" t="str">
        <f ca="1">INFO("RELEASE")</f>
        <v>16.0</v>
      </c>
    </row>
    <row r="11" spans="1:14" x14ac:dyDescent="0.3">
      <c r="D11" s="34">
        <v>21</v>
      </c>
      <c r="E11" s="34">
        <v>22</v>
      </c>
      <c r="F11" s="34">
        <v>-23</v>
      </c>
      <c r="H11" s="34">
        <f>SUMPRODUCT($D$5:$F$5,D11:F11)</f>
        <v>109.99999999999999</v>
      </c>
      <c r="I11" s="34" t="s">
        <v>6</v>
      </c>
      <c r="J11" s="34">
        <v>110</v>
      </c>
    </row>
    <row r="12" spans="1:14" x14ac:dyDescent="0.3">
      <c r="D12" s="34">
        <v>19</v>
      </c>
      <c r="E12" s="34">
        <v>34</v>
      </c>
      <c r="F12" s="34">
        <v>-32</v>
      </c>
      <c r="H12" s="34">
        <f>SUMPRODUCT($D$5:$F$5,D12:F12)</f>
        <v>99.523809523809504</v>
      </c>
      <c r="I12" s="34" t="s">
        <v>5</v>
      </c>
      <c r="J12" s="34">
        <v>180</v>
      </c>
    </row>
    <row r="16" spans="1:14" x14ac:dyDescent="0.3">
      <c r="C16" s="3" t="s">
        <v>8</v>
      </c>
    </row>
    <row r="17" spans="1:9" x14ac:dyDescent="0.3">
      <c r="D17" s="34">
        <v>5.2380952380952372</v>
      </c>
      <c r="E17" s="34">
        <v>0</v>
      </c>
      <c r="F17" s="34">
        <v>0</v>
      </c>
    </row>
    <row r="18" spans="1:9" x14ac:dyDescent="0.3">
      <c r="C18" t="s">
        <v>10</v>
      </c>
      <c r="D18" s="2" t="b">
        <f>ABS(D5-D17)/(1+ABS(D17))&lt;=0.000001</f>
        <v>1</v>
      </c>
      <c r="E18" s="2" t="b">
        <f>ABS(E5-E17)/(1+ABS(E17))&lt;=0.000001</f>
        <v>1</v>
      </c>
      <c r="F18" s="2" t="b">
        <f>ABS(F5-F17)/(1+ABS(F17))&lt;=0.000001</f>
        <v>1</v>
      </c>
      <c r="I18" s="34" t="str">
        <f ca="1">INFO("RELEASE")</f>
        <v>16.0</v>
      </c>
    </row>
    <row r="20" spans="1:9" s="34" customFormat="1" x14ac:dyDescent="0.3">
      <c r="A20" s="8"/>
      <c r="C20" s="3" t="s">
        <v>9</v>
      </c>
    </row>
    <row r="21" spans="1:9" s="34" customFormat="1" x14ac:dyDescent="0.3">
      <c r="A21" s="8"/>
      <c r="C21"/>
      <c r="D21" s="34">
        <v>10.476190476190474</v>
      </c>
    </row>
    <row r="22" spans="1:9" s="34" customFormat="1" x14ac:dyDescent="0.3">
      <c r="A22" s="8"/>
      <c r="C22" t="s">
        <v>10</v>
      </c>
      <c r="D22" s="2" t="b">
        <f>ABS(D21-H7)/(1+ABS(D21))&lt;=0.000001</f>
        <v>1</v>
      </c>
    </row>
  </sheetData>
  <dataConsolidate/>
  <dataValidations count="3">
    <dataValidation type="list" allowBlank="1" showInputMessage="1" showErrorMessage="1" sqref="A2" xr:uid="{831CA2C2-C4B0-465F-A672-10AF484208D1}">
      <formula1>TestType</formula1>
    </dataValidation>
    <dataValidation type="list" allowBlank="1" showInputMessage="1" showErrorMessage="1" sqref="A4" xr:uid="{57F15A26-27B6-4205-98EE-FD2284704A87}">
      <formula1>ModelType</formula1>
    </dataValidation>
    <dataValidation type="list" errorStyle="warning" allowBlank="1" showInputMessage="1" showErrorMessage="1" sqref="A8" xr:uid="{FCDF427F-955F-425A-ADF0-63206C0726FC}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77CD8B-CA13-498C-9075-0AF7551846D9}">
  <sheetPr codeName="BadName29"/>
  <dimension ref="A1:N22"/>
  <sheetViews>
    <sheetView workbookViewId="0">
      <selection activeCell="A10" sqref="A10"/>
    </sheetView>
  </sheetViews>
  <sheetFormatPr defaultColWidth="8.88671875" defaultRowHeight="14.4" x14ac:dyDescent="0.3"/>
  <cols>
    <col min="1" max="1" width="15" style="8" bestFit="1" customWidth="1"/>
    <col min="2" max="2" width="2.33203125" customWidth="1"/>
    <col min="3" max="3" width="4.88671875" customWidth="1"/>
    <col min="4" max="4" width="7.6640625" style="34" customWidth="1"/>
    <col min="5" max="6" width="5.109375" style="34" customWidth="1"/>
    <col min="7" max="7" width="3.109375" style="34" customWidth="1"/>
    <col min="8" max="8" width="8.33203125" style="34" customWidth="1"/>
    <col min="9" max="9" width="3" style="34" bestFit="1" customWidth="1"/>
    <col min="10" max="10" width="6" style="34" customWidth="1"/>
    <col min="14" max="14" width="7.6640625" customWidth="1"/>
  </cols>
  <sheetData>
    <row r="1" spans="1:14" x14ac:dyDescent="0.3">
      <c r="A1" s="10" t="s">
        <v>24</v>
      </c>
      <c r="C1" t="s">
        <v>69</v>
      </c>
    </row>
    <row r="2" spans="1:14" ht="15" thickBot="1" x14ac:dyDescent="0.35">
      <c r="A2" s="11" t="s">
        <v>25</v>
      </c>
    </row>
    <row r="3" spans="1:14" x14ac:dyDescent="0.3">
      <c r="A3" s="10" t="s">
        <v>29</v>
      </c>
    </row>
    <row r="4" spans="1:14" ht="15" thickBot="1" x14ac:dyDescent="0.35">
      <c r="A4" s="11" t="s">
        <v>27</v>
      </c>
      <c r="D4" s="34" t="s">
        <v>1</v>
      </c>
      <c r="E4" s="34" t="s">
        <v>2</v>
      </c>
      <c r="F4" s="34" t="s">
        <v>3</v>
      </c>
    </row>
    <row r="5" spans="1:14" x14ac:dyDescent="0.3">
      <c r="A5" s="10" t="s">
        <v>30</v>
      </c>
      <c r="D5" s="34">
        <v>5.2380952380952372</v>
      </c>
      <c r="E5" s="34">
        <v>0</v>
      </c>
      <c r="F5" s="34">
        <v>0</v>
      </c>
      <c r="H5"/>
      <c r="I5"/>
      <c r="J5"/>
    </row>
    <row r="6" spans="1:14" ht="15" thickBot="1" x14ac:dyDescent="0.35">
      <c r="A6" s="11" t="b">
        <f>AND(D18:F18,D22)</f>
        <v>1</v>
      </c>
    </row>
    <row r="7" spans="1:14" x14ac:dyDescent="0.3">
      <c r="A7" s="10" t="s">
        <v>31</v>
      </c>
      <c r="C7" t="s">
        <v>0</v>
      </c>
      <c r="D7" s="34">
        <v>2</v>
      </c>
      <c r="E7" s="34">
        <v>3</v>
      </c>
      <c r="F7" s="34">
        <v>4</v>
      </c>
      <c r="H7" s="34">
        <f>SUMPRODUCT($D$5:$F$5,D7:F7)</f>
        <v>10.476190476190474</v>
      </c>
    </row>
    <row r="8" spans="1:14" x14ac:dyDescent="0.3">
      <c r="A8" s="12" t="str">
        <f ca="1">IF(VALUE(INFO("RELEASE"))&gt;=16,"Optimal", "ErrorOccurred")</f>
        <v>Optimal</v>
      </c>
    </row>
    <row r="9" spans="1:14" ht="15" thickBot="1" x14ac:dyDescent="0.35">
      <c r="A9" s="11">
        <f ca="1">VLOOKUP(A8,OpenSolverResultCodes,2,FALSE)</f>
        <v>0</v>
      </c>
      <c r="C9" t="s">
        <v>4</v>
      </c>
      <c r="D9" s="34">
        <v>10</v>
      </c>
      <c r="E9" s="34">
        <v>11</v>
      </c>
      <c r="F9" s="34">
        <v>12</v>
      </c>
      <c r="H9" s="34">
        <f>SUMPRODUCT($D$5:$F$5,D9:F9)+5*P8</f>
        <v>52.380952380952372</v>
      </c>
      <c r="I9" s="34" t="s">
        <v>5</v>
      </c>
      <c r="J9" s="34">
        <v>60</v>
      </c>
    </row>
    <row r="10" spans="1:14" ht="15" thickBot="1" x14ac:dyDescent="0.35">
      <c r="A10" s="25" t="str">
        <f>HYPERLINK("[OpenSolver SheetNameCharTester.xlsm]Results!A1", "&lt;- Results")</f>
        <v>&lt;- Results</v>
      </c>
      <c r="D10" s="34">
        <v>21</v>
      </c>
      <c r="E10" s="34">
        <v>22</v>
      </c>
      <c r="F10" s="34">
        <v>23</v>
      </c>
      <c r="H10" s="34">
        <f>SUMPRODUCT($D$5:$F$5,D10:F10)</f>
        <v>109.99999999999999</v>
      </c>
      <c r="I10" s="34" t="s">
        <v>5</v>
      </c>
      <c r="J10" s="34">
        <v>150</v>
      </c>
      <c r="N10" t="str">
        <f ca="1">INFO("RELEASE")</f>
        <v>16.0</v>
      </c>
    </row>
    <row r="11" spans="1:14" x14ac:dyDescent="0.3">
      <c r="D11" s="34">
        <v>21</v>
      </c>
      <c r="E11" s="34">
        <v>22</v>
      </c>
      <c r="F11" s="34">
        <v>-23</v>
      </c>
      <c r="H11" s="34">
        <f>SUMPRODUCT($D$5:$F$5,D11:F11)</f>
        <v>109.99999999999999</v>
      </c>
      <c r="I11" s="34" t="s">
        <v>6</v>
      </c>
      <c r="J11" s="34">
        <v>110</v>
      </c>
    </row>
    <row r="12" spans="1:14" x14ac:dyDescent="0.3">
      <c r="D12" s="34">
        <v>19</v>
      </c>
      <c r="E12" s="34">
        <v>34</v>
      </c>
      <c r="F12" s="34">
        <v>-32</v>
      </c>
      <c r="H12" s="34">
        <f>SUMPRODUCT($D$5:$F$5,D12:F12)</f>
        <v>99.523809523809504</v>
      </c>
      <c r="I12" s="34" t="s">
        <v>5</v>
      </c>
      <c r="J12" s="34">
        <v>180</v>
      </c>
    </row>
    <row r="16" spans="1:14" x14ac:dyDescent="0.3">
      <c r="C16" s="3" t="s">
        <v>8</v>
      </c>
    </row>
    <row r="17" spans="1:9" x14ac:dyDescent="0.3">
      <c r="D17" s="34">
        <v>5.2380952380952372</v>
      </c>
      <c r="E17" s="34">
        <v>0</v>
      </c>
      <c r="F17" s="34">
        <v>0</v>
      </c>
    </row>
    <row r="18" spans="1:9" x14ac:dyDescent="0.3">
      <c r="C18" t="s">
        <v>10</v>
      </c>
      <c r="D18" s="2" t="b">
        <f>ABS(D5-D17)/(1+ABS(D17))&lt;=0.000001</f>
        <v>1</v>
      </c>
      <c r="E18" s="2" t="b">
        <f>ABS(E5-E17)/(1+ABS(E17))&lt;=0.000001</f>
        <v>1</v>
      </c>
      <c r="F18" s="2" t="b">
        <f>ABS(F5-F17)/(1+ABS(F17))&lt;=0.000001</f>
        <v>1</v>
      </c>
      <c r="I18" s="34" t="str">
        <f ca="1">INFO("RELEASE")</f>
        <v>16.0</v>
      </c>
    </row>
    <row r="20" spans="1:9" s="34" customFormat="1" x14ac:dyDescent="0.3">
      <c r="A20" s="8"/>
      <c r="C20" s="3" t="s">
        <v>9</v>
      </c>
    </row>
    <row r="21" spans="1:9" s="34" customFormat="1" x14ac:dyDescent="0.3">
      <c r="A21" s="8"/>
      <c r="C21"/>
      <c r="D21" s="34">
        <v>10.476190476190474</v>
      </c>
    </row>
    <row r="22" spans="1:9" s="34" customFormat="1" x14ac:dyDescent="0.3">
      <c r="A22" s="8"/>
      <c r="C22" t="s">
        <v>10</v>
      </c>
      <c r="D22" s="2" t="b">
        <f>ABS(D21-H7)/(1+ABS(D21))&lt;=0.000001</f>
        <v>1</v>
      </c>
    </row>
  </sheetData>
  <dataConsolidate/>
  <dataValidations count="3">
    <dataValidation type="list" errorStyle="warning" allowBlank="1" showInputMessage="1" showErrorMessage="1" sqref="A8" xr:uid="{E3054EFF-6281-4D15-9D42-267687992250}">
      <formula1>OpenSolverResult</formula1>
    </dataValidation>
    <dataValidation type="list" allowBlank="1" showInputMessage="1" showErrorMessage="1" sqref="A4" xr:uid="{D4F61369-FB80-42FA-BB19-54CB7A47F309}">
      <formula1>ModelType</formula1>
    </dataValidation>
    <dataValidation type="list" allowBlank="1" showInputMessage="1" showErrorMessage="1" sqref="A2" xr:uid="{0315B1EF-096E-45B2-A474-11D9A0FC61C1}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71</vt:i4>
      </vt:variant>
    </vt:vector>
  </HeadingPairs>
  <TitlesOfParts>
    <vt:vector size="107" baseType="lpstr">
      <vt:lpstr>Data</vt:lpstr>
      <vt:lpstr>__OpenSolver__</vt:lpstr>
      <vt:lpstr>Results</vt:lpstr>
      <vt:lpstr>SimpleLP</vt:lpstr>
      <vt:lpstr>SimpleIP</vt:lpstr>
      <vt:lpstr>BadName!</vt:lpstr>
      <vt:lpstr>EscapeSheetName(1)+2-1</vt:lpstr>
      <vt:lpstr>!BadName</vt:lpstr>
      <vt:lpstr>Bad!Name</vt:lpstr>
      <vt:lpstr>@BadName</vt:lpstr>
      <vt:lpstr>Bad@Name</vt:lpstr>
      <vt:lpstr>BadName@</vt:lpstr>
      <vt:lpstr>#BadName</vt:lpstr>
      <vt:lpstr>Bad#Name</vt:lpstr>
      <vt:lpstr>BadName#</vt:lpstr>
      <vt:lpstr>$BadName</vt:lpstr>
      <vt:lpstr>Bad$Name</vt:lpstr>
      <vt:lpstr>BadName$</vt:lpstr>
      <vt:lpstr>%BadName</vt:lpstr>
      <vt:lpstr>Bad%Name</vt:lpstr>
      <vt:lpstr>BadName%</vt:lpstr>
      <vt:lpstr>^BadName</vt:lpstr>
      <vt:lpstr>Bad^Name</vt:lpstr>
      <vt:lpstr>BadName^</vt:lpstr>
      <vt:lpstr>&amp;BadName</vt:lpstr>
      <vt:lpstr>Bad&amp;Name</vt:lpstr>
      <vt:lpstr>BadName&amp;</vt:lpstr>
      <vt:lpstr>|BadName</vt:lpstr>
      <vt:lpstr>Bad|Name</vt:lpstr>
      <vt:lpstr>BadName|</vt:lpstr>
      <vt:lpstr>-BadName</vt:lpstr>
      <vt:lpstr>Bad-Name</vt:lpstr>
      <vt:lpstr>BadName-</vt:lpstr>
      <vt:lpstr>=BadName</vt:lpstr>
      <vt:lpstr>Bad=Name</vt:lpstr>
      <vt:lpstr>BadName=</vt:lpstr>
      <vt:lpstr>ModelType</vt:lpstr>
      <vt:lpstr>OpenSolver_ModelParameters</vt:lpstr>
      <vt:lpstr>OpenSolverResult</vt:lpstr>
      <vt:lpstr>OpenSolverResultCodes</vt:lpstr>
      <vt:lpstr>'!BadName'!Scale</vt:lpstr>
      <vt:lpstr>'#BadName'!Scale</vt:lpstr>
      <vt:lpstr>'$BadName'!Scale</vt:lpstr>
      <vt:lpstr>'%BadName'!Scale</vt:lpstr>
      <vt:lpstr>'&amp;BadName'!Scale</vt:lpstr>
      <vt:lpstr>'@BadName'!Scale</vt:lpstr>
      <vt:lpstr>'^BadName'!Scale</vt:lpstr>
      <vt:lpstr>'|BadName'!Scale</vt:lpstr>
      <vt:lpstr>'=BadName'!Scale</vt:lpstr>
      <vt:lpstr>'Bad!Name'!Scale</vt:lpstr>
      <vt:lpstr>'Bad#Name'!Scale</vt:lpstr>
      <vt:lpstr>'Bad$Name'!Scale</vt:lpstr>
      <vt:lpstr>'Bad%Name'!Scale</vt:lpstr>
      <vt:lpstr>'Bad&amp;Name'!Scale</vt:lpstr>
      <vt:lpstr>'Bad@Name'!Scale</vt:lpstr>
      <vt:lpstr>'Bad^Name'!Scale</vt:lpstr>
      <vt:lpstr>'Bad|Name'!Scale</vt:lpstr>
      <vt:lpstr>'Bad=Name'!Scale</vt:lpstr>
      <vt:lpstr>'BadName-'!Scale</vt:lpstr>
      <vt:lpstr>'Bad-Name'!Scale</vt:lpstr>
      <vt:lpstr>'-BadName'!Scale</vt:lpstr>
      <vt:lpstr>'BadName!'!Scale</vt:lpstr>
      <vt:lpstr>'BadName#'!Scale</vt:lpstr>
      <vt:lpstr>'BadName$'!Scale</vt:lpstr>
      <vt:lpstr>'BadName%'!Scale</vt:lpstr>
      <vt:lpstr>'BadName&amp;'!Scale</vt:lpstr>
      <vt:lpstr>'BadName@'!Scale</vt:lpstr>
      <vt:lpstr>'BadName^'!Scale</vt:lpstr>
      <vt:lpstr>'BadName|'!Scale</vt:lpstr>
      <vt:lpstr>'BadName='!Scale</vt:lpstr>
      <vt:lpstr>'EscapeSheetName(1)+2-1'!Scale</vt:lpstr>
      <vt:lpstr>SimpleIP!Scale</vt:lpstr>
      <vt:lpstr>Scale</vt:lpstr>
      <vt:lpstr>'!BadName'!Sheet1OpenSolverModelParameters</vt:lpstr>
      <vt:lpstr>'#BadName'!Sheet1OpenSolverModelParameters</vt:lpstr>
      <vt:lpstr>'$BadName'!Sheet1OpenSolverModelParameters</vt:lpstr>
      <vt:lpstr>'%BadName'!Sheet1OpenSolverModelParameters</vt:lpstr>
      <vt:lpstr>'&amp;BadName'!Sheet1OpenSolverModelParameters</vt:lpstr>
      <vt:lpstr>'@BadName'!Sheet1OpenSolverModelParameters</vt:lpstr>
      <vt:lpstr>'^BadName'!Sheet1OpenSolverModelParameters</vt:lpstr>
      <vt:lpstr>'|BadName'!Sheet1OpenSolverModelParameters</vt:lpstr>
      <vt:lpstr>'=BadName'!Sheet1OpenSolverModelParameters</vt:lpstr>
      <vt:lpstr>'Bad!Name'!Sheet1OpenSolverModelParameters</vt:lpstr>
      <vt:lpstr>'Bad#Name'!Sheet1OpenSolverModelParameters</vt:lpstr>
      <vt:lpstr>'Bad$Name'!Sheet1OpenSolverModelParameters</vt:lpstr>
      <vt:lpstr>'Bad%Name'!Sheet1OpenSolverModelParameters</vt:lpstr>
      <vt:lpstr>'Bad&amp;Name'!Sheet1OpenSolverModelParameters</vt:lpstr>
      <vt:lpstr>'Bad@Name'!Sheet1OpenSolverModelParameters</vt:lpstr>
      <vt:lpstr>'Bad^Name'!Sheet1OpenSolverModelParameters</vt:lpstr>
      <vt:lpstr>'Bad|Name'!Sheet1OpenSolverModelParameters</vt:lpstr>
      <vt:lpstr>'Bad=Name'!Sheet1OpenSolverModelParameters</vt:lpstr>
      <vt:lpstr>'BadName-'!Sheet1OpenSolverModelParameters</vt:lpstr>
      <vt:lpstr>'Bad-Name'!Sheet1OpenSolverModelParameters</vt:lpstr>
      <vt:lpstr>'-BadName'!Sheet1OpenSolverModelParameters</vt:lpstr>
      <vt:lpstr>'BadName!'!Sheet1OpenSolverModelParameters</vt:lpstr>
      <vt:lpstr>'BadName#'!Sheet1OpenSolverModelParameters</vt:lpstr>
      <vt:lpstr>'BadName$'!Sheet1OpenSolverModelParameters</vt:lpstr>
      <vt:lpstr>'BadName%'!Sheet1OpenSolverModelParameters</vt:lpstr>
      <vt:lpstr>'BadName&amp;'!Sheet1OpenSolverModelParameters</vt:lpstr>
      <vt:lpstr>'BadName@'!Sheet1OpenSolverModelParameters</vt:lpstr>
      <vt:lpstr>'BadName^'!Sheet1OpenSolverModelParameters</vt:lpstr>
      <vt:lpstr>'BadName|'!Sheet1OpenSolverModelParameters</vt:lpstr>
      <vt:lpstr>'BadName='!Sheet1OpenSolverModelParameters</vt:lpstr>
      <vt:lpstr>'EscapeSheetName(1)+2-1'!Sheet1OpenSolverModelParameters</vt:lpstr>
      <vt:lpstr>SimpleIP!Sheet1OpenSolverModelParameters</vt:lpstr>
      <vt:lpstr>Sheet1OpenSolverModelParameters</vt:lpstr>
      <vt:lpstr>TestType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Taiji Endo</cp:lastModifiedBy>
  <dcterms:created xsi:type="dcterms:W3CDTF">2010-05-06T00:04:01Z</dcterms:created>
  <dcterms:modified xsi:type="dcterms:W3CDTF">2021-01-10T21:34:50Z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2</vt:i4>
  </property>
</Properties>
</file>