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amin\github\OpenSolverTester\LP Files\"/>
    </mc:Choice>
  </mc:AlternateContent>
  <bookViews>
    <workbookView xWindow="0" yWindow="0" windowWidth="28800" windowHeight="12210" firstSheet="6" activeTab="13"/>
  </bookViews>
  <sheets>
    <sheet name="Test ジョンスミス.lp" sheetId="121" r:id="rId1"/>
    <sheet name="Test texas.lp" sheetId="120" r:id="rId2"/>
    <sheet name="Test test.lp" sheetId="119" r:id="rId3"/>
    <sheet name="Test SOS.lp" sheetId="118" r:id="rId4"/>
    <sheet name="Test Semis.lp" sheetId="117" r:id="rId5"/>
    <sheet name="Test OpenSolver.lp" sheetId="116" r:id="rId6"/>
    <sheet name="Test non-linear.lp" sheetId="115" r:id="rId7"/>
    <sheet name="Test mosek2.lp" sheetId="114" r:id="rId8"/>
    <sheet name="Test mosek1.lp" sheetId="113" r:id="rId9"/>
    <sheet name="Test minimal.lp" sheetId="112" r:id="rId10"/>
    <sheet name="Test denmark.lp" sheetId="111" r:id="rId11"/>
    <sheet name="Test cplex1.lp" sheetId="110" r:id="rId12"/>
    <sheet name="Test berlin.lp" sheetId="109" r:id="rId13"/>
    <sheet name="TestAll" sheetId="1" r:id="rId14"/>
  </sheets>
  <functionGroups builtInGroupCount="18"/>
  <definedNames>
    <definedName name="Constraint_0" localSheetId="12" hidden="1">'Test berlin.lp'!$C$6:$E$6</definedName>
    <definedName name="Constraint_0" localSheetId="11" hidden="1">'Test cplex1.lp'!$C$6:$F$6</definedName>
    <definedName name="Constraint_0" localSheetId="10" hidden="1">'Test denmark.lp'!$C$6:$F$6</definedName>
    <definedName name="Constraint_0" localSheetId="8" hidden="1">'Test mosek1.lp'!$C$6:$F$6</definedName>
    <definedName name="Constraint_0" localSheetId="7" hidden="1">'Test mosek2.lp'!$C$6:$D$6</definedName>
    <definedName name="Constraint_0" localSheetId="5" hidden="1">'Test OpenSolver.lp'!$C$6:$F$6</definedName>
    <definedName name="Constraint_0" localSheetId="4" hidden="1">'Test Semis.lp'!$C$6:$F$6</definedName>
    <definedName name="Constraint_0" localSheetId="3" hidden="1">'Test SOS.lp'!$C$6:$G$6</definedName>
    <definedName name="Constraint_0" localSheetId="2" hidden="1">'Test test.lp'!$C$6:$AM$6</definedName>
    <definedName name="Constraint_0" localSheetId="1" hidden="1">'Test texas.lp'!$C$6:$E$6</definedName>
    <definedName name="Constraint_0" localSheetId="0" hidden="1">'Test ジョンスミス.lp'!$C$6:$F$6</definedName>
    <definedName name="Constraint_0_LHS" localSheetId="12" hidden="1">'Test berlin.lp'!$G$6</definedName>
    <definedName name="Constraint_0_LHS" localSheetId="11" hidden="1">'Test cplex1.lp'!$H$6</definedName>
    <definedName name="Constraint_0_LHS" localSheetId="10" hidden="1">'Test denmark.lp'!$H$6</definedName>
    <definedName name="Constraint_0_LHS" localSheetId="8" hidden="1">'Test mosek1.lp'!$H$6</definedName>
    <definedName name="Constraint_0_LHS" localSheetId="7" hidden="1">'Test mosek2.lp'!$F$6</definedName>
    <definedName name="Constraint_0_LHS" localSheetId="5" hidden="1">'Test OpenSolver.lp'!$H$6</definedName>
    <definedName name="Constraint_0_LHS" localSheetId="4" hidden="1">'Test Semis.lp'!$H$6</definedName>
    <definedName name="Constraint_0_LHS" localSheetId="3" hidden="1">'Test SOS.lp'!$I$6</definedName>
    <definedName name="Constraint_0_LHS" localSheetId="2" hidden="1">'Test test.lp'!$AO$6</definedName>
    <definedName name="Constraint_0_LHS" localSheetId="1" hidden="1">'Test texas.lp'!$G$6</definedName>
    <definedName name="Constraint_0_LHS" localSheetId="0" hidden="1">'Test ジョンスミス.lp'!$H$6</definedName>
    <definedName name="Constraint_0_RHS" localSheetId="12" hidden="1">'Test berlin.lp'!$I$6</definedName>
    <definedName name="Constraint_0_RHS" localSheetId="11" hidden="1">'Test cplex1.lp'!$J$6</definedName>
    <definedName name="Constraint_0_RHS" localSheetId="10" hidden="1">'Test denmark.lp'!$J$6</definedName>
    <definedName name="Constraint_0_RHS" localSheetId="8" hidden="1">'Test mosek1.lp'!$J$6</definedName>
    <definedName name="Constraint_0_RHS" localSheetId="7" hidden="1">'Test mosek2.lp'!$H$6</definedName>
    <definedName name="Constraint_0_RHS" localSheetId="5" hidden="1">'Test OpenSolver.lp'!$J$6</definedName>
    <definedName name="Constraint_0_RHS" localSheetId="4" hidden="1">'Test Semis.lp'!$J$6</definedName>
    <definedName name="Constraint_0_RHS" localSheetId="3" hidden="1">'Test SOS.lp'!$K$6</definedName>
    <definedName name="Constraint_0_RHS" localSheetId="2" hidden="1">'Test test.lp'!$AQ$6</definedName>
    <definedName name="Constraint_0_RHS" localSheetId="1" hidden="1">'Test texas.lp'!$I$6</definedName>
    <definedName name="Constraint_0_RHS" localSheetId="0" hidden="1">'Test ジョンスミス.lp'!$J$6</definedName>
    <definedName name="Constraint_0_Sense" localSheetId="12" hidden="1">'Test berlin.lp'!$H$6</definedName>
    <definedName name="Constraint_0_Sense" localSheetId="11" hidden="1">'Test cplex1.lp'!$I$6</definedName>
    <definedName name="Constraint_0_Sense" localSheetId="10" hidden="1">'Test denmark.lp'!$I$6</definedName>
    <definedName name="Constraint_0_Sense" localSheetId="8" hidden="1">'Test mosek1.lp'!$I$6</definedName>
    <definedName name="Constraint_0_Sense" localSheetId="7" hidden="1">'Test mosek2.lp'!$G$6</definedName>
    <definedName name="Constraint_0_Sense" localSheetId="5" hidden="1">'Test OpenSolver.lp'!$I$6</definedName>
    <definedName name="Constraint_0_Sense" localSheetId="4" hidden="1">'Test Semis.lp'!$I$6</definedName>
    <definedName name="Constraint_0_Sense" localSheetId="3" hidden="1">'Test SOS.lp'!$J$6</definedName>
    <definedName name="Constraint_0_Sense" localSheetId="2" hidden="1">'Test test.lp'!$AP$6</definedName>
    <definedName name="Constraint_0_Sense" localSheetId="1" hidden="1">'Test texas.lp'!$H$6</definedName>
    <definedName name="Constraint_0_Sense" localSheetId="0" hidden="1">'Test ジョンスミス.lp'!$I$6</definedName>
    <definedName name="Constraint_1" localSheetId="12" hidden="1">'Test berlin.lp'!$C$7:$E$7</definedName>
    <definedName name="Constraint_1" localSheetId="11" hidden="1">'Test cplex1.lp'!$C$7:$F$7</definedName>
    <definedName name="Constraint_1" localSheetId="10" hidden="1">'Test denmark.lp'!$C$7:$F$7</definedName>
    <definedName name="Constraint_1" localSheetId="8" hidden="1">'Test mosek1.lp'!$C$7:$F$7</definedName>
    <definedName name="Constraint_1" localSheetId="7" hidden="1">'Test mosek2.lp'!$C$7:$D$7</definedName>
    <definedName name="Constraint_1" localSheetId="5" hidden="1">'Test OpenSolver.lp'!$C$7:$F$7</definedName>
    <definedName name="Constraint_1" localSheetId="4" hidden="1">'Test Semis.lp'!$C$7:$F$7</definedName>
    <definedName name="Constraint_1" localSheetId="3" hidden="1">'Test SOS.lp'!$C$7:$G$7</definedName>
    <definedName name="Constraint_1" localSheetId="2" hidden="1">'Test test.lp'!$C$7:$AM$7</definedName>
    <definedName name="Constraint_1" localSheetId="1" hidden="1">'Test texas.lp'!$C$7:$E$7</definedName>
    <definedName name="Constraint_1" localSheetId="0" hidden="1">'Test ジョンスミス.lp'!$C$7:$F$7</definedName>
    <definedName name="Constraint_1_LHS" localSheetId="12" hidden="1">'Test berlin.lp'!$G$7</definedName>
    <definedName name="Constraint_1_LHS" localSheetId="11" hidden="1">'Test cplex1.lp'!$H$7</definedName>
    <definedName name="Constraint_1_LHS" localSheetId="10" hidden="1">'Test denmark.lp'!$H$7</definedName>
    <definedName name="Constraint_1_LHS" localSheetId="8" hidden="1">'Test mosek1.lp'!$H$7</definedName>
    <definedName name="Constraint_1_LHS" localSheetId="7" hidden="1">'Test mosek2.lp'!$F$7</definedName>
    <definedName name="Constraint_1_LHS" localSheetId="5" hidden="1">'Test OpenSolver.lp'!$H$7</definedName>
    <definedName name="Constraint_1_LHS" localSheetId="4" hidden="1">'Test Semis.lp'!$H$7</definedName>
    <definedName name="Constraint_1_LHS" localSheetId="3" hidden="1">'Test SOS.lp'!$I$7</definedName>
    <definedName name="Constraint_1_LHS" localSheetId="2" hidden="1">'Test test.lp'!$AO$7</definedName>
    <definedName name="Constraint_1_LHS" localSheetId="1" hidden="1">'Test texas.lp'!$G$7</definedName>
    <definedName name="Constraint_1_LHS" localSheetId="0" hidden="1">'Test ジョンスミス.lp'!$H$7</definedName>
    <definedName name="Constraint_1_RHS" localSheetId="12" hidden="1">'Test berlin.lp'!$I$7</definedName>
    <definedName name="Constraint_1_RHS" localSheetId="11" hidden="1">'Test cplex1.lp'!$J$7</definedName>
    <definedName name="Constraint_1_RHS" localSheetId="10" hidden="1">'Test denmark.lp'!$J$7</definedName>
    <definedName name="Constraint_1_RHS" localSheetId="8" hidden="1">'Test mosek1.lp'!$J$7</definedName>
    <definedName name="Constraint_1_RHS" localSheetId="7" hidden="1">'Test mosek2.lp'!$H$7</definedName>
    <definedName name="Constraint_1_RHS" localSheetId="5" hidden="1">'Test OpenSolver.lp'!$J$7</definedName>
    <definedName name="Constraint_1_RHS" localSheetId="4" hidden="1">'Test Semis.lp'!$J$7</definedName>
    <definedName name="Constraint_1_RHS" localSheetId="3" hidden="1">'Test SOS.lp'!$K$7</definedName>
    <definedName name="Constraint_1_RHS" localSheetId="2" hidden="1">'Test test.lp'!$AQ$7</definedName>
    <definedName name="Constraint_1_RHS" localSheetId="1" hidden="1">'Test texas.lp'!$I$7</definedName>
    <definedName name="Constraint_1_RHS" localSheetId="0" hidden="1">'Test ジョンスミス.lp'!$J$7</definedName>
    <definedName name="Constraint_1_Sense" localSheetId="12" hidden="1">'Test berlin.lp'!$H$7</definedName>
    <definedName name="Constraint_1_Sense" localSheetId="11" hidden="1">'Test cplex1.lp'!$I$7</definedName>
    <definedName name="Constraint_1_Sense" localSheetId="10" hidden="1">'Test denmark.lp'!$I$7</definedName>
    <definedName name="Constraint_1_Sense" localSheetId="8" hidden="1">'Test mosek1.lp'!$I$7</definedName>
    <definedName name="Constraint_1_Sense" localSheetId="7" hidden="1">'Test mosek2.lp'!$G$7</definedName>
    <definedName name="Constraint_1_Sense" localSheetId="5" hidden="1">'Test OpenSolver.lp'!$I$7</definedName>
    <definedName name="Constraint_1_Sense" localSheetId="4" hidden="1">'Test Semis.lp'!$I$7</definedName>
    <definedName name="Constraint_1_Sense" localSheetId="3" hidden="1">'Test SOS.lp'!$J$7</definedName>
    <definedName name="Constraint_1_Sense" localSheetId="2" hidden="1">'Test test.lp'!$AP$7</definedName>
    <definedName name="Constraint_1_Sense" localSheetId="1" hidden="1">'Test texas.lp'!$H$7</definedName>
    <definedName name="Constraint_1_Sense" localSheetId="0" hidden="1">'Test ジョンスミス.lp'!$I$7</definedName>
    <definedName name="Constraint_10" localSheetId="2" hidden="1">'Test test.lp'!$C$16:$AM$16</definedName>
    <definedName name="Constraint_10_LHS" localSheetId="2" hidden="1">'Test test.lp'!$AO$16</definedName>
    <definedName name="Constraint_10_RHS" localSheetId="2" hidden="1">'Test test.lp'!$AQ$16</definedName>
    <definedName name="Constraint_10_Sense" localSheetId="2" hidden="1">'Test test.lp'!$AP$16</definedName>
    <definedName name="Constraint_11" localSheetId="2" hidden="1">'Test test.lp'!$C$17:$AM$17</definedName>
    <definedName name="Constraint_11_LHS" localSheetId="2" hidden="1">'Test test.lp'!$AO$17</definedName>
    <definedName name="Constraint_11_RHS" localSheetId="2" hidden="1">'Test test.lp'!$AQ$17</definedName>
    <definedName name="Constraint_11_Sense" localSheetId="2" hidden="1">'Test test.lp'!$AP$17</definedName>
    <definedName name="Constraint_12" localSheetId="2" hidden="1">'Test test.lp'!$C$18:$AM$18</definedName>
    <definedName name="Constraint_12_LHS" localSheetId="2" hidden="1">'Test test.lp'!$AO$18</definedName>
    <definedName name="Constraint_12_RHS" localSheetId="2" hidden="1">'Test test.lp'!$AQ$18</definedName>
    <definedName name="Constraint_12_Sense" localSheetId="2" hidden="1">'Test test.lp'!$AP$18</definedName>
    <definedName name="Constraint_13" localSheetId="2" hidden="1">'Test test.lp'!$C$19:$AM$19</definedName>
    <definedName name="Constraint_13_LHS" localSheetId="2" hidden="1">'Test test.lp'!$AO$19</definedName>
    <definedName name="Constraint_13_RHS" localSheetId="2" hidden="1">'Test test.lp'!$AQ$19</definedName>
    <definedName name="Constraint_13_Sense" localSheetId="2" hidden="1">'Test test.lp'!$AP$19</definedName>
    <definedName name="Constraint_14" localSheetId="2" hidden="1">'Test test.lp'!$C$20:$AM$20</definedName>
    <definedName name="Constraint_14_LHS" localSheetId="2" hidden="1">'Test test.lp'!$AO$20</definedName>
    <definedName name="Constraint_14_RHS" localSheetId="2" hidden="1">'Test test.lp'!$AQ$20</definedName>
    <definedName name="Constraint_14_Sense" localSheetId="2" hidden="1">'Test test.lp'!$AP$20</definedName>
    <definedName name="Constraint_15" localSheetId="2" hidden="1">'Test test.lp'!$C$21:$AM$21</definedName>
    <definedName name="Constraint_15_LHS" localSheetId="2" hidden="1">'Test test.lp'!$AO$21</definedName>
    <definedName name="Constraint_15_RHS" localSheetId="2" hidden="1">'Test test.lp'!$AQ$21</definedName>
    <definedName name="Constraint_15_Sense" localSheetId="2" hidden="1">'Test test.lp'!$AP$21</definedName>
    <definedName name="Constraint_16" localSheetId="2" hidden="1">'Test test.lp'!$C$22:$AM$22</definedName>
    <definedName name="Constraint_16_LHS" localSheetId="2" hidden="1">'Test test.lp'!$AO$22</definedName>
    <definedName name="Constraint_16_RHS" localSheetId="2" hidden="1">'Test test.lp'!$AQ$22</definedName>
    <definedName name="Constraint_16_Sense" localSheetId="2" hidden="1">'Test test.lp'!$AP$22</definedName>
    <definedName name="Constraint_17" localSheetId="2" hidden="1">'Test test.lp'!$C$23:$AM$23</definedName>
    <definedName name="Constraint_17_LHS" localSheetId="2" hidden="1">'Test test.lp'!$AO$23</definedName>
    <definedName name="Constraint_17_RHS" localSheetId="2" hidden="1">'Test test.lp'!$AQ$23</definedName>
    <definedName name="Constraint_17_Sense" localSheetId="2" hidden="1">'Test test.lp'!$AP$23</definedName>
    <definedName name="Constraint_18" localSheetId="2" hidden="1">'Test test.lp'!$C$24:$AM$24</definedName>
    <definedName name="Constraint_18_LHS" localSheetId="2" hidden="1">'Test test.lp'!$AO$24</definedName>
    <definedName name="Constraint_18_RHS" localSheetId="2" hidden="1">'Test test.lp'!$AQ$24</definedName>
    <definedName name="Constraint_18_Sense" localSheetId="2" hidden="1">'Test test.lp'!$AP$24</definedName>
    <definedName name="Constraint_2" localSheetId="12" hidden="1">'Test berlin.lp'!$C$8:$E$8</definedName>
    <definedName name="Constraint_2" localSheetId="11" hidden="1">'Test cplex1.lp'!$C$8:$F$8</definedName>
    <definedName name="Constraint_2" localSheetId="8" hidden="1">'Test mosek1.lp'!$C$8:$F$8</definedName>
    <definedName name="Constraint_2" localSheetId="5" hidden="1">'Test OpenSolver.lp'!$C$8:$F$8</definedName>
    <definedName name="Constraint_2" localSheetId="4" hidden="1">'Test Semis.lp'!$C$8:$F$8</definedName>
    <definedName name="Constraint_2" localSheetId="3" hidden="1">'Test SOS.lp'!$C$8:$G$8</definedName>
    <definedName name="Constraint_2" localSheetId="2" hidden="1">'Test test.lp'!$C$8:$AM$8</definedName>
    <definedName name="Constraint_2" localSheetId="0" hidden="1">'Test ジョンスミス.lp'!$C$8:$F$8</definedName>
    <definedName name="Constraint_2_LHS" localSheetId="12" hidden="1">'Test berlin.lp'!$G$8</definedName>
    <definedName name="Constraint_2_LHS" localSheetId="11" hidden="1">'Test cplex1.lp'!$H$8</definedName>
    <definedName name="Constraint_2_LHS" localSheetId="8" hidden="1">'Test mosek1.lp'!$H$8</definedName>
    <definedName name="Constraint_2_LHS" localSheetId="5" hidden="1">'Test OpenSolver.lp'!$H$8</definedName>
    <definedName name="Constraint_2_LHS" localSheetId="4" hidden="1">'Test Semis.lp'!$H$8</definedName>
    <definedName name="Constraint_2_LHS" localSheetId="3" hidden="1">'Test SOS.lp'!$I$8</definedName>
    <definedName name="Constraint_2_LHS" localSheetId="2" hidden="1">'Test test.lp'!$AO$8</definedName>
    <definedName name="Constraint_2_LHS" localSheetId="0" hidden="1">'Test ジョンスミス.lp'!$H$8</definedName>
    <definedName name="Constraint_2_RHS" localSheetId="12" hidden="1">'Test berlin.lp'!$I$8</definedName>
    <definedName name="Constraint_2_RHS" localSheetId="11" hidden="1">'Test cplex1.lp'!$J$8</definedName>
    <definedName name="Constraint_2_RHS" localSheetId="8" hidden="1">'Test mosek1.lp'!$J$8</definedName>
    <definedName name="Constraint_2_RHS" localSheetId="5" hidden="1">'Test OpenSolver.lp'!$J$8</definedName>
    <definedName name="Constraint_2_RHS" localSheetId="4" hidden="1">'Test Semis.lp'!$J$8</definedName>
    <definedName name="Constraint_2_RHS" localSheetId="3" hidden="1">'Test SOS.lp'!$K$8</definedName>
    <definedName name="Constraint_2_RHS" localSheetId="2" hidden="1">'Test test.lp'!$AQ$8</definedName>
    <definedName name="Constraint_2_RHS" localSheetId="0" hidden="1">'Test ジョンスミス.lp'!$J$8</definedName>
    <definedName name="Constraint_2_Sense" localSheetId="12" hidden="1">'Test berlin.lp'!$H$8</definedName>
    <definedName name="Constraint_2_Sense" localSheetId="11" hidden="1">'Test cplex1.lp'!$I$8</definedName>
    <definedName name="Constraint_2_Sense" localSheetId="8" hidden="1">'Test mosek1.lp'!$I$8</definedName>
    <definedName name="Constraint_2_Sense" localSheetId="5" hidden="1">'Test OpenSolver.lp'!$I$8</definedName>
    <definedName name="Constraint_2_Sense" localSheetId="4" hidden="1">'Test Semis.lp'!$I$8</definedName>
    <definedName name="Constraint_2_Sense" localSheetId="3" hidden="1">'Test SOS.lp'!$J$8</definedName>
    <definedName name="Constraint_2_Sense" localSheetId="2" hidden="1">'Test test.lp'!$AP$8</definedName>
    <definedName name="Constraint_2_Sense" localSheetId="0" hidden="1">'Test ジョンスミス.lp'!$I$8</definedName>
    <definedName name="Constraint_3" localSheetId="5" hidden="1">'Test OpenSolver.lp'!$C$9:$F$9</definedName>
    <definedName name="Constraint_3" localSheetId="2" hidden="1">'Test test.lp'!$C$9:$AM$9</definedName>
    <definedName name="Constraint_3_LHS" localSheetId="5" hidden="1">'Test OpenSolver.lp'!$H$9</definedName>
    <definedName name="Constraint_3_LHS" localSheetId="2" hidden="1">'Test test.lp'!$AO$9</definedName>
    <definedName name="Constraint_3_RHS" localSheetId="5" hidden="1">'Test OpenSolver.lp'!$J$9</definedName>
    <definedName name="Constraint_3_RHS" localSheetId="2" hidden="1">'Test test.lp'!$AQ$9</definedName>
    <definedName name="Constraint_3_Sense" localSheetId="5" hidden="1">'Test OpenSolver.lp'!$I$9</definedName>
    <definedName name="Constraint_3_Sense" localSheetId="2" hidden="1">'Test test.lp'!$AP$9</definedName>
    <definedName name="Constraint_4" localSheetId="2" hidden="1">'Test test.lp'!$C$10:$AM$10</definedName>
    <definedName name="Constraint_4_LHS" localSheetId="2" hidden="1">'Test test.lp'!$AO$10</definedName>
    <definedName name="Constraint_4_RHS" localSheetId="2" hidden="1">'Test test.lp'!$AQ$10</definedName>
    <definedName name="Constraint_4_Sense" localSheetId="2" hidden="1">'Test test.lp'!$AP$10</definedName>
    <definedName name="Constraint_5" localSheetId="2" hidden="1">'Test test.lp'!$C$11:$AM$11</definedName>
    <definedName name="Constraint_5_LHS" localSheetId="2" hidden="1">'Test test.lp'!$AO$11</definedName>
    <definedName name="Constraint_5_RHS" localSheetId="2" hidden="1">'Test test.lp'!$AQ$11</definedName>
    <definedName name="Constraint_5_Sense" localSheetId="2" hidden="1">'Test test.lp'!$AP$11</definedName>
    <definedName name="Constraint_6" localSheetId="2" hidden="1">'Test test.lp'!$C$12:$AM$12</definedName>
    <definedName name="Constraint_6_LHS" localSheetId="2" hidden="1">'Test test.lp'!$AO$12</definedName>
    <definedName name="Constraint_6_RHS" localSheetId="2" hidden="1">'Test test.lp'!$AQ$12</definedName>
    <definedName name="Constraint_6_Sense" localSheetId="2" hidden="1">'Test test.lp'!$AP$12</definedName>
    <definedName name="Constraint_7" localSheetId="2" hidden="1">'Test test.lp'!$C$13:$AM$13</definedName>
    <definedName name="Constraint_7_LHS" localSheetId="2" hidden="1">'Test test.lp'!$AO$13</definedName>
    <definedName name="Constraint_7_RHS" localSheetId="2" hidden="1">'Test test.lp'!$AQ$13</definedName>
    <definedName name="Constraint_7_Sense" localSheetId="2" hidden="1">'Test test.lp'!$AP$13</definedName>
    <definedName name="Constraint_8" localSheetId="2" hidden="1">'Test test.lp'!$C$14:$AM$14</definedName>
    <definedName name="Constraint_8_LHS" localSheetId="2" hidden="1">'Test test.lp'!$AO$14</definedName>
    <definedName name="Constraint_8_RHS" localSheetId="2" hidden="1">'Test test.lp'!$AQ$14</definedName>
    <definedName name="Constraint_8_Sense" localSheetId="2" hidden="1">'Test test.lp'!$AP$14</definedName>
    <definedName name="Constraint_9" localSheetId="2" hidden="1">'Test test.lp'!$C$15:$AM$15</definedName>
    <definedName name="Constraint_9_LHS" localSheetId="2" hidden="1">'Test test.lp'!$AO$15</definedName>
    <definedName name="Constraint_9_RHS" localSheetId="2" hidden="1">'Test test.lp'!$AQ$15</definedName>
    <definedName name="Constraint_9_Sense" localSheetId="2" hidden="1">'Test test.lp'!$AP$15</definedName>
    <definedName name="ConstraintBlock_0_LHS" localSheetId="12" hidden="1">'Test berlin.lp'!$G$6:$G$8</definedName>
    <definedName name="ConstraintBlock_0_LHS" localSheetId="11" hidden="1">'Test cplex1.lp'!$H$6:$H$7</definedName>
    <definedName name="ConstraintBlock_0_LHS" localSheetId="10" hidden="1">'Test denmark.lp'!$H$6:$H$7</definedName>
    <definedName name="ConstraintBlock_0_LHS" localSheetId="8" hidden="1">'Test mosek1.lp'!$H$6</definedName>
    <definedName name="ConstraintBlock_0_LHS" localSheetId="7" hidden="1">'Test mosek2.lp'!$F$6</definedName>
    <definedName name="ConstraintBlock_0_LHS" localSheetId="5" hidden="1">'Test OpenSolver.lp'!$H$6:$H$7</definedName>
    <definedName name="ConstraintBlock_0_LHS" localSheetId="4" hidden="1">'Test Semis.lp'!$H$6:$H$7</definedName>
    <definedName name="ConstraintBlock_0_LHS" localSheetId="3" hidden="1">'Test SOS.lp'!$I$6:$I$7</definedName>
    <definedName name="ConstraintBlock_0_LHS" localSheetId="2" hidden="1">'Test test.lp'!$AO$6:$AO$13</definedName>
    <definedName name="ConstraintBlock_0_LHS" localSheetId="1" hidden="1">'Test texas.lp'!$G$6:$G$7</definedName>
    <definedName name="ConstraintBlock_0_LHS" localSheetId="0" hidden="1">'Test ジョンスミス.lp'!$H$6:$H$7</definedName>
    <definedName name="ConstraintBlock_0_RHS" localSheetId="12" hidden="1">'Test berlin.lp'!$I$6:$I$8</definedName>
    <definedName name="ConstraintBlock_0_RHS" localSheetId="11" hidden="1">'Test cplex1.lp'!$J$6:$J$7</definedName>
    <definedName name="ConstraintBlock_0_RHS" localSheetId="10" hidden="1">'Test denmark.lp'!$J$6:$J$7</definedName>
    <definedName name="ConstraintBlock_0_RHS" localSheetId="8" hidden="1">'Test mosek1.lp'!$J$6</definedName>
    <definedName name="ConstraintBlock_0_RHS" localSheetId="7" hidden="1">'Test mosek2.lp'!$H$6</definedName>
    <definedName name="ConstraintBlock_0_RHS" localSheetId="5" hidden="1">'Test OpenSolver.lp'!$J$6:$J$7</definedName>
    <definedName name="ConstraintBlock_0_RHS" localSheetId="4" hidden="1">'Test Semis.lp'!$J$6:$J$7</definedName>
    <definedName name="ConstraintBlock_0_RHS" localSheetId="3" hidden="1">'Test SOS.lp'!$K$6:$K$7</definedName>
    <definedName name="ConstraintBlock_0_RHS" localSheetId="2" hidden="1">'Test test.lp'!$AQ$6:$AQ$13</definedName>
    <definedName name="ConstraintBlock_0_RHS" localSheetId="1" hidden="1">'Test texas.lp'!$I$6:$I$7</definedName>
    <definedName name="ConstraintBlock_0_RHS" localSheetId="0" hidden="1">'Test ジョンスミス.lp'!$J$6:$J$7</definedName>
    <definedName name="ConstraintBlock_1_LHS" localSheetId="11" hidden="1">'Test cplex1.lp'!$H$8</definedName>
    <definedName name="ConstraintBlock_1_LHS" localSheetId="8" hidden="1">'Test mosek1.lp'!$H$7</definedName>
    <definedName name="ConstraintBlock_1_LHS" localSheetId="7" hidden="1">'Test mosek2.lp'!$F$7</definedName>
    <definedName name="ConstraintBlock_1_LHS" localSheetId="5" hidden="1">'Test OpenSolver.lp'!$H$8</definedName>
    <definedName name="ConstraintBlock_1_LHS" localSheetId="4" hidden="1">'Test Semis.lp'!$H$8</definedName>
    <definedName name="ConstraintBlock_1_LHS" localSheetId="3" hidden="1">'Test SOS.lp'!$I$8</definedName>
    <definedName name="ConstraintBlock_1_LHS" localSheetId="2" hidden="1">'Test test.lp'!$AO$14</definedName>
    <definedName name="ConstraintBlock_1_LHS" localSheetId="0" hidden="1">'Test ジョンスミス.lp'!$H$8</definedName>
    <definedName name="ConstraintBlock_1_RHS" localSheetId="11" hidden="1">'Test cplex1.lp'!$J$8</definedName>
    <definedName name="ConstraintBlock_1_RHS" localSheetId="8" hidden="1">'Test mosek1.lp'!$J$7</definedName>
    <definedName name="ConstraintBlock_1_RHS" localSheetId="7" hidden="1">'Test mosek2.lp'!$H$7</definedName>
    <definedName name="ConstraintBlock_1_RHS" localSheetId="5" hidden="1">'Test OpenSolver.lp'!$J$8</definedName>
    <definedName name="ConstraintBlock_1_RHS" localSheetId="4" hidden="1">'Test Semis.lp'!$J$8</definedName>
    <definedName name="ConstraintBlock_1_RHS" localSheetId="3" hidden="1">'Test SOS.lp'!$K$8</definedName>
    <definedName name="ConstraintBlock_1_RHS" localSheetId="2" hidden="1">'Test test.lp'!$AQ$14</definedName>
    <definedName name="ConstraintBlock_1_RHS" localSheetId="0" hidden="1">'Test ジョンスミス.lp'!$J$8</definedName>
    <definedName name="ConstraintBlock_2_LHS" localSheetId="8" hidden="1">'Test mosek1.lp'!$H$8</definedName>
    <definedName name="ConstraintBlock_2_LHS" localSheetId="5" hidden="1">'Test OpenSolver.lp'!$H$9</definedName>
    <definedName name="ConstraintBlock_2_LHS" localSheetId="2" hidden="1">'Test test.lp'!$AO$15:$AO$18</definedName>
    <definedName name="ConstraintBlock_2_RHS" localSheetId="8" hidden="1">'Test mosek1.lp'!$J$8</definedName>
    <definedName name="ConstraintBlock_2_RHS" localSheetId="5" hidden="1">'Test OpenSolver.lp'!$J$9</definedName>
    <definedName name="ConstraintBlock_2_RHS" localSheetId="2" hidden="1">'Test test.lp'!$AQ$15:$AQ$18</definedName>
    <definedName name="ConstraintBlock_3_LHS" localSheetId="2" hidden="1">'Test test.lp'!$AO$19:$AO$20</definedName>
    <definedName name="ConstraintBlock_3_RHS" localSheetId="2" hidden="1">'Test test.lp'!$AQ$19:$AQ$20</definedName>
    <definedName name="ConstraintBlock_4_LHS" localSheetId="2" hidden="1">'Test test.lp'!$AO$21</definedName>
    <definedName name="ConstraintBlock_4_RHS" localSheetId="2" hidden="1">'Test test.lp'!$AQ$21</definedName>
    <definedName name="ConstraintBlock_5_LHS" localSheetId="2" hidden="1">'Test test.lp'!$AO$22:$AO$23</definedName>
    <definedName name="ConstraintBlock_5_RHS" localSheetId="2" hidden="1">'Test test.lp'!$AQ$22:$AQ$23</definedName>
    <definedName name="ConstraintBlock_6_LHS" localSheetId="2" hidden="1">'Test test.lp'!$AO$24</definedName>
    <definedName name="ConstraintBlock_6_RHS" localSheetId="2" hidden="1">'Test test.lp'!$AQ$24</definedName>
    <definedName name="ConstraintCalcs" localSheetId="12" hidden="1">'Test berlin.lp'!$G$6:$I$8</definedName>
    <definedName name="ConstraintCalcs" localSheetId="11" hidden="1">'Test cplex1.lp'!$H$6:$J$8</definedName>
    <definedName name="ConstraintCalcs" localSheetId="10" hidden="1">'Test denmark.lp'!$H$6:$J$7</definedName>
    <definedName name="ConstraintCalcs" localSheetId="8" hidden="1">'Test mosek1.lp'!$H$6:$J$8</definedName>
    <definedName name="ConstraintCalcs" localSheetId="7" hidden="1">'Test mosek2.lp'!$F$6:$H$7</definedName>
    <definedName name="ConstraintCalcs" localSheetId="5" hidden="1">'Test OpenSolver.lp'!$H$6:$J$9</definedName>
    <definedName name="ConstraintCalcs" localSheetId="4" hidden="1">'Test Semis.lp'!$H$6:$J$8</definedName>
    <definedName name="ConstraintCalcs" localSheetId="3" hidden="1">'Test SOS.lp'!$I$6:$K$8</definedName>
    <definedName name="ConstraintCalcs" localSheetId="2" hidden="1">'Test test.lp'!$AO$6:$AQ$24</definedName>
    <definedName name="ConstraintCalcs" localSheetId="1" hidden="1">'Test texas.lp'!$G$6:$I$7</definedName>
    <definedName name="ConstraintCalcs" localSheetId="0" hidden="1">'Test ジョンスミス.lp'!$H$6:$J$8</definedName>
    <definedName name="ConstraintNames" localSheetId="12" hidden="1">'Test berlin.lp'!$B$6:$B$8</definedName>
    <definedName name="ConstraintNames" localSheetId="11" hidden="1">'Test cplex1.lp'!$B$6:$B$8</definedName>
    <definedName name="ConstraintNames" localSheetId="10" hidden="1">'Test denmark.lp'!$B$6:$B$7</definedName>
    <definedName name="ConstraintNames" localSheetId="8" hidden="1">'Test mosek1.lp'!$B$6:$B$8</definedName>
    <definedName name="ConstraintNames" localSheetId="7" hidden="1">'Test mosek2.lp'!$B$6:$B$7</definedName>
    <definedName name="ConstraintNames" localSheetId="5" hidden="1">'Test OpenSolver.lp'!$B$6:$B$9</definedName>
    <definedName name="ConstraintNames" localSheetId="4" hidden="1">'Test Semis.lp'!$B$6:$B$8</definedName>
    <definedName name="ConstraintNames" localSheetId="3" hidden="1">'Test SOS.lp'!$B$6:$B$8</definedName>
    <definedName name="ConstraintNames" localSheetId="2" hidden="1">'Test test.lp'!$B$6:$B$24</definedName>
    <definedName name="ConstraintNames" localSheetId="1" hidden="1">'Test texas.lp'!$B$6:$B$7</definedName>
    <definedName name="ConstraintNames" localSheetId="0" hidden="1">'Test ジョンスミス.lp'!$B$6:$B$8</definedName>
    <definedName name="Decision_variables" localSheetId="12" hidden="1">'Test berlin.lp'!$C$2:$E$2</definedName>
    <definedName name="Decision_variables" localSheetId="11" hidden="1">'Test cplex1.lp'!$C$2:$F$2</definedName>
    <definedName name="Decision_variables" localSheetId="10" hidden="1">'Test denmark.lp'!$C$2:$F$2</definedName>
    <definedName name="Decision_variables" localSheetId="9" hidden="1">'Test minimal.lp'!$C$2</definedName>
    <definedName name="Decision_variables" localSheetId="8" hidden="1">'Test mosek1.lp'!$C$2:$F$2</definedName>
    <definedName name="Decision_variables" localSheetId="7" hidden="1">'Test mosek2.lp'!$C$2:$D$2</definedName>
    <definedName name="Decision_variables" localSheetId="5" hidden="1">'Test OpenSolver.lp'!$C$2:$F$2</definedName>
    <definedName name="Decision_variables" localSheetId="4" hidden="1">'Test Semis.lp'!$C$2:$F$2</definedName>
    <definedName name="Decision_variables" localSheetId="3" hidden="1">'Test SOS.lp'!$C$2:$G$2</definedName>
    <definedName name="Decision_variables" localSheetId="2" hidden="1">'Test test.lp'!$C$2:$AM$2</definedName>
    <definedName name="Decision_variables" localSheetId="1" hidden="1">'Test texas.lp'!$C$2:$E$2</definedName>
    <definedName name="Decision_variables" localSheetId="0" hidden="1">'Test ジョンスミス.lp'!$C$2:$F$2</definedName>
    <definedName name="Lower_bounds" localSheetId="12" hidden="1">'Test berlin.lp'!$C$10:$E$10</definedName>
    <definedName name="Lower_bounds" localSheetId="11" hidden="1">'Test cplex1.lp'!$C$10:$F$10</definedName>
    <definedName name="Lower_bounds" localSheetId="10" hidden="1">'Test denmark.lp'!$C$9:$F$9</definedName>
    <definedName name="Lower_bounds" localSheetId="9" hidden="1">'Test minimal.lp'!$C$7</definedName>
    <definedName name="Lower_bounds" localSheetId="8" hidden="1">'Test mosek1.lp'!$C$10:$F$10</definedName>
    <definedName name="Lower_bounds" localSheetId="7" hidden="1">'Test mosek2.lp'!$C$9:$D$9</definedName>
    <definedName name="Lower_bounds" localSheetId="5" hidden="1">'Test OpenSolver.lp'!$C$11:$F$11</definedName>
    <definedName name="Lower_bounds" localSheetId="4" hidden="1">'Test Semis.lp'!$C$10:$F$10</definedName>
    <definedName name="Lower_bounds" localSheetId="3" hidden="1">'Test SOS.lp'!$C$10:$G$10</definedName>
    <definedName name="Lower_bounds" localSheetId="2" hidden="1">'Test test.lp'!$C$26:$AM$26</definedName>
    <definedName name="Lower_bounds" localSheetId="1" hidden="1">'Test texas.lp'!$C$9:$E$9</definedName>
    <definedName name="Lower_bounds" localSheetId="0" hidden="1">'Test ジョンスミス.lp'!$C$10:$F$10</definedName>
    <definedName name="Objective_coefficients" localSheetId="12" hidden="1">'Test berlin.lp'!$C$4:$E$4</definedName>
    <definedName name="Objective_coefficients" localSheetId="11" hidden="1">'Test cplex1.lp'!$C$4:$F$4</definedName>
    <definedName name="Objective_coefficients" localSheetId="10" hidden="1">'Test denmark.lp'!$C$4:$F$4</definedName>
    <definedName name="Objective_coefficients" localSheetId="9" hidden="1">'Test minimal.lp'!$C$4</definedName>
    <definedName name="Objective_coefficients" localSheetId="8" hidden="1">'Test mosek1.lp'!$C$4:$F$4</definedName>
    <definedName name="Objective_coefficients" localSheetId="7" hidden="1">'Test mosek2.lp'!$C$4:$D$4</definedName>
    <definedName name="Objective_coefficients" localSheetId="5" hidden="1">'Test OpenSolver.lp'!$C$4:$F$4</definedName>
    <definedName name="Objective_coefficients" localSheetId="4" hidden="1">'Test Semis.lp'!$C$4:$F$4</definedName>
    <definedName name="Objective_coefficients" localSheetId="3" hidden="1">'Test SOS.lp'!$C$4:$G$4</definedName>
    <definedName name="Objective_coefficients" localSheetId="2" hidden="1">'Test test.lp'!$C$4:$AM$4</definedName>
    <definedName name="Objective_coefficients" localSheetId="1" hidden="1">'Test texas.lp'!$C$4:$E$4</definedName>
    <definedName name="Objective_coefficients" localSheetId="0" hidden="1">'Test ジョンスミス.lp'!$C$4:$F$4</definedName>
    <definedName name="Objective_Function" localSheetId="12" hidden="1">'Test berlin.lp'!$G$4</definedName>
    <definedName name="Objective_Function" localSheetId="11" hidden="1">'Test cplex1.lp'!$H$4</definedName>
    <definedName name="Objective_Function" localSheetId="10" hidden="1">'Test denmark.lp'!$H$4</definedName>
    <definedName name="Objective_Function" localSheetId="9" hidden="1">'Test minimal.lp'!$E$4</definedName>
    <definedName name="Objective_Function" localSheetId="8" hidden="1">'Test mosek1.lp'!$H$4</definedName>
    <definedName name="Objective_Function" localSheetId="7" hidden="1">'Test mosek2.lp'!$F$4</definedName>
    <definedName name="Objective_Function" localSheetId="5" hidden="1">'Test OpenSolver.lp'!$H$4</definedName>
    <definedName name="Objective_Function" localSheetId="4" hidden="1">'Test Semis.lp'!$H$4</definedName>
    <definedName name="Objective_Function" localSheetId="3" hidden="1">'Test SOS.lp'!$I$4</definedName>
    <definedName name="Objective_Function" localSheetId="2" hidden="1">'Test test.lp'!$AO$4</definedName>
    <definedName name="Objective_Function" localSheetId="1" hidden="1">'Test texas.lp'!$G$4</definedName>
    <definedName name="Objective_Function" localSheetId="0" hidden="1">'Test ジョンスミス.lp'!$H$4</definedName>
    <definedName name="solver_adj" localSheetId="12" hidden="1">'Test berlin.lp'!$C$2:$E$2</definedName>
    <definedName name="solver_adj" localSheetId="11" hidden="1">'Test cplex1.lp'!$C$2:$F$2</definedName>
    <definedName name="solver_adj" localSheetId="10" hidden="1">'Test denmark.lp'!$C$2:$F$2</definedName>
    <definedName name="solver_adj" localSheetId="9" hidden="1">'Test minimal.lp'!$C$2</definedName>
    <definedName name="solver_adj" localSheetId="8" hidden="1">'Test mosek1.lp'!$C$2:$F$2</definedName>
    <definedName name="solver_adj" localSheetId="7" hidden="1">'Test mosek2.lp'!$C$2:$D$2</definedName>
    <definedName name="solver_adj" localSheetId="5" hidden="1">'Test OpenSolver.lp'!$C$2:$F$2</definedName>
    <definedName name="solver_adj" localSheetId="4" hidden="1">'Test Semis.lp'!$C$2:$F$2</definedName>
    <definedName name="solver_adj" localSheetId="3" hidden="1">'Test SOS.lp'!$C$2:$G$2</definedName>
    <definedName name="solver_adj" localSheetId="2" hidden="1">'Test test.lp'!$C$2:$AM$2</definedName>
    <definedName name="solver_adj" localSheetId="1" hidden="1">'Test texas.lp'!$C$2:$E$2</definedName>
    <definedName name="solver_adj" localSheetId="0" hidden="1">'Test ジョンスミス.lp'!$C$2:$F$2</definedName>
    <definedName name="solver_lhs1" localSheetId="12" hidden="1">'Test berlin.lp'!$G$6:$G$8</definedName>
    <definedName name="solver_lhs1" localSheetId="11" hidden="1">'Test cplex1.lp'!$H$6:$H$7</definedName>
    <definedName name="solver_lhs1" localSheetId="10" hidden="1">'Test denmark.lp'!$H$6:$H$7</definedName>
    <definedName name="solver_lhs1" localSheetId="9" hidden="1">'Test minimal.lp'!$C$2</definedName>
    <definedName name="solver_lhs1" localSheetId="8" hidden="1">'Test mosek1.lp'!$H$6</definedName>
    <definedName name="solver_lhs1" localSheetId="7" hidden="1">'Test mosek2.lp'!$F$6</definedName>
    <definedName name="solver_lhs1" localSheetId="5" hidden="1">'Test OpenSolver.lp'!$H$6:$H$7</definedName>
    <definedName name="solver_lhs1" localSheetId="4" hidden="1">'Test Semis.lp'!$H$6:$H$7</definedName>
    <definedName name="solver_lhs1" localSheetId="3" hidden="1">'Test SOS.lp'!$I$6:$I$7</definedName>
    <definedName name="solver_lhs1" localSheetId="2" hidden="1">'Test test.lp'!$AO$6:$AO$13</definedName>
    <definedName name="solver_lhs1" localSheetId="1" hidden="1">'Test texas.lp'!$G$6:$G$7</definedName>
    <definedName name="solver_lhs1" localSheetId="0" hidden="1">'Test ジョンスミス.lp'!$H$6:$H$7</definedName>
    <definedName name="solver_lhs10" localSheetId="2" hidden="1">'Test test.lp'!$D$2</definedName>
    <definedName name="solver_lhs11" localSheetId="2" hidden="1">'Test test.lp'!$C$2</definedName>
    <definedName name="solver_lhs12" localSheetId="2" hidden="1">'Test test.lp'!$E$2</definedName>
    <definedName name="solver_lhs13" localSheetId="2" hidden="1">'Test test.lp'!$F$2</definedName>
    <definedName name="solver_lhs14" localSheetId="2" hidden="1">'Test test.lp'!$G$2</definedName>
    <definedName name="solver_lhs15" localSheetId="2" hidden="1">'Test test.lp'!$H$2</definedName>
    <definedName name="solver_lhs16" localSheetId="2" hidden="1">'Test test.lp'!$I$2</definedName>
    <definedName name="solver_lhs17" localSheetId="2" hidden="1">'Test test.lp'!$J$2</definedName>
    <definedName name="solver_lhs18" localSheetId="2" hidden="1">'Test test.lp'!$K$2</definedName>
    <definedName name="solver_lhs19" localSheetId="2" hidden="1">'Test test.lp'!$L$2</definedName>
    <definedName name="solver_lhs2" localSheetId="12" hidden="1">'Test berlin.lp'!$C$2:$E$2</definedName>
    <definedName name="solver_lhs2" localSheetId="11" hidden="1">'Test cplex1.lp'!$H$8</definedName>
    <definedName name="solver_lhs2" localSheetId="10" hidden="1">'Test denmark.lp'!$C$2:$F$2</definedName>
    <definedName name="solver_lhs2" localSheetId="9" hidden="1">'Test minimal.lp'!$C$2</definedName>
    <definedName name="solver_lhs2" localSheetId="8" hidden="1">'Test mosek1.lp'!$H$7</definedName>
    <definedName name="solver_lhs2" localSheetId="7" hidden="1">'Test mosek2.lp'!$F$7</definedName>
    <definedName name="solver_lhs2" localSheetId="5" hidden="1">'Test OpenSolver.lp'!$H$8</definedName>
    <definedName name="solver_lhs2" localSheetId="4" hidden="1">'Test Semis.lp'!$H$8</definedName>
    <definedName name="solver_lhs2" localSheetId="3" hidden="1">'Test SOS.lp'!$I$8</definedName>
    <definedName name="solver_lhs2" localSheetId="2" hidden="1">'Test test.lp'!$AO$14</definedName>
    <definedName name="solver_lhs2" localSheetId="1" hidden="1">'Test texas.lp'!$C$2:$E$2</definedName>
    <definedName name="solver_lhs2" localSheetId="0" hidden="1">'Test ジョンスミス.lp'!$H$8</definedName>
    <definedName name="solver_lhs20" localSheetId="2" hidden="1">'Test test.lp'!$M$2</definedName>
    <definedName name="solver_lhs21" localSheetId="2" hidden="1">'Test test.lp'!$N$2</definedName>
    <definedName name="solver_lhs22" localSheetId="2" hidden="1">'Test test.lp'!$O$2</definedName>
    <definedName name="solver_lhs23" localSheetId="2" hidden="1">'Test test.lp'!$P$2</definedName>
    <definedName name="solver_lhs24" localSheetId="2" hidden="1">'Test test.lp'!$Q$2</definedName>
    <definedName name="solver_lhs25" localSheetId="2" hidden="1">'Test test.lp'!$R$2</definedName>
    <definedName name="solver_lhs26" localSheetId="2" hidden="1">'Test test.lp'!$S$2</definedName>
    <definedName name="solver_lhs27" localSheetId="2" hidden="1">'Test test.lp'!$T$2</definedName>
    <definedName name="solver_lhs28" localSheetId="2" hidden="1">'Test test.lp'!$U$2</definedName>
    <definedName name="solver_lhs29" localSheetId="2" hidden="1">'Test test.lp'!$V$2</definedName>
    <definedName name="solver_lhs3" localSheetId="12" hidden="1">'Test berlin.lp'!$C$2:$E$2</definedName>
    <definedName name="solver_lhs3" localSheetId="11" hidden="1">'Test cplex1.lp'!$C$2:$F$2</definedName>
    <definedName name="solver_lhs3" localSheetId="10" hidden="1">'Test denmark.lp'!$C$2:$F$2</definedName>
    <definedName name="solver_lhs3" localSheetId="8" hidden="1">'Test mosek1.lp'!$H$8</definedName>
    <definedName name="solver_lhs3" localSheetId="7" hidden="1">'Test mosek2.lp'!$C$2:$D$2</definedName>
    <definedName name="solver_lhs3" localSheetId="5" hidden="1">'Test OpenSolver.lp'!$H$9</definedName>
    <definedName name="solver_lhs3" localSheetId="4" hidden="1">'Test Semis.lp'!$C$2:$F$2</definedName>
    <definedName name="solver_lhs3" localSheetId="3" hidden="1">'Test SOS.lp'!$C$2:$G$2</definedName>
    <definedName name="solver_lhs3" localSheetId="2" hidden="1">'Test test.lp'!$AO$15:$AO$18</definedName>
    <definedName name="solver_lhs3" localSheetId="1" hidden="1">'Test texas.lp'!$C$2:$E$2</definedName>
    <definedName name="solver_lhs3" localSheetId="0" hidden="1">'Test ジョンスミス.lp'!$C$2:$F$2</definedName>
    <definedName name="solver_lhs30" localSheetId="2" hidden="1">'Test test.lp'!$W$2</definedName>
    <definedName name="solver_lhs4" localSheetId="11" hidden="1">'Test cplex1.lp'!$C$2:$F$2</definedName>
    <definedName name="solver_lhs4" localSheetId="10" hidden="1">'Test denmark.lp'!$C$2</definedName>
    <definedName name="solver_lhs4" localSheetId="8" hidden="1">'Test mosek1.lp'!$C$2:$F$2</definedName>
    <definedName name="solver_lhs4" localSheetId="7" hidden="1">'Test mosek2.lp'!$C$2:$D$2</definedName>
    <definedName name="solver_lhs4" localSheetId="5" hidden="1">'Test OpenSolver.lp'!$C$2:$F$2</definedName>
    <definedName name="solver_lhs4" localSheetId="4" hidden="1">'Test Semis.lp'!$C$2:$F$2</definedName>
    <definedName name="solver_lhs4" localSheetId="3" hidden="1">'Test SOS.lp'!$C$2:$G$2</definedName>
    <definedName name="solver_lhs4" localSheetId="2" hidden="1">'Test test.lp'!$AO$19:$AO$20</definedName>
    <definedName name="solver_lhs4" localSheetId="0" hidden="1">'Test ジョンスミス.lp'!$C$2:$F$2</definedName>
    <definedName name="solver_lhs5" localSheetId="11" hidden="1">'Test cplex1.lp'!$F$2</definedName>
    <definedName name="solver_lhs5" localSheetId="10" hidden="1">'Test denmark.lp'!$D$2</definedName>
    <definedName name="solver_lhs5" localSheetId="8" hidden="1">'Test mosek1.lp'!$C$2:$F$2</definedName>
    <definedName name="solver_lhs5" localSheetId="7" hidden="1">'Test mosek2.lp'!$C$2</definedName>
    <definedName name="solver_lhs5" localSheetId="5" hidden="1">'Test OpenSolver.lp'!$C$2:$F$2</definedName>
    <definedName name="solver_lhs5" localSheetId="4" hidden="1">'Test Semis.lp'!$F$2</definedName>
    <definedName name="solver_lhs5" localSheetId="2" hidden="1">'Test test.lp'!$AO$21</definedName>
    <definedName name="solver_lhs5" localSheetId="0" hidden="1">'Test ジョンスミス.lp'!$F$2</definedName>
    <definedName name="solver_lhs6" localSheetId="7" hidden="1">'Test mosek2.lp'!$D$2</definedName>
    <definedName name="solver_lhs6" localSheetId="5" hidden="1">'Test OpenSolver.lp'!$E$2</definedName>
    <definedName name="solver_lhs6" localSheetId="2" hidden="1">'Test test.lp'!$AO$22:$AO$23</definedName>
    <definedName name="solver_lhs7" localSheetId="5" hidden="1">'Test OpenSolver.lp'!$D$2</definedName>
    <definedName name="solver_lhs7" localSheetId="2" hidden="1">'Test test.lp'!$AO$24</definedName>
    <definedName name="solver_lhs8" localSheetId="2" hidden="1">'Test test.lp'!$C$2:$AM$2</definedName>
    <definedName name="solver_lhs9" localSheetId="2" hidden="1">'Test test.lp'!$C$2:$AM$2</definedName>
    <definedName name="solver_num" localSheetId="12" hidden="1">3</definedName>
    <definedName name="solver_num" localSheetId="11" hidden="1">5</definedName>
    <definedName name="solver_num" localSheetId="10" hidden="1">5</definedName>
    <definedName name="solver_num" localSheetId="9" hidden="1">2</definedName>
    <definedName name="solver_num" localSheetId="8" hidden="1">5</definedName>
    <definedName name="solver_num" localSheetId="7" hidden="1">6</definedName>
    <definedName name="solver_num" localSheetId="5" hidden="1">7</definedName>
    <definedName name="solver_num" localSheetId="4" hidden="1">5</definedName>
    <definedName name="solver_num" localSheetId="3" hidden="1">4</definedName>
    <definedName name="solver_num" localSheetId="2" hidden="1">30</definedName>
    <definedName name="solver_num" localSheetId="1" hidden="1">3</definedName>
    <definedName name="solver_num" localSheetId="0" hidden="1">5</definedName>
    <definedName name="solver_opt" localSheetId="12" hidden="1">'Test berlin.lp'!$G$4</definedName>
    <definedName name="solver_opt" localSheetId="11" hidden="1">'Test cplex1.lp'!$H$4</definedName>
    <definedName name="solver_opt" localSheetId="10" hidden="1">'Test denmark.lp'!$H$4</definedName>
    <definedName name="solver_opt" localSheetId="9" hidden="1">'Test minimal.lp'!$E$4</definedName>
    <definedName name="solver_opt" localSheetId="8" hidden="1">'Test mosek1.lp'!$H$4</definedName>
    <definedName name="solver_opt" localSheetId="7" hidden="1">'Test mosek2.lp'!$F$4</definedName>
    <definedName name="solver_opt" localSheetId="5" hidden="1">'Test OpenSolver.lp'!$H$4</definedName>
    <definedName name="solver_opt" localSheetId="4" hidden="1">'Test Semis.lp'!$H$4</definedName>
    <definedName name="solver_opt" localSheetId="3" hidden="1">'Test SOS.lp'!$I$4</definedName>
    <definedName name="solver_opt" localSheetId="2" hidden="1">'Test test.lp'!$AO$4</definedName>
    <definedName name="solver_opt" localSheetId="1" hidden="1">'Test texas.lp'!$G$4</definedName>
    <definedName name="solver_opt" localSheetId="0" hidden="1">'Test ジョンスミス.lp'!$H$4</definedName>
    <definedName name="solver_rel1" localSheetId="12" hidden="1">1</definedName>
    <definedName name="solver_rel1" localSheetId="11" hidden="1">1</definedName>
    <definedName name="solver_rel1" localSheetId="10" hidden="1">3</definedName>
    <definedName name="solver_rel1" localSheetId="9" hidden="1">3</definedName>
    <definedName name="solver_rel1" localSheetId="8" hidden="1">2</definedName>
    <definedName name="solver_rel1" localSheetId="7" hidden="1">1</definedName>
    <definedName name="solver_rel1" localSheetId="5" hidden="1">1</definedName>
    <definedName name="solver_rel1" localSheetId="4" hidden="1">1</definedName>
    <definedName name="solver_rel1" localSheetId="3" hidden="1">1</definedName>
    <definedName name="solver_rel1" localSheetId="2" hidden="1">2</definedName>
    <definedName name="solver_rel1" localSheetId="1" hidden="1">1</definedName>
    <definedName name="solver_rel1" localSheetId="0" hidden="1">1</definedName>
    <definedName name="solver_rel10" localSheetId="2" hidden="1">4</definedName>
    <definedName name="solver_rel11" localSheetId="2" hidden="1">4</definedName>
    <definedName name="solver_rel12" localSheetId="2" hidden="1">4</definedName>
    <definedName name="solver_rel13" localSheetId="2" hidden="1">4</definedName>
    <definedName name="solver_rel14" localSheetId="2" hidden="1">4</definedName>
    <definedName name="solver_rel15" localSheetId="2" hidden="1">4</definedName>
    <definedName name="solver_rel16" localSheetId="2" hidden="1">4</definedName>
    <definedName name="solver_rel17" localSheetId="2" hidden="1">4</definedName>
    <definedName name="solver_rel18" localSheetId="2" hidden="1">4</definedName>
    <definedName name="solver_rel19" localSheetId="2" hidden="1">4</definedName>
    <definedName name="solver_rel2" localSheetId="12" hidden="1">3</definedName>
    <definedName name="solver_rel2" localSheetId="11" hidden="1">2</definedName>
    <definedName name="solver_rel2" localSheetId="10" hidden="1">3</definedName>
    <definedName name="solver_rel2" localSheetId="9" hidden="1">1</definedName>
    <definedName name="solver_rel2" localSheetId="8" hidden="1">3</definedName>
    <definedName name="solver_rel2" localSheetId="7" hidden="1">3</definedName>
    <definedName name="solver_rel2" localSheetId="5" hidden="1">3</definedName>
    <definedName name="solver_rel2" localSheetId="4" hidden="1">2</definedName>
    <definedName name="solver_rel2" localSheetId="3" hidden="1">2</definedName>
    <definedName name="solver_rel2" localSheetId="2" hidden="1">3</definedName>
    <definedName name="solver_rel2" localSheetId="1" hidden="1">3</definedName>
    <definedName name="solver_rel2" localSheetId="0" hidden="1">2</definedName>
    <definedName name="solver_rel20" localSheetId="2" hidden="1">4</definedName>
    <definedName name="solver_rel21" localSheetId="2" hidden="1">4</definedName>
    <definedName name="solver_rel22" localSheetId="2" hidden="1">4</definedName>
    <definedName name="solver_rel23" localSheetId="2" hidden="1">4</definedName>
    <definedName name="solver_rel24" localSheetId="2" hidden="1">4</definedName>
    <definedName name="solver_rel25" localSheetId="2" hidden="1">4</definedName>
    <definedName name="solver_rel26" localSheetId="2" hidden="1">4</definedName>
    <definedName name="solver_rel27" localSheetId="2" hidden="1">4</definedName>
    <definedName name="solver_rel28" localSheetId="2" hidden="1">5</definedName>
    <definedName name="solver_rel29" localSheetId="2" hidden="1">5</definedName>
    <definedName name="solver_rel3" localSheetId="12" hidden="1">1</definedName>
    <definedName name="solver_rel3" localSheetId="11" hidden="1">3</definedName>
    <definedName name="solver_rel3" localSheetId="10" hidden="1">1</definedName>
    <definedName name="solver_rel3" localSheetId="8" hidden="1">1</definedName>
    <definedName name="solver_rel3" localSheetId="7" hidden="1">3</definedName>
    <definedName name="solver_rel3" localSheetId="5" hidden="1">1</definedName>
    <definedName name="solver_rel3" localSheetId="4" hidden="1">3</definedName>
    <definedName name="solver_rel3" localSheetId="3" hidden="1">3</definedName>
    <definedName name="solver_rel3" localSheetId="2" hidden="1">2</definedName>
    <definedName name="solver_rel3" localSheetId="1" hidden="1">1</definedName>
    <definedName name="solver_rel3" localSheetId="0" hidden="1">3</definedName>
    <definedName name="solver_rel30" localSheetId="2" hidden="1">4</definedName>
    <definedName name="solver_rel4" localSheetId="11" hidden="1">1</definedName>
    <definedName name="solver_rel4" localSheetId="10" hidden="1">4</definedName>
    <definedName name="solver_rel4" localSheetId="8" hidden="1">3</definedName>
    <definedName name="solver_rel4" localSheetId="7" hidden="1">1</definedName>
    <definedName name="solver_rel4" localSheetId="5" hidden="1">3</definedName>
    <definedName name="solver_rel4" localSheetId="4" hidden="1">1</definedName>
    <definedName name="solver_rel4" localSheetId="3" hidden="1">1</definedName>
    <definedName name="solver_rel4" localSheetId="2" hidden="1">1</definedName>
    <definedName name="solver_rel4" localSheetId="0" hidden="1">1</definedName>
    <definedName name="solver_rel5" localSheetId="11" hidden="1">4</definedName>
    <definedName name="solver_rel5" localSheetId="10" hidden="1">4</definedName>
    <definedName name="solver_rel5" localSheetId="8" hidden="1">1</definedName>
    <definedName name="solver_rel5" localSheetId="7" hidden="1">4</definedName>
    <definedName name="solver_rel5" localSheetId="5" hidden="1">1</definedName>
    <definedName name="solver_rel5" localSheetId="4" hidden="1">4</definedName>
    <definedName name="solver_rel5" localSheetId="2" hidden="1">3</definedName>
    <definedName name="solver_rel5" localSheetId="0" hidden="1">4</definedName>
    <definedName name="solver_rel6" localSheetId="7" hidden="1">4</definedName>
    <definedName name="solver_rel6" localSheetId="5" hidden="1">4</definedName>
    <definedName name="solver_rel6" localSheetId="2" hidden="1">2</definedName>
    <definedName name="solver_rel7" localSheetId="5" hidden="1">5</definedName>
    <definedName name="solver_rel7" localSheetId="2" hidden="1">3</definedName>
    <definedName name="solver_rel8" localSheetId="2" hidden="1">3</definedName>
    <definedName name="solver_rel9" localSheetId="2" hidden="1">1</definedName>
    <definedName name="solver_rhs1" localSheetId="12" hidden="1">'Test berlin.lp'!$I$6:$I$8</definedName>
    <definedName name="solver_rhs1" localSheetId="11" hidden="1">'Test cplex1.lp'!$J$6:$J$7</definedName>
    <definedName name="solver_rhs1" localSheetId="10" hidden="1">'Test denmark.lp'!$J$6:$J$7</definedName>
    <definedName name="solver_rhs1" localSheetId="9" hidden="1">'Test minimal.lp'!$C$7</definedName>
    <definedName name="solver_rhs1" localSheetId="8" hidden="1">'Test mosek1.lp'!$J$6</definedName>
    <definedName name="solver_rhs1" localSheetId="7" hidden="1">'Test mosek2.lp'!$H$6</definedName>
    <definedName name="solver_rhs1" localSheetId="5" hidden="1">'Test OpenSolver.lp'!$J$6:$J$7</definedName>
    <definedName name="solver_rhs1" localSheetId="4" hidden="1">'Test Semis.lp'!$J$6:$J$7</definedName>
    <definedName name="solver_rhs1" localSheetId="3" hidden="1">'Test SOS.lp'!$K$6:$K$7</definedName>
    <definedName name="solver_rhs1" localSheetId="2" hidden="1">'Test test.lp'!$AQ$6:$AQ$13</definedName>
    <definedName name="solver_rhs1" localSheetId="1" hidden="1">'Test texas.lp'!$I$6:$I$7</definedName>
    <definedName name="solver_rhs1" localSheetId="0" hidden="1">'Test ジョンスミス.lp'!$J$6:$J$7</definedName>
    <definedName name="solver_rhs10" localSheetId="2" hidden="1">integer</definedName>
    <definedName name="solver_rhs11" localSheetId="2" hidden="1">integer</definedName>
    <definedName name="solver_rhs12" localSheetId="2" hidden="1">integer</definedName>
    <definedName name="solver_rhs13" localSheetId="2" hidden="1">integer</definedName>
    <definedName name="solver_rhs14" localSheetId="2" hidden="1">integer</definedName>
    <definedName name="solver_rhs15" localSheetId="2" hidden="1">integer</definedName>
    <definedName name="solver_rhs16" localSheetId="2" hidden="1">integer</definedName>
    <definedName name="solver_rhs17" localSheetId="2" hidden="1">integer</definedName>
    <definedName name="solver_rhs18" localSheetId="2" hidden="1">integer</definedName>
    <definedName name="solver_rhs19" localSheetId="2" hidden="1">integer</definedName>
    <definedName name="solver_rhs2" localSheetId="12" hidden="1">'Test berlin.lp'!$C$10:$E$10</definedName>
    <definedName name="solver_rhs2" localSheetId="11" hidden="1">'Test cplex1.lp'!$J$8</definedName>
    <definedName name="solver_rhs2" localSheetId="10" hidden="1">'Test denmark.lp'!$C$9:$F$9</definedName>
    <definedName name="solver_rhs2" localSheetId="9" hidden="1">'Test minimal.lp'!$C$8</definedName>
    <definedName name="solver_rhs2" localSheetId="8" hidden="1">'Test mosek1.lp'!$J$7</definedName>
    <definedName name="solver_rhs2" localSheetId="7" hidden="1">'Test mosek2.lp'!$H$7</definedName>
    <definedName name="solver_rhs2" localSheetId="5" hidden="1">'Test OpenSolver.lp'!$J$8</definedName>
    <definedName name="solver_rhs2" localSheetId="4" hidden="1">'Test Semis.lp'!$J$8</definedName>
    <definedName name="solver_rhs2" localSheetId="3" hidden="1">'Test SOS.lp'!$K$8</definedName>
    <definedName name="solver_rhs2" localSheetId="2" hidden="1">'Test test.lp'!$AQ$14</definedName>
    <definedName name="solver_rhs2" localSheetId="1" hidden="1">'Test texas.lp'!$C$9:$E$9</definedName>
    <definedName name="solver_rhs2" localSheetId="0" hidden="1">'Test ジョンスミス.lp'!$J$8</definedName>
    <definedName name="solver_rhs20" localSheetId="2" hidden="1">integer</definedName>
    <definedName name="solver_rhs21" localSheetId="2" hidden="1">integer</definedName>
    <definedName name="solver_rhs22" localSheetId="2" hidden="1">integer</definedName>
    <definedName name="solver_rhs23" localSheetId="2" hidden="1">integer</definedName>
    <definedName name="solver_rhs24" localSheetId="2" hidden="1">integer</definedName>
    <definedName name="solver_rhs25" localSheetId="2" hidden="1">integer</definedName>
    <definedName name="solver_rhs26" localSheetId="2" hidden="1">integer</definedName>
    <definedName name="solver_rhs27" localSheetId="2" hidden="1">integer</definedName>
    <definedName name="solver_rhs28" localSheetId="2" hidden="1">binary</definedName>
    <definedName name="solver_rhs29" localSheetId="2" hidden="1">binary</definedName>
    <definedName name="solver_rhs3" localSheetId="12" hidden="1">'Test berlin.lp'!$C$11:$E$11</definedName>
    <definedName name="solver_rhs3" localSheetId="11" hidden="1">'Test cplex1.lp'!$C$10:$F$10</definedName>
    <definedName name="solver_rhs3" localSheetId="10" hidden="1">'Test denmark.lp'!$C$10:$F$10</definedName>
    <definedName name="solver_rhs3" localSheetId="8" hidden="1">'Test mosek1.lp'!$J$8</definedName>
    <definedName name="solver_rhs3" localSheetId="7" hidden="1">'Test mosek2.lp'!$C$9:$D$9</definedName>
    <definedName name="solver_rhs3" localSheetId="5" hidden="1">'Test OpenSolver.lp'!$J$9</definedName>
    <definedName name="solver_rhs3" localSheetId="4" hidden="1">'Test Semis.lp'!$C$10:$F$10</definedName>
    <definedName name="solver_rhs3" localSheetId="3" hidden="1">'Test SOS.lp'!$C$10:$G$10</definedName>
    <definedName name="solver_rhs3" localSheetId="2" hidden="1">'Test test.lp'!$AQ$15:$AQ$18</definedName>
    <definedName name="solver_rhs3" localSheetId="1" hidden="1">'Test texas.lp'!$C$10:$E$10</definedName>
    <definedName name="solver_rhs3" localSheetId="0" hidden="1">'Test ジョンスミス.lp'!$C$10:$F$10</definedName>
    <definedName name="solver_rhs30" localSheetId="2" hidden="1">integer</definedName>
    <definedName name="solver_rhs4" localSheetId="11" hidden="1">'Test cplex1.lp'!$C$11:$F$11</definedName>
    <definedName name="solver_rhs4" localSheetId="10" hidden="1">integer</definedName>
    <definedName name="solver_rhs4" localSheetId="8" hidden="1">'Test mosek1.lp'!$C$10:$F$10</definedName>
    <definedName name="solver_rhs4" localSheetId="7" hidden="1">'Test mosek2.lp'!$C$10:$D$10</definedName>
    <definedName name="solver_rhs4" localSheetId="5" hidden="1">'Test OpenSolver.lp'!$C$11:$F$11</definedName>
    <definedName name="solver_rhs4" localSheetId="4" hidden="1">'Test Semis.lp'!$C$11:$F$11</definedName>
    <definedName name="solver_rhs4" localSheetId="3" hidden="1">'Test SOS.lp'!$C$11:$G$11</definedName>
    <definedName name="solver_rhs4" localSheetId="2" hidden="1">'Test test.lp'!$AQ$19:$AQ$20</definedName>
    <definedName name="solver_rhs4" localSheetId="0" hidden="1">'Test ジョンスミス.lp'!$C$11:$F$11</definedName>
    <definedName name="solver_rhs5" localSheetId="11" hidden="1">integer</definedName>
    <definedName name="solver_rhs5" localSheetId="10" hidden="1">integer</definedName>
    <definedName name="solver_rhs5" localSheetId="8" hidden="1">'Test mosek1.lp'!$C$11:$F$11</definedName>
    <definedName name="solver_rhs5" localSheetId="7" hidden="1">integer</definedName>
    <definedName name="solver_rhs5" localSheetId="5" hidden="1">'Test OpenSolver.lp'!$C$12:$F$12</definedName>
    <definedName name="solver_rhs5" localSheetId="4" hidden="1">integer</definedName>
    <definedName name="solver_rhs5" localSheetId="2" hidden="1">'Test test.lp'!$AQ$21</definedName>
    <definedName name="solver_rhs5" localSheetId="0" hidden="1">integer</definedName>
    <definedName name="solver_rhs6" localSheetId="7" hidden="1">integer</definedName>
    <definedName name="solver_rhs6" localSheetId="5" hidden="1">integer</definedName>
    <definedName name="solver_rhs6" localSheetId="2" hidden="1">'Test test.lp'!$AQ$22:$AQ$23</definedName>
    <definedName name="solver_rhs7" localSheetId="5" hidden="1">binary</definedName>
    <definedName name="solver_rhs7" localSheetId="2" hidden="1">'Test test.lp'!$AQ$24</definedName>
    <definedName name="solver_rhs8" localSheetId="2" hidden="1">'Test test.lp'!$C$26:$AM$26</definedName>
    <definedName name="solver_rhs9" localSheetId="2" hidden="1">'Test test.lp'!$C$27:$AM$27</definedName>
    <definedName name="solver_typ" localSheetId="12" hidden="1">1</definedName>
    <definedName name="solver_typ" localSheetId="11" hidden="1">1</definedName>
    <definedName name="solver_typ" localSheetId="10" hidden="1">2</definedName>
    <definedName name="solver_typ" localSheetId="9" hidden="1">2</definedName>
    <definedName name="solver_typ" localSheetId="8" hidden="1">1</definedName>
    <definedName name="solver_typ" localSheetId="7" hidden="1">1</definedName>
    <definedName name="solver_typ" localSheetId="5" hidden="1">2</definedName>
    <definedName name="solver_typ" localSheetId="4" hidden="1">1</definedName>
    <definedName name="solver_typ" localSheetId="3" hidden="1">1</definedName>
    <definedName name="solver_typ" localSheetId="2" hidden="1">1</definedName>
    <definedName name="solver_typ" localSheetId="1" hidden="1">1</definedName>
    <definedName name="solver_typ" localSheetId="0" hidden="1">1</definedName>
    <definedName name="Upper_bounds" localSheetId="12" hidden="1">'Test berlin.lp'!$C$11:$E$11</definedName>
    <definedName name="Upper_bounds" localSheetId="11" hidden="1">'Test cplex1.lp'!$C$11:$F$11</definedName>
    <definedName name="Upper_bounds" localSheetId="10" hidden="1">'Test denmark.lp'!$C$10:$F$10</definedName>
    <definedName name="Upper_bounds" localSheetId="9" hidden="1">'Test minimal.lp'!$C$8</definedName>
    <definedName name="Upper_bounds" localSheetId="8" hidden="1">'Test mosek1.lp'!$C$11:$F$11</definedName>
    <definedName name="Upper_bounds" localSheetId="7" hidden="1">'Test mosek2.lp'!$C$10:$D$10</definedName>
    <definedName name="Upper_bounds" localSheetId="5" hidden="1">'Test OpenSolver.lp'!$C$12:$F$12</definedName>
    <definedName name="Upper_bounds" localSheetId="4" hidden="1">'Test Semis.lp'!$C$11:$F$11</definedName>
    <definedName name="Upper_bounds" localSheetId="3" hidden="1">'Test SOS.lp'!$C$11:$G$11</definedName>
    <definedName name="Upper_bounds" localSheetId="2" hidden="1">'Test test.lp'!$C$27:$AM$27</definedName>
    <definedName name="Upper_bounds" localSheetId="1" hidden="1">'Test texas.lp'!$C$10:$E$10</definedName>
    <definedName name="Upper_bounds" localSheetId="0" hidden="1">'Test ジョンスミス.lp'!$C$11:$F$11</definedName>
    <definedName name="Variable__E4" localSheetId="5" hidden="1">'Test OpenSolver.lp'!$E$2</definedName>
    <definedName name="Variable__E4_Type" localSheetId="5" hidden="1">'Test OpenSolver.lp'!$E$13</definedName>
    <definedName name="Variable_C4" localSheetId="5" hidden="1">'Test OpenSolver.lp'!$C$2</definedName>
    <definedName name="Variable_C4_Type" localSheetId="5" hidden="1">'Test OpenSolver.lp'!$C$13</definedName>
    <definedName name="Variable_D4" localSheetId="5" hidden="1">'Test OpenSolver.lp'!$D$2</definedName>
    <definedName name="Variable_D4_Type" localSheetId="5" hidden="1">'Test OpenSolver.lp'!$D$13</definedName>
    <definedName name="Variable_F4" localSheetId="5" hidden="1">'Test OpenSolver.lp'!$F$2</definedName>
    <definedName name="Variable_F4_Type" localSheetId="5" hidden="1">'Test OpenSolver.lp'!$F$13</definedName>
    <definedName name="Variable_x" localSheetId="9" hidden="1">'Test minimal.lp'!$C$2</definedName>
    <definedName name="Variable_x_Type" localSheetId="9" hidden="1">'Test minimal.lp'!$C$9</definedName>
    <definedName name="Variable_x0" localSheetId="2" hidden="1">'Test test.lp'!$D$2</definedName>
    <definedName name="Variable_x0_Type" localSheetId="2" hidden="1">'Test test.lp'!$D$28</definedName>
    <definedName name="Variable_x1" localSheetId="12" hidden="1">'Test berlin.lp'!$C$2</definedName>
    <definedName name="Variable_x1" localSheetId="11" hidden="1">'Test cplex1.lp'!$C$2</definedName>
    <definedName name="Variable_x1" localSheetId="10" hidden="1">'Test denmark.lp'!$C$2</definedName>
    <definedName name="Variable_x1" localSheetId="8" hidden="1">'Test mosek1.lp'!$C$2</definedName>
    <definedName name="Variable_x1" localSheetId="7" hidden="1">'Test mosek2.lp'!$C$2</definedName>
    <definedName name="Variable_x1" localSheetId="4" hidden="1">'Test Semis.lp'!$C$2</definedName>
    <definedName name="Variable_x1" localSheetId="3" hidden="1">'Test SOS.lp'!$C$2</definedName>
    <definedName name="Variable_x1" localSheetId="2" hidden="1">'Test test.lp'!$C$2</definedName>
    <definedName name="Variable_x1" localSheetId="1" hidden="1">'Test texas.lp'!$C$2</definedName>
    <definedName name="Variable_x1" localSheetId="0" hidden="1">'Test ジョンスミス.lp'!$C$2</definedName>
    <definedName name="Variable_x1_Type" localSheetId="12" hidden="1">'Test berlin.lp'!$C$12</definedName>
    <definedName name="Variable_x1_Type" localSheetId="11" hidden="1">'Test cplex1.lp'!$C$12</definedName>
    <definedName name="Variable_x1_Type" localSheetId="10" hidden="1">'Test denmark.lp'!$C$11</definedName>
    <definedName name="Variable_x1_Type" localSheetId="8" hidden="1">'Test mosek1.lp'!$C$12</definedName>
    <definedName name="Variable_x1_Type" localSheetId="7" hidden="1">'Test mosek2.lp'!$C$11</definedName>
    <definedName name="Variable_x1_Type" localSheetId="4" hidden="1">'Test Semis.lp'!$C$12</definedName>
    <definedName name="Variable_x1_Type" localSheetId="3" hidden="1">'Test SOS.lp'!$C$12</definedName>
    <definedName name="Variable_x1_Type" localSheetId="2" hidden="1">'Test test.lp'!$C$28</definedName>
    <definedName name="Variable_x1_Type" localSheetId="1" hidden="1">'Test texas.lp'!$C$11</definedName>
    <definedName name="Variable_x1_Type" localSheetId="0" hidden="1">'Test ジョンスミス.lp'!$C$12</definedName>
    <definedName name="Variable_x10" localSheetId="2" hidden="1">'Test test.lp'!$M$2</definedName>
    <definedName name="Variable_x10_Type" localSheetId="2" hidden="1">'Test test.lp'!$M$28</definedName>
    <definedName name="Variable_x11" localSheetId="2" hidden="1">'Test test.lp'!$N$2</definedName>
    <definedName name="Variable_x11_Type" localSheetId="2" hidden="1">'Test test.lp'!$N$28</definedName>
    <definedName name="Variable_x12" localSheetId="2" hidden="1">'Test test.lp'!$O$2</definedName>
    <definedName name="Variable_x12_Type" localSheetId="2" hidden="1">'Test test.lp'!$O$28</definedName>
    <definedName name="Variable_x13" localSheetId="2" hidden="1">'Test test.lp'!$P$2</definedName>
    <definedName name="Variable_x13_Type" localSheetId="2" hidden="1">'Test test.lp'!$P$28</definedName>
    <definedName name="Variable_x14" localSheetId="2" hidden="1">'Test test.lp'!$Q$2</definedName>
    <definedName name="Variable_x14_Type" localSheetId="2" hidden="1">'Test test.lp'!$Q$28</definedName>
    <definedName name="Variable_x15" localSheetId="2" hidden="1">'Test test.lp'!$R$2</definedName>
    <definedName name="Variable_x15_Type" localSheetId="2" hidden="1">'Test test.lp'!$R$28</definedName>
    <definedName name="Variable_x16" localSheetId="2" hidden="1">'Test test.lp'!$S$2</definedName>
    <definedName name="Variable_x16_Type" localSheetId="2" hidden="1">'Test test.lp'!$S$28</definedName>
    <definedName name="Variable_x17" localSheetId="2" hidden="1">'Test test.lp'!$T$2</definedName>
    <definedName name="Variable_x17_Type" localSheetId="2" hidden="1">'Test test.lp'!$T$28</definedName>
    <definedName name="Variable_x18" localSheetId="2" hidden="1">'Test test.lp'!$U$2</definedName>
    <definedName name="Variable_x18_Type" localSheetId="2" hidden="1">'Test test.lp'!$U$28</definedName>
    <definedName name="Variable_x19" localSheetId="2" hidden="1">'Test test.lp'!$V$2</definedName>
    <definedName name="Variable_x19_Type" localSheetId="2" hidden="1">'Test test.lp'!$V$28</definedName>
    <definedName name="Variable_x2" localSheetId="12" hidden="1">'Test berlin.lp'!$D$2</definedName>
    <definedName name="Variable_x2" localSheetId="11" hidden="1">'Test cplex1.lp'!$D$2</definedName>
    <definedName name="Variable_x2" localSheetId="10" hidden="1">'Test denmark.lp'!$D$2</definedName>
    <definedName name="Variable_x2" localSheetId="8" hidden="1">'Test mosek1.lp'!$D$2</definedName>
    <definedName name="Variable_x2" localSheetId="7" hidden="1">'Test mosek2.lp'!$D$2</definedName>
    <definedName name="Variable_x2" localSheetId="4" hidden="1">'Test Semis.lp'!$D$2</definedName>
    <definedName name="Variable_x2" localSheetId="3" hidden="1">'Test SOS.lp'!$D$2</definedName>
    <definedName name="Variable_x2" localSheetId="2" hidden="1">'Test test.lp'!$E$2</definedName>
    <definedName name="Variable_x2" localSheetId="1" hidden="1">'Test texas.lp'!$D$2</definedName>
    <definedName name="Variable_x2" localSheetId="0" hidden="1">'Test ジョンスミス.lp'!$D$2</definedName>
    <definedName name="Variable_x2_Type" localSheetId="12" hidden="1">'Test berlin.lp'!$D$12</definedName>
    <definedName name="Variable_x2_Type" localSheetId="11" hidden="1">'Test cplex1.lp'!$D$12</definedName>
    <definedName name="Variable_x2_Type" localSheetId="10" hidden="1">'Test denmark.lp'!$D$11</definedName>
    <definedName name="Variable_x2_Type" localSheetId="8" hidden="1">'Test mosek1.lp'!$D$12</definedName>
    <definedName name="Variable_x2_Type" localSheetId="7" hidden="1">'Test mosek2.lp'!$D$11</definedName>
    <definedName name="Variable_x2_Type" localSheetId="4" hidden="1">'Test Semis.lp'!$D$12</definedName>
    <definedName name="Variable_x2_Type" localSheetId="3" hidden="1">'Test SOS.lp'!$D$12</definedName>
    <definedName name="Variable_x2_Type" localSheetId="2" hidden="1">'Test test.lp'!$E$28</definedName>
    <definedName name="Variable_x2_Type" localSheetId="1" hidden="1">'Test texas.lp'!$D$11</definedName>
    <definedName name="Variable_x2_Type" localSheetId="0" hidden="1">'Test ジョンスミス.lp'!$D$12</definedName>
    <definedName name="Variable_x20" localSheetId="2" hidden="1">'Test test.lp'!$W$2</definedName>
    <definedName name="Variable_x20_Type" localSheetId="2" hidden="1">'Test test.lp'!$W$28</definedName>
    <definedName name="Variable_x21" localSheetId="2" hidden="1">'Test test.lp'!$X$2</definedName>
    <definedName name="Variable_x21_Type" localSheetId="2" hidden="1">'Test test.lp'!$X$28</definedName>
    <definedName name="Variable_x22" localSheetId="2" hidden="1">'Test test.lp'!$Y$2</definedName>
    <definedName name="Variable_x22_Type" localSheetId="2" hidden="1">'Test test.lp'!$Y$28</definedName>
    <definedName name="Variable_x23" localSheetId="2" hidden="1">'Test test.lp'!$Z$2</definedName>
    <definedName name="Variable_x23_Type" localSheetId="2" hidden="1">'Test test.lp'!$Z$28</definedName>
    <definedName name="Variable_x24" localSheetId="2" hidden="1">'Test test.lp'!$AA$2</definedName>
    <definedName name="Variable_x24_Type" localSheetId="2" hidden="1">'Test test.lp'!$AA$28</definedName>
    <definedName name="Variable_x25" localSheetId="2" hidden="1">'Test test.lp'!$AB$2</definedName>
    <definedName name="Variable_x25_Type" localSheetId="2" hidden="1">'Test test.lp'!$AB$28</definedName>
    <definedName name="Variable_x26" localSheetId="2" hidden="1">'Test test.lp'!$AC$2</definedName>
    <definedName name="Variable_x26_Type" localSheetId="2" hidden="1">'Test test.lp'!$AC$28</definedName>
    <definedName name="Variable_x27" localSheetId="2" hidden="1">'Test test.lp'!$AD$2</definedName>
    <definedName name="Variable_x27_Type" localSheetId="2" hidden="1">'Test test.lp'!$AD$28</definedName>
    <definedName name="Variable_x28" localSheetId="2" hidden="1">'Test test.lp'!$AE$2</definedName>
    <definedName name="Variable_x28_Type" localSheetId="2" hidden="1">'Test test.lp'!$AE$28</definedName>
    <definedName name="Variable_X29" localSheetId="2" hidden="1">'Test test.lp'!$AL$2</definedName>
    <definedName name="Variable_X29_Type" localSheetId="2" hidden="1">'Test test.lp'!$AL$28</definedName>
    <definedName name="Variable_x2x3" localSheetId="2" hidden="1">'Test test.lp'!$AM$2</definedName>
    <definedName name="Variable_x2x3_Type" localSheetId="2" hidden="1">'Test test.lp'!$AM$28</definedName>
    <definedName name="Variable_x3" localSheetId="12" hidden="1">'Test berlin.lp'!$E$2</definedName>
    <definedName name="Variable_x3" localSheetId="11" hidden="1">'Test cplex1.lp'!$E$2</definedName>
    <definedName name="Variable_x3" localSheetId="10" hidden="1">'Test denmark.lp'!$E$2</definedName>
    <definedName name="Variable_x3" localSheetId="8" hidden="1">'Test mosek1.lp'!$E$2</definedName>
    <definedName name="Variable_x3" localSheetId="4" hidden="1">'Test Semis.lp'!$E$2</definedName>
    <definedName name="Variable_x3" localSheetId="3" hidden="1">'Test SOS.lp'!$E$2</definedName>
    <definedName name="Variable_x3" localSheetId="2" hidden="1">'Test test.lp'!$F$2</definedName>
    <definedName name="Variable_x3" localSheetId="1" hidden="1">'Test texas.lp'!$E$2</definedName>
    <definedName name="Variable_x3" localSheetId="0" hidden="1">'Test ジョンスミス.lp'!$E$2</definedName>
    <definedName name="Variable_x3_Type" localSheetId="12" hidden="1">'Test berlin.lp'!$E$12</definedName>
    <definedName name="Variable_x3_Type" localSheetId="11" hidden="1">'Test cplex1.lp'!$E$12</definedName>
    <definedName name="Variable_x3_Type" localSheetId="10" hidden="1">'Test denmark.lp'!$E$11</definedName>
    <definedName name="Variable_x3_Type" localSheetId="8" hidden="1">'Test mosek1.lp'!$E$12</definedName>
    <definedName name="Variable_x3_Type" localSheetId="4" hidden="1">'Test Semis.lp'!$E$12</definedName>
    <definedName name="Variable_x3_Type" localSheetId="3" hidden="1">'Test SOS.lp'!$E$12</definedName>
    <definedName name="Variable_x3_Type" localSheetId="2" hidden="1">'Test test.lp'!$F$28</definedName>
    <definedName name="Variable_x3_Type" localSheetId="1" hidden="1">'Test texas.lp'!$E$11</definedName>
    <definedName name="Variable_x3_Type" localSheetId="0" hidden="1">'Test ジョンスミス.lp'!$E$12</definedName>
    <definedName name="Variable_x30" localSheetId="2" hidden="1">'Test test.lp'!$AG$2</definedName>
    <definedName name="Variable_x30_Type" localSheetId="2" hidden="1">'Test test.lp'!$AG$28</definedName>
    <definedName name="Variable_x31" localSheetId="2" hidden="1">'Test test.lp'!$AH$2</definedName>
    <definedName name="Variable_x31_Type" localSheetId="2" hidden="1">'Test test.lp'!$AH$28</definedName>
    <definedName name="Variable_x32" localSheetId="2" hidden="1">'Test test.lp'!$AI$2</definedName>
    <definedName name="Variable_x32_Type" localSheetId="2" hidden="1">'Test test.lp'!$AI$28</definedName>
    <definedName name="Variable_x33" localSheetId="2" hidden="1">'Test test.lp'!$AJ$2</definedName>
    <definedName name="Variable_x33_Type" localSheetId="2" hidden="1">'Test test.lp'!$AJ$28</definedName>
    <definedName name="Variable_x34" localSheetId="2" hidden="1">'Test test.lp'!$AK$2</definedName>
    <definedName name="Variable_x34_Type" localSheetId="2" hidden="1">'Test test.lp'!$AK$28</definedName>
    <definedName name="Variable_x4" localSheetId="11" hidden="1">'Test cplex1.lp'!$F$2</definedName>
    <definedName name="Variable_x4" localSheetId="10" hidden="1">'Test denmark.lp'!$F$2</definedName>
    <definedName name="Variable_x4" localSheetId="8" hidden="1">'Test mosek1.lp'!$F$2</definedName>
    <definedName name="Variable_x4" localSheetId="4" hidden="1">'Test Semis.lp'!$F$2</definedName>
    <definedName name="Variable_x4" localSheetId="3" hidden="1">'Test SOS.lp'!$F$2</definedName>
    <definedName name="Variable_x4" localSheetId="2" hidden="1">'Test test.lp'!$G$2</definedName>
    <definedName name="Variable_x4" localSheetId="0" hidden="1">'Test ジョンスミス.lp'!$F$2</definedName>
    <definedName name="Variable_x4_Type" localSheetId="11" hidden="1">'Test cplex1.lp'!$F$12</definedName>
    <definedName name="Variable_x4_Type" localSheetId="10" hidden="1">'Test denmark.lp'!$F$11</definedName>
    <definedName name="Variable_x4_Type" localSheetId="8" hidden="1">'Test mosek1.lp'!$F$12</definedName>
    <definedName name="Variable_x4_Type" localSheetId="4" hidden="1">'Test Semis.lp'!$F$12</definedName>
    <definedName name="Variable_x4_Type" localSheetId="3" hidden="1">'Test SOS.lp'!$F$12</definedName>
    <definedName name="Variable_x4_Type" localSheetId="2" hidden="1">'Test test.lp'!$G$28</definedName>
    <definedName name="Variable_x4_Type" localSheetId="0" hidden="1">'Test ジョンスミス.lp'!$F$12</definedName>
    <definedName name="Variable_x5" localSheetId="3" hidden="1">'Test SOS.lp'!$G$2</definedName>
    <definedName name="Variable_x5" localSheetId="2" hidden="1">'Test test.lp'!$H$2</definedName>
    <definedName name="Variable_x5_Type" localSheetId="3" hidden="1">'Test SOS.lp'!$G$12</definedName>
    <definedName name="Variable_x5_Type" localSheetId="2" hidden="1">'Test test.lp'!$H$28</definedName>
    <definedName name="Variable_x6" localSheetId="2" hidden="1">'Test test.lp'!$I$2</definedName>
    <definedName name="Variable_x6_Type" localSheetId="2" hidden="1">'Test test.lp'!$I$28</definedName>
    <definedName name="Variable_x7" localSheetId="2" hidden="1">'Test test.lp'!$J$2</definedName>
    <definedName name="Variable_x7_Type" localSheetId="2" hidden="1">'Test test.lp'!$J$28</definedName>
    <definedName name="Variable_x8" localSheetId="2" hidden="1">'Test test.lp'!$K$2</definedName>
    <definedName name="Variable_x8_Type" localSheetId="2" hidden="1">'Test test.lp'!$K$28</definedName>
    <definedName name="Variable_x9" localSheetId="2" hidden="1">'Test test.lp'!$L$2</definedName>
    <definedName name="Variable_x9_Type" localSheetId="2" hidden="1">'Test test.lp'!$L$28</definedName>
  </definedNames>
  <calcPr calcId="171027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21" l="1"/>
  <c r="H6" i="121"/>
  <c r="H7" i="121"/>
  <c r="H8" i="121"/>
  <c r="G4" i="120"/>
  <c r="G6" i="120"/>
  <c r="G7" i="120"/>
  <c r="AO4" i="119"/>
  <c r="AO6" i="119"/>
  <c r="AO7" i="119"/>
  <c r="AO8" i="119"/>
  <c r="AO9" i="119"/>
  <c r="AO10" i="119"/>
  <c r="AO11" i="119"/>
  <c r="AO12" i="119"/>
  <c r="AO13" i="119"/>
  <c r="AO14" i="119"/>
  <c r="AO15" i="119"/>
  <c r="AO16" i="119"/>
  <c r="AO17" i="119"/>
  <c r="AO18" i="119"/>
  <c r="AO19" i="119"/>
  <c r="AO20" i="119"/>
  <c r="AO21" i="119"/>
  <c r="AO22" i="119"/>
  <c r="AO23" i="119"/>
  <c r="AO24" i="119"/>
  <c r="I4" i="118"/>
  <c r="I6" i="118"/>
  <c r="I7" i="118"/>
  <c r="I8" i="118"/>
  <c r="H4" i="117"/>
  <c r="H6" i="117"/>
  <c r="H7" i="117"/>
  <c r="H8" i="117"/>
  <c r="H4" i="116"/>
  <c r="H6" i="116"/>
  <c r="H7" i="116"/>
  <c r="H8" i="116"/>
  <c r="H9" i="116"/>
  <c r="F4" i="114"/>
  <c r="F6" i="114"/>
  <c r="F7" i="114"/>
  <c r="H4" i="113"/>
  <c r="H6" i="113"/>
  <c r="H7" i="113"/>
  <c r="H8" i="113"/>
  <c r="E4" i="112"/>
  <c r="H4" i="111"/>
  <c r="H6" i="111"/>
  <c r="H7" i="111"/>
  <c r="H4" i="110"/>
  <c r="H6" i="110"/>
  <c r="H7" i="110"/>
  <c r="H8" i="110"/>
  <c r="G4" i="109"/>
  <c r="G6" i="109"/>
  <c r="G7" i="109"/>
  <c r="G8" i="109"/>
</calcChain>
</file>

<file path=xl/comments1.xml><?xml version="1.0" encoding="utf-8"?>
<comments xmlns="http://schemas.openxmlformats.org/spreadsheetml/2006/main">
  <authors>
    <author>Benjamin Yi</author>
  </authors>
  <commentList>
    <comment ref="A29" authorId="0" shapeId="0">
      <text>
        <r>
          <rPr>
            <sz val="9"/>
            <color indexed="81"/>
            <rFont val="Tahoma"/>
            <family val="2"/>
          </rPr>
          <t>Semi-continuous variables are printed from the file, but not added to the model nor supported during solve.</t>
        </r>
      </text>
    </comment>
    <comment ref="A30" authorId="0" shapeId="0">
      <text>
        <r>
          <rPr>
            <sz val="9"/>
            <color indexed="81"/>
            <rFont val="Tahoma"/>
            <family val="2"/>
          </rPr>
          <t>Special ordered sets are printed from the file, but not added to the model nor supported during solve.</t>
        </r>
      </text>
    </comment>
  </commentList>
</comments>
</file>

<file path=xl/comments2.xml><?xml version="1.0" encoding="utf-8"?>
<comments xmlns="http://schemas.openxmlformats.org/spreadsheetml/2006/main">
  <authors>
    <author>Benjamin Yi</author>
  </authors>
  <commentList>
    <comment ref="A14" authorId="0" shapeId="0">
      <text>
        <r>
          <rPr>
            <sz val="9"/>
            <color indexed="81"/>
            <rFont val="Tahoma"/>
            <family val="2"/>
          </rPr>
          <t>Special ordered sets are printed from the file, but not added to the model nor supported during solve.</t>
        </r>
      </text>
    </comment>
  </commentList>
</comments>
</file>

<file path=xl/comments3.xml><?xml version="1.0" encoding="utf-8"?>
<comments xmlns="http://schemas.openxmlformats.org/spreadsheetml/2006/main">
  <authors>
    <author>Benjamin Yi</author>
  </authors>
  <commentList>
    <comment ref="A13" authorId="0" shapeId="0">
      <text>
        <r>
          <rPr>
            <sz val="9"/>
            <color indexed="81"/>
            <rFont val="Tahoma"/>
            <family val="2"/>
          </rPr>
          <t>Semi-continuous variables are printed from the file, but not added to the model nor supported during solve.</t>
        </r>
      </text>
    </comment>
  </commentList>
</comments>
</file>

<file path=xl/sharedStrings.xml><?xml version="1.0" encoding="utf-8"?>
<sst xmlns="http://schemas.openxmlformats.org/spreadsheetml/2006/main" count="349" uniqueCount="129">
  <si>
    <t>Import all LP files in the same directory as this worksheet.</t>
  </si>
  <si>
    <t>Checks if the file was imported successfully or if an error is thrown.</t>
  </si>
  <si>
    <t>File name</t>
  </si>
  <si>
    <t>Sheet name</t>
  </si>
  <si>
    <t>Import success?</t>
  </si>
  <si>
    <t>Error message</t>
  </si>
  <si>
    <t>Does not verify if the model imported is correct - you must manually check to see if it is reasonable.</t>
  </si>
  <si>
    <t>berlin.lp</t>
  </si>
  <si>
    <t xml:space="preserve"> </t>
  </si>
  <si>
    <t>x1</t>
  </si>
  <si>
    <t>x2</t>
  </si>
  <si>
    <t>x3</t>
  </si>
  <si>
    <t>&lt;=</t>
  </si>
  <si>
    <t>Maximise:</t>
  </si>
  <si>
    <t>Subject to:</t>
  </si>
  <si>
    <t xml:space="preserve">Variable bounds: </t>
  </si>
  <si>
    <t>&gt;=</t>
  </si>
  <si>
    <t xml:space="preserve">Variable type: </t>
  </si>
  <si>
    <t>cplex1.lp</t>
  </si>
  <si>
    <t>x4</t>
  </si>
  <si>
    <t>int</t>
  </si>
  <si>
    <t>c1</t>
  </si>
  <si>
    <t>c2</t>
  </si>
  <si>
    <t>c3</t>
  </si>
  <si>
    <t>=</t>
  </si>
  <si>
    <t>obj</t>
  </si>
  <si>
    <t>denmark.lp</t>
  </si>
  <si>
    <t>Minimise:</t>
  </si>
  <si>
    <t>minimal.lp</t>
  </si>
  <si>
    <t>x</t>
  </si>
  <si>
    <t>mosek1.lp</t>
  </si>
  <si>
    <t>mosek2.lp</t>
  </si>
  <si>
    <t>OpenSolver.lp</t>
  </si>
  <si>
    <t>C4</t>
  </si>
  <si>
    <t>D4</t>
  </si>
  <si>
    <t>_E4</t>
  </si>
  <si>
    <t>F4</t>
  </si>
  <si>
    <t>bin</t>
  </si>
  <si>
    <t>Obj</t>
  </si>
  <si>
    <t>Semis.lp</t>
  </si>
  <si>
    <t>Yes</t>
  </si>
  <si>
    <t>Semi-continuous?</t>
  </si>
  <si>
    <t>SOS.lp</t>
  </si>
  <si>
    <t>x5</t>
  </si>
  <si>
    <t>set1 (S2 )</t>
  </si>
  <si>
    <t>(S1 )</t>
  </si>
  <si>
    <t xml:space="preserve">Set weighting: </t>
  </si>
  <si>
    <t>test.lp</t>
  </si>
  <si>
    <t>x0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</si>
  <si>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</si>
  <si>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</si>
  <si>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</si>
  <si>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</si>
  <si>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</si>
  <si>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</si>
  <si>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</si>
  <si>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</si>
  <si>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</si>
  <si>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</si>
  <si>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</si>
  <si>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</si>
  <si>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</si>
  <si>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</si>
  <si>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</si>
  <si>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</si>
  <si>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</si>
  <si>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</si>
  <si>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</si>
  <si>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</si>
  <si>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</si>
  <si>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</si>
  <si>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</si>
  <si>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</si>
  <si>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</si>
  <si>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</si>
  <si>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</si>
  <si>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</si>
  <si>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</si>
  <si>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X29</t>
  </si>
  <si>
    <t>x2x3</t>
  </si>
  <si>
    <t>set1 (S1)</t>
  </si>
  <si>
    <t>set2 (S2)</t>
  </si>
  <si>
    <t>(S1)</t>
  </si>
  <si>
    <t>s.t.</t>
  </si>
  <si>
    <t>cons1</t>
  </si>
  <si>
    <t>cons2</t>
  </si>
  <si>
    <t>cons3</t>
  </si>
  <si>
    <t>cons4</t>
  </si>
  <si>
    <t>cons6</t>
  </si>
  <si>
    <t>cons7</t>
  </si>
  <si>
    <t>cons8</t>
  </si>
  <si>
    <t>STns9</t>
  </si>
  <si>
    <t>cons10</t>
  </si>
  <si>
    <t>cons11</t>
  </si>
  <si>
    <t>cons12</t>
  </si>
  <si>
    <t>cons14</t>
  </si>
  <si>
    <t>cons15</t>
  </si>
  <si>
    <t>cons16</t>
  </si>
  <si>
    <t>cons17</t>
  </si>
  <si>
    <t>cons18</t>
  </si>
  <si>
    <t>ob</t>
  </si>
  <si>
    <t>texas.lp</t>
  </si>
  <si>
    <t>ジョンスミス.lp</t>
  </si>
  <si>
    <t>C:\Users\Benjamin\github\OpenSolverTester\LP Files\berlin.lp</t>
  </si>
  <si>
    <t>Test berlin.lp</t>
  </si>
  <si>
    <t>C:\Users\Benjamin\github\OpenSolverTester\LP Files\cplex1.lp</t>
  </si>
  <si>
    <t>Test cplex1.lp</t>
  </si>
  <si>
    <t>C:\Users\Benjamin\github\OpenSolverTester\LP Files\denmark.lp</t>
  </si>
  <si>
    <t>Test denmark.lp</t>
  </si>
  <si>
    <t>C:\Users\Benjamin\github\OpenSolverTester\LP Files\minimal.lp</t>
  </si>
  <si>
    <t>Test minimal.lp</t>
  </si>
  <si>
    <t>C:\Users\Benjamin\github\OpenSolverTester\LP Files\mosek1.lp</t>
  </si>
  <si>
    <t>Test mosek1.lp</t>
  </si>
  <si>
    <t>C:\Users\Benjamin\github\OpenSolverTester\LP Files\mosek2.lp</t>
  </si>
  <si>
    <t>Test mosek2.lp</t>
  </si>
  <si>
    <t>non-linear.lp</t>
  </si>
  <si>
    <t>Non-linearity detected on line 4. This feature does not currently support non-linear LP files. The non-linear line is printed below:_x000D_
_x000D_
obj: x1 + 2 x2 + 3 x3 + x4^2</t>
  </si>
  <si>
    <t>C:\Users\Benjamin\github\OpenSolverTester\LP Files\OpenSolver.lp</t>
  </si>
  <si>
    <t>Test OpenSolver.lp</t>
  </si>
  <si>
    <t>C:\Users\Benjamin\github\OpenSolverTester\LP Files\Semis.lp</t>
  </si>
  <si>
    <t>Test Semis.lp</t>
  </si>
  <si>
    <t>C:\Users\Benjamin\github\OpenSolverTester\LP Files\SOS.lp</t>
  </si>
  <si>
    <t>Test SOS.lp</t>
  </si>
  <si>
    <t>C:\Users\Benjamin\github\OpenSolverTester\LP Files\test.lp</t>
  </si>
  <si>
    <t>Test test.lp</t>
  </si>
  <si>
    <t>C:\Users\Benjamin\github\OpenSolverTester\LP Files\texas.lp</t>
  </si>
  <si>
    <t>Test texas.lp</t>
  </si>
  <si>
    <t>C:\Users\Benjamin\github\OpenSolverTester\LP Files\ジョンスミス.lp</t>
  </si>
  <si>
    <t>Test ジョンスミス.lp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</si>
</sst>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11" fontId="0" fillId="0" borderId="0" xfId="0" applyNumberFormat="1"/>
    <xf numFmtId="0" fontId="4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A4E9E382-407C-43D9-9CF1-F1FA75095F23}"/>
            </a:ext>
          </a:extLst>
        </xdr:cNvPr>
        <xdr:cNvSpPr/>
      </xdr:nvSpPr>
      <xdr:spPr>
        <a:xfrm>
          <a:off x="1362075" y="190500"/>
          <a:ext cx="28575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CCC6CF9E-1221-4418-AC41-DB4AA1902B2F}"/>
            </a:ext>
          </a:extLst>
        </xdr:cNvPr>
        <xdr:cNvSpPr/>
      </xdr:nvSpPr>
      <xdr:spPr>
        <a:xfrm>
          <a:off x="4933950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708025</xdr:colOff>
      <xdr:row>2</xdr:row>
      <xdr:rowOff>114300</xdr:rowOff>
    </xdr:from>
    <xdr:to>
      <xdr:col>7</xdr:col>
      <xdr:colOff>242885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5A17EF61-FE1A-4736-9D0D-17AAFAD32AE0}"/>
            </a:ext>
          </a:extLst>
        </xdr:cNvPr>
        <xdr:cNvSpPr/>
      </xdr:nvSpPr>
      <xdr:spPr>
        <a:xfrm>
          <a:off x="49276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3177A7C2-A5E3-4236-A902-44935034F81C}"/>
            </a:ext>
          </a:extLst>
        </xdr:cNvPr>
        <xdr:cNvSpPr/>
      </xdr:nvSpPr>
      <xdr:spPr>
        <a:xfrm>
          <a:off x="4933950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16D5D797-4A4D-400A-BE93-90A78FA12B28}"/>
            </a:ext>
          </a:extLst>
        </xdr:cNvPr>
        <xdr:cNvSpPr/>
      </xdr:nvSpPr>
      <xdr:spPr>
        <a:xfrm>
          <a:off x="6362700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6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C50C6CDD-6BD4-4CD0-A32F-91DA634F7DD0}"/>
            </a:ext>
          </a:extLst>
        </xdr:cNvPr>
        <xdr:cNvCxnSpPr>
          <a:stCxn id="5" idx="3"/>
          <a:endCxn id="6" idx="1"/>
        </xdr:cNvCxnSpPr>
      </xdr:nvCxnSpPr>
      <xdr:spPr>
        <a:xfrm>
          <a:off x="5648325" y="114300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5</xdr:row>
      <xdr:rowOff>63500</xdr:rowOff>
    </xdr:from>
    <xdr:to>
      <xdr:col>8</xdr:col>
      <xdr:colOff>547688</xdr:colOff>
      <xdr:row>6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5552C99D-9EBD-4024-94D7-F408B22BC2CD}"/>
            </a:ext>
          </a:extLst>
        </xdr:cNvPr>
        <xdr:cNvSpPr/>
      </xdr:nvSpPr>
      <xdr:spPr>
        <a:xfrm>
          <a:off x="5815013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46C288B-078B-4C5A-ABFE-630806CDC35F}"/>
            </a:ext>
          </a:extLst>
        </xdr:cNvPr>
        <xdr:cNvSpPr/>
      </xdr:nvSpPr>
      <xdr:spPr>
        <a:xfrm>
          <a:off x="4933950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7AA47953-AB46-4D71-87B4-AFDD234AA82B}"/>
            </a:ext>
          </a:extLst>
        </xdr:cNvPr>
        <xdr:cNvSpPr/>
      </xdr:nvSpPr>
      <xdr:spPr>
        <a:xfrm>
          <a:off x="6362700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801B492E-EF77-4C79-9F23-9963B2D8BBEB}"/>
            </a:ext>
          </a:extLst>
        </xdr:cNvPr>
        <xdr:cNvCxnSpPr>
          <a:stCxn id="9" idx="3"/>
          <a:endCxn id="10" idx="1"/>
        </xdr:cNvCxnSpPr>
      </xdr:nvCxnSpPr>
      <xdr:spPr>
        <a:xfrm>
          <a:off x="5648325" y="1428750"/>
          <a:ext cx="7143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6</xdr:row>
      <xdr:rowOff>158750</xdr:rowOff>
    </xdr:from>
    <xdr:to>
      <xdr:col>8</xdr:col>
      <xdr:colOff>547688</xdr:colOff>
      <xdr:row>8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3AFEA542-7AD7-418A-B715-60916C3D3183}"/>
            </a:ext>
          </a:extLst>
        </xdr:cNvPr>
        <xdr:cNvSpPr/>
      </xdr:nvSpPr>
      <xdr:spPr>
        <a:xfrm>
          <a:off x="5815013" y="1301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6</xdr:col>
      <xdr:colOff>0</xdr:colOff>
      <xdr:row>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3847453B-0598-47A3-89BD-229E2F0CF096}"/>
            </a:ext>
          </a:extLst>
        </xdr:cNvPr>
        <xdr:cNvSpPr/>
      </xdr:nvSpPr>
      <xdr:spPr>
        <a:xfrm>
          <a:off x="1374775" y="203200"/>
          <a:ext cx="28448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FE49EACE-D539-4B15-9294-64B472C5AFF5}"/>
            </a:ext>
          </a:extLst>
        </xdr:cNvPr>
        <xdr:cNvSpPr/>
      </xdr:nvSpPr>
      <xdr:spPr>
        <a:xfrm>
          <a:off x="1362075" y="1714500"/>
          <a:ext cx="28575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6350</xdr:colOff>
      <xdr:row>9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61123460-755B-47E2-A385-E9771CFD5322}"/>
            </a:ext>
          </a:extLst>
        </xdr:cNvPr>
        <xdr:cNvCxnSpPr>
          <a:stCxn id="13" idx="2"/>
          <a:endCxn id="14" idx="0"/>
        </xdr:cNvCxnSpPr>
      </xdr:nvCxnSpPr>
      <xdr:spPr>
        <a:xfrm flipH="1">
          <a:off x="2790825" y="381000"/>
          <a:ext cx="6350" cy="1333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4</xdr:row>
      <xdr:rowOff>158750</xdr:rowOff>
    </xdr:from>
    <xdr:to>
      <xdr:col>4</xdr:col>
      <xdr:colOff>193675</xdr:colOff>
      <xdr:row>6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BCAA06AD-7575-4A22-9AD5-2C76DDE4F414}"/>
            </a:ext>
          </a:extLst>
        </xdr:cNvPr>
        <xdr:cNvSpPr/>
      </xdr:nvSpPr>
      <xdr:spPr>
        <a:xfrm>
          <a:off x="2603500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6</xdr:col>
      <xdr:colOff>0</xdr:colOff>
      <xdr:row>2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F0D391DE-3EEE-437E-B751-AAA2ADEAF56F}"/>
            </a:ext>
          </a:extLst>
        </xdr:cNvPr>
        <xdr:cNvSpPr/>
      </xdr:nvSpPr>
      <xdr:spPr>
        <a:xfrm>
          <a:off x="1387475" y="215900"/>
          <a:ext cx="283210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C2AFE43A-9DEF-4908-A417-0D463D77E0E3}"/>
            </a:ext>
          </a:extLst>
        </xdr:cNvPr>
        <xdr:cNvSpPr/>
      </xdr:nvSpPr>
      <xdr:spPr>
        <a:xfrm>
          <a:off x="1362075" y="1905000"/>
          <a:ext cx="28575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12700</xdr:colOff>
      <xdr:row>10</xdr:row>
      <xdr:rowOff>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63F3CAEB-239B-40BD-9D8E-2101E6CAA776}"/>
            </a:ext>
          </a:extLst>
        </xdr:cNvPr>
        <xdr:cNvCxnSpPr>
          <a:stCxn id="17" idx="2"/>
          <a:endCxn id="18" idx="0"/>
        </xdr:cNvCxnSpPr>
      </xdr:nvCxnSpPr>
      <xdr:spPr>
        <a:xfrm flipH="1">
          <a:off x="2790825" y="381000"/>
          <a:ext cx="12700" cy="1524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530225</xdr:colOff>
      <xdr:row>5</xdr:row>
      <xdr:rowOff>63500</xdr:rowOff>
    </xdr:from>
    <xdr:to>
      <xdr:col>4</xdr:col>
      <xdr:colOff>196850</xdr:colOff>
      <xdr:row>6</xdr:row>
      <xdr:rowOff>127000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BE4A3832-FFB8-4920-92CC-DB5641B7233B}"/>
            </a:ext>
          </a:extLst>
        </xdr:cNvPr>
        <xdr:cNvSpPr/>
      </xdr:nvSpPr>
      <xdr:spPr>
        <a:xfrm>
          <a:off x="2606675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12700</xdr:colOff>
      <xdr:row>1</xdr:row>
      <xdr:rowOff>12700</xdr:rowOff>
    </xdr:from>
    <xdr:to>
      <xdr:col>5</xdr:col>
      <xdr:colOff>64830</xdr:colOff>
      <xdr:row>1</xdr:row>
      <xdr:rowOff>127000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49C09197-5C88-4860-AB68-83C0DBFFF776}"/>
            </a:ext>
          </a:extLst>
        </xdr:cNvPr>
        <xdr:cNvSpPr/>
      </xdr:nvSpPr>
      <xdr:spPr>
        <a:xfrm>
          <a:off x="35179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79EDE752-D27A-464E-A6C1-E86117925530}"/>
            </a:ext>
          </a:extLst>
        </xdr:cNvPr>
        <xdr:cNvSpPr/>
      </xdr:nvSpPr>
      <xdr:spPr>
        <a:xfrm>
          <a:off x="1304925" y="190500"/>
          <a:ext cx="2143125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8C79B278-23C2-4813-BA24-C875024D6402}"/>
            </a:ext>
          </a:extLst>
        </xdr:cNvPr>
        <xdr:cNvSpPr/>
      </xdr:nvSpPr>
      <xdr:spPr>
        <a:xfrm>
          <a:off x="4162425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704850</xdr:colOff>
      <xdr:row>2</xdr:row>
      <xdr:rowOff>114300</xdr:rowOff>
    </xdr:from>
    <xdr:to>
      <xdr:col>6</xdr:col>
      <xdr:colOff>239710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657162DB-C045-4328-9091-AD38B523FDC6}"/>
            </a:ext>
          </a:extLst>
        </xdr:cNvPr>
        <xdr:cNvSpPr/>
      </xdr:nvSpPr>
      <xdr:spPr>
        <a:xfrm>
          <a:off x="41529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C2246E07-D20B-4CB8-AC05-8987238204C7}"/>
            </a:ext>
          </a:extLst>
        </xdr:cNvPr>
        <xdr:cNvSpPr/>
      </xdr:nvSpPr>
      <xdr:spPr>
        <a:xfrm>
          <a:off x="4162425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3DEEC7DE-4ECB-4696-99EA-DC234751FC1C}"/>
            </a:ext>
          </a:extLst>
        </xdr:cNvPr>
        <xdr:cNvSpPr/>
      </xdr:nvSpPr>
      <xdr:spPr>
        <a:xfrm>
          <a:off x="5591175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6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83363910-39F4-4004-9CCF-59EC2AE2CBD4}"/>
            </a:ext>
          </a:extLst>
        </xdr:cNvPr>
        <xdr:cNvCxnSpPr>
          <a:stCxn id="5" idx="3"/>
          <a:endCxn id="6" idx="1"/>
        </xdr:cNvCxnSpPr>
      </xdr:nvCxnSpPr>
      <xdr:spPr>
        <a:xfrm>
          <a:off x="4876800" y="114300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166688</xdr:colOff>
      <xdr:row>5</xdr:row>
      <xdr:rowOff>63500</xdr:rowOff>
    </xdr:from>
    <xdr:to>
      <xdr:col>7</xdr:col>
      <xdr:colOff>547688</xdr:colOff>
      <xdr:row>6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E8BF8F05-7D86-45E6-A728-6300198EBB3F}"/>
            </a:ext>
          </a:extLst>
        </xdr:cNvPr>
        <xdr:cNvSpPr/>
      </xdr:nvSpPr>
      <xdr:spPr>
        <a:xfrm>
          <a:off x="5043488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5</xdr:col>
      <xdr:colOff>0</xdr:colOff>
      <xdr:row>2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8180EDB6-971D-4616-A909-2C1300F27F6A}"/>
            </a:ext>
          </a:extLst>
        </xdr:cNvPr>
        <xdr:cNvSpPr/>
      </xdr:nvSpPr>
      <xdr:spPr>
        <a:xfrm>
          <a:off x="1317625" y="203200"/>
          <a:ext cx="21304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954C353F-FEBD-4161-8A18-10B7B10499D2}"/>
            </a:ext>
          </a:extLst>
        </xdr:cNvPr>
        <xdr:cNvSpPr/>
      </xdr:nvSpPr>
      <xdr:spPr>
        <a:xfrm>
          <a:off x="1304925" y="1524000"/>
          <a:ext cx="2143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357188</xdr:colOff>
      <xdr:row>2</xdr:row>
      <xdr:rowOff>0</xdr:rowOff>
    </xdr:from>
    <xdr:to>
      <xdr:col>3</xdr:col>
      <xdr:colOff>363538</xdr:colOff>
      <xdr:row>8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E9E85749-3872-4894-930A-381E13E00C9E}"/>
            </a:ext>
          </a:extLst>
        </xdr:cNvPr>
        <xdr:cNvCxnSpPr>
          <a:stCxn id="9" idx="2"/>
          <a:endCxn id="10" idx="0"/>
        </xdr:cNvCxnSpPr>
      </xdr:nvCxnSpPr>
      <xdr:spPr>
        <a:xfrm flipH="1">
          <a:off x="2376488" y="381000"/>
          <a:ext cx="6350" cy="1143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169863</xdr:colOff>
      <xdr:row>4</xdr:row>
      <xdr:rowOff>63500</xdr:rowOff>
    </xdr:from>
    <xdr:to>
      <xdr:col>3</xdr:col>
      <xdr:colOff>550863</xdr:colOff>
      <xdr:row>5</xdr:row>
      <xdr:rowOff>127000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7D10E42C-8EA1-4B7F-B422-BBAD75C084AF}"/>
            </a:ext>
          </a:extLst>
        </xdr:cNvPr>
        <xdr:cNvSpPr/>
      </xdr:nvSpPr>
      <xdr:spPr>
        <a:xfrm>
          <a:off x="2189163" y="825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5</xdr:col>
      <xdr:colOff>0</xdr:colOff>
      <xdr:row>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827C2336-C014-4C28-B1DE-0D1C48268664}"/>
            </a:ext>
          </a:extLst>
        </xdr:cNvPr>
        <xdr:cNvSpPr/>
      </xdr:nvSpPr>
      <xdr:spPr>
        <a:xfrm>
          <a:off x="1330325" y="215900"/>
          <a:ext cx="2117725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263CA8F1-AB09-4640-A20B-6082312150CE}"/>
            </a:ext>
          </a:extLst>
        </xdr:cNvPr>
        <xdr:cNvSpPr/>
      </xdr:nvSpPr>
      <xdr:spPr>
        <a:xfrm>
          <a:off x="1304925" y="1714500"/>
          <a:ext cx="21431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3</xdr:col>
      <xdr:colOff>357188</xdr:colOff>
      <xdr:row>2</xdr:row>
      <xdr:rowOff>0</xdr:rowOff>
    </xdr:from>
    <xdr:to>
      <xdr:col>3</xdr:col>
      <xdr:colOff>369888</xdr:colOff>
      <xdr:row>9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12B33600-7583-41FF-8A01-951731A2CC88}"/>
            </a:ext>
          </a:extLst>
        </xdr:cNvPr>
        <xdr:cNvCxnSpPr>
          <a:stCxn id="13" idx="2"/>
          <a:endCxn id="14" idx="0"/>
        </xdr:cNvCxnSpPr>
      </xdr:nvCxnSpPr>
      <xdr:spPr>
        <a:xfrm flipH="1">
          <a:off x="2376488" y="381000"/>
          <a:ext cx="12700" cy="1333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173038</xdr:colOff>
      <xdr:row>4</xdr:row>
      <xdr:rowOff>158750</xdr:rowOff>
    </xdr:from>
    <xdr:to>
      <xdr:col>3</xdr:col>
      <xdr:colOff>554038</xdr:colOff>
      <xdr:row>6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7C96BEDD-0C90-40F8-97CD-D907DB6A6920}"/>
            </a:ext>
          </a:extLst>
        </xdr:cNvPr>
        <xdr:cNvSpPr/>
      </xdr:nvSpPr>
      <xdr:spPr>
        <a:xfrm>
          <a:off x="2192338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39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8C483AA9-724A-470F-8FC0-14E51F080C9A}"/>
            </a:ext>
          </a:extLst>
        </xdr:cNvPr>
        <xdr:cNvSpPr/>
      </xdr:nvSpPr>
      <xdr:spPr>
        <a:xfrm>
          <a:off x="1724025" y="190500"/>
          <a:ext cx="26431875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7383A428-EF87-4EED-998E-4FF5F5E3BE9E}"/>
            </a:ext>
          </a:extLst>
        </xdr:cNvPr>
        <xdr:cNvSpPr/>
      </xdr:nvSpPr>
      <xdr:spPr>
        <a:xfrm>
          <a:off x="28870275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39</xdr:col>
      <xdr:colOff>698500</xdr:colOff>
      <xdr:row>2</xdr:row>
      <xdr:rowOff>114300</xdr:rowOff>
    </xdr:from>
    <xdr:to>
      <xdr:col>40</xdr:col>
      <xdr:colOff>233360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13A7EC03-6EF1-48EF-AF3D-F53AEBADA00F}"/>
            </a:ext>
          </a:extLst>
        </xdr:cNvPr>
        <xdr:cNvSpPr/>
      </xdr:nvSpPr>
      <xdr:spPr>
        <a:xfrm>
          <a:off x="288544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41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D9717388-6D55-4965-8E55-D9243763C81B}"/>
            </a:ext>
          </a:extLst>
        </xdr:cNvPr>
        <xdr:cNvSpPr/>
      </xdr:nvSpPr>
      <xdr:spPr>
        <a:xfrm>
          <a:off x="28870275" y="952500"/>
          <a:ext cx="714375" cy="1524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42</xdr:col>
      <xdr:colOff>0</xdr:colOff>
      <xdr:row>5</xdr:row>
      <xdr:rowOff>0</xdr:rowOff>
    </xdr:from>
    <xdr:to>
      <xdr:col>43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D8E9BF4C-B37C-4576-8176-DD72D1D19D10}"/>
            </a:ext>
          </a:extLst>
        </xdr:cNvPr>
        <xdr:cNvSpPr/>
      </xdr:nvSpPr>
      <xdr:spPr>
        <a:xfrm>
          <a:off x="30299025" y="952500"/>
          <a:ext cx="714375" cy="1524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41</xdr:col>
      <xdr:colOff>0</xdr:colOff>
      <xdr:row>9</xdr:row>
      <xdr:rowOff>0</xdr:rowOff>
    </xdr:from>
    <xdr:to>
      <xdr:col>42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CDEED29D-BF97-42F2-B37B-5814C5320C94}"/>
            </a:ext>
          </a:extLst>
        </xdr:cNvPr>
        <xdr:cNvCxnSpPr>
          <a:stCxn id="5" idx="3"/>
          <a:endCxn id="6" idx="1"/>
        </xdr:cNvCxnSpPr>
      </xdr:nvCxnSpPr>
      <xdr:spPr>
        <a:xfrm>
          <a:off x="29584650" y="171450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166688</xdr:colOff>
      <xdr:row>8</xdr:row>
      <xdr:rowOff>63500</xdr:rowOff>
    </xdr:from>
    <xdr:to>
      <xdr:col>41</xdr:col>
      <xdr:colOff>547688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7B5F1A4D-AB8C-4402-8058-A53513A5549B}"/>
            </a:ext>
          </a:extLst>
        </xdr:cNvPr>
        <xdr:cNvSpPr/>
      </xdr:nvSpPr>
      <xdr:spPr>
        <a:xfrm>
          <a:off x="29751338" y="1587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41</xdr:col>
      <xdr:colOff>0</xdr:colOff>
      <xdr:row>14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A3CB4867-4D8F-4F8A-B2D9-C99A127B81EB}"/>
            </a:ext>
          </a:extLst>
        </xdr:cNvPr>
        <xdr:cNvSpPr/>
      </xdr:nvSpPr>
      <xdr:spPr>
        <a:xfrm>
          <a:off x="28870275" y="2476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42</xdr:col>
      <xdr:colOff>0</xdr:colOff>
      <xdr:row>13</xdr:row>
      <xdr:rowOff>0</xdr:rowOff>
    </xdr:from>
    <xdr:to>
      <xdr:col>43</xdr:col>
      <xdr:colOff>0</xdr:colOff>
      <xdr:row>14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CA8D8C94-BD97-4885-BA72-52B83244BB2A}"/>
            </a:ext>
          </a:extLst>
        </xdr:cNvPr>
        <xdr:cNvSpPr/>
      </xdr:nvSpPr>
      <xdr:spPr>
        <a:xfrm>
          <a:off x="30299025" y="2476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41</xdr:col>
      <xdr:colOff>0</xdr:colOff>
      <xdr:row>13</xdr:row>
      <xdr:rowOff>95250</xdr:rowOff>
    </xdr:from>
    <xdr:to>
      <xdr:col>42</xdr:col>
      <xdr:colOff>0</xdr:colOff>
      <xdr:row>13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D7226749-CD3C-4B29-BA4A-AD1B6908BFB6}"/>
            </a:ext>
          </a:extLst>
        </xdr:cNvPr>
        <xdr:cNvCxnSpPr>
          <a:stCxn id="9" idx="3"/>
          <a:endCxn id="10" idx="1"/>
        </xdr:cNvCxnSpPr>
      </xdr:nvCxnSpPr>
      <xdr:spPr>
        <a:xfrm>
          <a:off x="29584650" y="2571750"/>
          <a:ext cx="7143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166688</xdr:colOff>
      <xdr:row>12</xdr:row>
      <xdr:rowOff>158750</xdr:rowOff>
    </xdr:from>
    <xdr:to>
      <xdr:col>41</xdr:col>
      <xdr:colOff>547688</xdr:colOff>
      <xdr:row>14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965490DA-7C3C-4D09-9461-7198AC290AA6}"/>
            </a:ext>
          </a:extLst>
        </xdr:cNvPr>
        <xdr:cNvSpPr/>
      </xdr:nvSpPr>
      <xdr:spPr>
        <a:xfrm>
          <a:off x="29751338" y="2444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41</xdr:col>
      <xdr:colOff>0</xdr:colOff>
      <xdr:row>18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8E5C36AC-F370-49A6-B4A8-1D168A90AEFA}"/>
            </a:ext>
          </a:extLst>
        </xdr:cNvPr>
        <xdr:cNvSpPr/>
      </xdr:nvSpPr>
      <xdr:spPr>
        <a:xfrm>
          <a:off x="28870275" y="2667000"/>
          <a:ext cx="714375" cy="762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42</xdr:col>
      <xdr:colOff>0</xdr:colOff>
      <xdr:row>14</xdr:row>
      <xdr:rowOff>0</xdr:rowOff>
    </xdr:from>
    <xdr:to>
      <xdr:col>43</xdr:col>
      <xdr:colOff>0</xdr:colOff>
      <xdr:row>18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BA3A4B93-1448-42E8-8A31-31AB24F0BF5B}"/>
            </a:ext>
          </a:extLst>
        </xdr:cNvPr>
        <xdr:cNvSpPr/>
      </xdr:nvSpPr>
      <xdr:spPr>
        <a:xfrm>
          <a:off x="30299025" y="2667000"/>
          <a:ext cx="714375" cy="762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41</xdr:col>
      <xdr:colOff>0</xdr:colOff>
      <xdr:row>16</xdr:row>
      <xdr:rowOff>0</xdr:rowOff>
    </xdr:from>
    <xdr:to>
      <xdr:col>42</xdr:col>
      <xdr:colOff>0</xdr:colOff>
      <xdr:row>16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A0E07A8A-B039-4A81-A4F4-91D3DEA09A0D}"/>
            </a:ext>
          </a:extLst>
        </xdr:cNvPr>
        <xdr:cNvCxnSpPr>
          <a:stCxn id="13" idx="3"/>
          <a:endCxn id="14" idx="1"/>
        </xdr:cNvCxnSpPr>
      </xdr:nvCxnSpPr>
      <xdr:spPr>
        <a:xfrm>
          <a:off x="29584650" y="3048000"/>
          <a:ext cx="71437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166688</xdr:colOff>
      <xdr:row>15</xdr:row>
      <xdr:rowOff>63500</xdr:rowOff>
    </xdr:from>
    <xdr:to>
      <xdr:col>41</xdr:col>
      <xdr:colOff>547688</xdr:colOff>
      <xdr:row>16</xdr:row>
      <xdr:rowOff>127000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F5D0DB1D-27C3-430E-97DC-81806EBCE9F4}"/>
            </a:ext>
          </a:extLst>
        </xdr:cNvPr>
        <xdr:cNvSpPr/>
      </xdr:nvSpPr>
      <xdr:spPr>
        <a:xfrm>
          <a:off x="29751338" y="2921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40</xdr:col>
      <xdr:colOff>0</xdr:colOff>
      <xdr:row>18</xdr:row>
      <xdr:rowOff>0</xdr:rowOff>
    </xdr:from>
    <xdr:to>
      <xdr:col>41</xdr:col>
      <xdr:colOff>0</xdr:colOff>
      <xdr:row>20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2EDF35B7-E65D-40B6-A6C5-C3C6F7AEDE74}"/>
            </a:ext>
          </a:extLst>
        </xdr:cNvPr>
        <xdr:cNvSpPr/>
      </xdr:nvSpPr>
      <xdr:spPr>
        <a:xfrm>
          <a:off x="28870275" y="3429000"/>
          <a:ext cx="714375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42</xdr:col>
      <xdr:colOff>0</xdr:colOff>
      <xdr:row>18</xdr:row>
      <xdr:rowOff>0</xdr:rowOff>
    </xdr:from>
    <xdr:to>
      <xdr:col>43</xdr:col>
      <xdr:colOff>0</xdr:colOff>
      <xdr:row>20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AC65BB31-CDC5-488F-BFD5-8A2D6840EE22}"/>
            </a:ext>
          </a:extLst>
        </xdr:cNvPr>
        <xdr:cNvSpPr/>
      </xdr:nvSpPr>
      <xdr:spPr>
        <a:xfrm>
          <a:off x="30299025" y="3429000"/>
          <a:ext cx="714375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41</xdr:col>
      <xdr:colOff>0</xdr:colOff>
      <xdr:row>19</xdr:row>
      <xdr:rowOff>0</xdr:rowOff>
    </xdr:from>
    <xdr:to>
      <xdr:col>42</xdr:col>
      <xdr:colOff>0</xdr:colOff>
      <xdr:row>19</xdr:row>
      <xdr:rowOff>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B0D65A46-9D66-4334-A251-76C1004DCBD0}"/>
            </a:ext>
          </a:extLst>
        </xdr:cNvPr>
        <xdr:cNvCxnSpPr>
          <a:stCxn id="17" idx="3"/>
          <a:endCxn id="18" idx="1"/>
        </xdr:cNvCxnSpPr>
      </xdr:nvCxnSpPr>
      <xdr:spPr>
        <a:xfrm>
          <a:off x="29584650" y="3619500"/>
          <a:ext cx="71437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166688</xdr:colOff>
      <xdr:row>18</xdr:row>
      <xdr:rowOff>63500</xdr:rowOff>
    </xdr:from>
    <xdr:to>
      <xdr:col>41</xdr:col>
      <xdr:colOff>547688</xdr:colOff>
      <xdr:row>19</xdr:row>
      <xdr:rowOff>127000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5B7F0E26-23A9-46E9-AC74-A5988634569C}"/>
            </a:ext>
          </a:extLst>
        </xdr:cNvPr>
        <xdr:cNvSpPr/>
      </xdr:nvSpPr>
      <xdr:spPr>
        <a:xfrm>
          <a:off x="29751338" y="3492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40</xdr:col>
      <xdr:colOff>0</xdr:colOff>
      <xdr:row>20</xdr:row>
      <xdr:rowOff>0</xdr:rowOff>
    </xdr:from>
    <xdr:to>
      <xdr:col>41</xdr:col>
      <xdr:colOff>0</xdr:colOff>
      <xdr:row>21</xdr:row>
      <xdr:rowOff>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BA28999-1F9D-4C20-96AC-B689BBEA16C7}"/>
            </a:ext>
          </a:extLst>
        </xdr:cNvPr>
        <xdr:cNvSpPr/>
      </xdr:nvSpPr>
      <xdr:spPr>
        <a:xfrm>
          <a:off x="28870275" y="3810000"/>
          <a:ext cx="7143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42</xdr:col>
      <xdr:colOff>0</xdr:colOff>
      <xdr:row>20</xdr:row>
      <xdr:rowOff>0</xdr:rowOff>
    </xdr:from>
    <xdr:to>
      <xdr:col>43</xdr:col>
      <xdr:colOff>0</xdr:colOff>
      <xdr:row>21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301FE16F-80EB-44EA-8C96-1DF039226CD3}"/>
            </a:ext>
          </a:extLst>
        </xdr:cNvPr>
        <xdr:cNvSpPr/>
      </xdr:nvSpPr>
      <xdr:spPr>
        <a:xfrm>
          <a:off x="30299025" y="3810000"/>
          <a:ext cx="7143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41</xdr:col>
      <xdr:colOff>0</xdr:colOff>
      <xdr:row>20</xdr:row>
      <xdr:rowOff>95250</xdr:rowOff>
    </xdr:from>
    <xdr:to>
      <xdr:col>42</xdr:col>
      <xdr:colOff>0</xdr:colOff>
      <xdr:row>20</xdr:row>
      <xdr:rowOff>95250</xdr:rowOff>
    </xdr:to>
    <xdr:cxnSp macro="">
      <xdr:nvCxnSpPr>
        <xdr:cNvPr id="23" name="OpenSolver22">
          <a:extLst>
            <a:ext uri="{FF2B5EF4-FFF2-40B4-BE49-F238E27FC236}">
              <a16:creationId xmlns:a16="http://schemas.microsoft.com/office/drawing/2014/main" id="{458392F5-4688-422E-81E9-5402EB8A20A5}"/>
            </a:ext>
          </a:extLst>
        </xdr:cNvPr>
        <xdr:cNvCxnSpPr>
          <a:stCxn id="21" idx="3"/>
          <a:endCxn id="22" idx="1"/>
        </xdr:cNvCxnSpPr>
      </xdr:nvCxnSpPr>
      <xdr:spPr>
        <a:xfrm>
          <a:off x="29584650" y="3905250"/>
          <a:ext cx="71437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166688</xdr:colOff>
      <xdr:row>19</xdr:row>
      <xdr:rowOff>158750</xdr:rowOff>
    </xdr:from>
    <xdr:to>
      <xdr:col>41</xdr:col>
      <xdr:colOff>547688</xdr:colOff>
      <xdr:row>21</xdr:row>
      <xdr:rowOff>31750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FEFC45F5-2D36-4362-B78F-8A500F75EE9D}"/>
            </a:ext>
          </a:extLst>
        </xdr:cNvPr>
        <xdr:cNvSpPr/>
      </xdr:nvSpPr>
      <xdr:spPr>
        <a:xfrm>
          <a:off x="29751338" y="3778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40</xdr:col>
      <xdr:colOff>0</xdr:colOff>
      <xdr:row>21</xdr:row>
      <xdr:rowOff>0</xdr:rowOff>
    </xdr:from>
    <xdr:to>
      <xdr:col>41</xdr:col>
      <xdr:colOff>0</xdr:colOff>
      <xdr:row>23</xdr:row>
      <xdr:rowOff>0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164A9FCB-9BA0-4786-A350-29C64C30D3D1}"/>
            </a:ext>
          </a:extLst>
        </xdr:cNvPr>
        <xdr:cNvSpPr/>
      </xdr:nvSpPr>
      <xdr:spPr>
        <a:xfrm>
          <a:off x="28870275" y="4000500"/>
          <a:ext cx="714375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43</xdr:col>
      <xdr:colOff>0</xdr:colOff>
      <xdr:row>23</xdr:row>
      <xdr:rowOff>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97415717-E1A7-44A6-8858-42E4CFB3FF97}"/>
            </a:ext>
          </a:extLst>
        </xdr:cNvPr>
        <xdr:cNvSpPr/>
      </xdr:nvSpPr>
      <xdr:spPr>
        <a:xfrm>
          <a:off x="30299025" y="4000500"/>
          <a:ext cx="714375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41</xdr:col>
      <xdr:colOff>0</xdr:colOff>
      <xdr:row>22</xdr:row>
      <xdr:rowOff>0</xdr:rowOff>
    </xdr:from>
    <xdr:to>
      <xdr:col>42</xdr:col>
      <xdr:colOff>0</xdr:colOff>
      <xdr:row>22</xdr:row>
      <xdr:rowOff>0</xdr:rowOff>
    </xdr:to>
    <xdr:cxnSp macro="">
      <xdr:nvCxnSpPr>
        <xdr:cNvPr id="27" name="OpenSolver26">
          <a:extLst>
            <a:ext uri="{FF2B5EF4-FFF2-40B4-BE49-F238E27FC236}">
              <a16:creationId xmlns:a16="http://schemas.microsoft.com/office/drawing/2014/main" id="{1B66483F-08FD-4822-959D-639294A6F3DA}"/>
            </a:ext>
          </a:extLst>
        </xdr:cNvPr>
        <xdr:cNvCxnSpPr>
          <a:stCxn id="25" idx="3"/>
          <a:endCxn id="26" idx="1"/>
        </xdr:cNvCxnSpPr>
      </xdr:nvCxnSpPr>
      <xdr:spPr>
        <a:xfrm>
          <a:off x="29584650" y="4191000"/>
          <a:ext cx="714375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166688</xdr:colOff>
      <xdr:row>21</xdr:row>
      <xdr:rowOff>63500</xdr:rowOff>
    </xdr:from>
    <xdr:to>
      <xdr:col>41</xdr:col>
      <xdr:colOff>547688</xdr:colOff>
      <xdr:row>22</xdr:row>
      <xdr:rowOff>127000</xdr:rowOff>
    </xdr:to>
    <xdr:sp macro="" textlink="">
      <xdr:nvSpPr>
        <xdr:cNvPr id="28" name="OpenSolver27">
          <a:extLst>
            <a:ext uri="{FF2B5EF4-FFF2-40B4-BE49-F238E27FC236}">
              <a16:creationId xmlns:a16="http://schemas.microsoft.com/office/drawing/2014/main" id="{FDA7093D-EEE4-4A28-BBC6-3EA98CD20136}"/>
            </a:ext>
          </a:extLst>
        </xdr:cNvPr>
        <xdr:cNvSpPr/>
      </xdr:nvSpPr>
      <xdr:spPr>
        <a:xfrm>
          <a:off x="29751338" y="4064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40</xdr:col>
      <xdr:colOff>0</xdr:colOff>
      <xdr:row>23</xdr:row>
      <xdr:rowOff>0</xdr:rowOff>
    </xdr:from>
    <xdr:to>
      <xdr:col>41</xdr:col>
      <xdr:colOff>0</xdr:colOff>
      <xdr:row>24</xdr:row>
      <xdr:rowOff>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8BA9D3A-FFA4-4F5E-BCB5-25D84F5094A4}"/>
            </a:ext>
          </a:extLst>
        </xdr:cNvPr>
        <xdr:cNvSpPr/>
      </xdr:nvSpPr>
      <xdr:spPr>
        <a:xfrm>
          <a:off x="28870275" y="4381500"/>
          <a:ext cx="714375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42</xdr:col>
      <xdr:colOff>0</xdr:colOff>
      <xdr:row>23</xdr:row>
      <xdr:rowOff>0</xdr:rowOff>
    </xdr:from>
    <xdr:to>
      <xdr:col>43</xdr:col>
      <xdr:colOff>0</xdr:colOff>
      <xdr:row>24</xdr:row>
      <xdr:rowOff>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69B19331-7B21-47C0-B1F5-E909D6F0985C}"/>
            </a:ext>
          </a:extLst>
        </xdr:cNvPr>
        <xdr:cNvSpPr/>
      </xdr:nvSpPr>
      <xdr:spPr>
        <a:xfrm>
          <a:off x="30299025" y="4381500"/>
          <a:ext cx="714375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41</xdr:col>
      <xdr:colOff>0</xdr:colOff>
      <xdr:row>23</xdr:row>
      <xdr:rowOff>95250</xdr:rowOff>
    </xdr:from>
    <xdr:to>
      <xdr:col>42</xdr:col>
      <xdr:colOff>0</xdr:colOff>
      <xdr:row>23</xdr:row>
      <xdr:rowOff>95250</xdr:rowOff>
    </xdr:to>
    <xdr:cxnSp macro="">
      <xdr:nvCxnSpPr>
        <xdr:cNvPr id="31" name="OpenSolver30">
          <a:extLst>
            <a:ext uri="{FF2B5EF4-FFF2-40B4-BE49-F238E27FC236}">
              <a16:creationId xmlns:a16="http://schemas.microsoft.com/office/drawing/2014/main" id="{8A8FCAD2-D42F-4289-BC3B-DC4A9003417C}"/>
            </a:ext>
          </a:extLst>
        </xdr:cNvPr>
        <xdr:cNvCxnSpPr>
          <a:stCxn id="29" idx="3"/>
          <a:endCxn id="30" idx="1"/>
        </xdr:cNvCxnSpPr>
      </xdr:nvCxnSpPr>
      <xdr:spPr>
        <a:xfrm>
          <a:off x="29584650" y="4476750"/>
          <a:ext cx="714375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166688</xdr:colOff>
      <xdr:row>22</xdr:row>
      <xdr:rowOff>158750</xdr:rowOff>
    </xdr:from>
    <xdr:to>
      <xdr:col>41</xdr:col>
      <xdr:colOff>547688</xdr:colOff>
      <xdr:row>24</xdr:row>
      <xdr:rowOff>31750</xdr:rowOff>
    </xdr:to>
    <xdr:sp macro="" textlink="">
      <xdr:nvSpPr>
        <xdr:cNvPr id="32" name="OpenSolver31">
          <a:extLst>
            <a:ext uri="{FF2B5EF4-FFF2-40B4-BE49-F238E27FC236}">
              <a16:creationId xmlns:a16="http://schemas.microsoft.com/office/drawing/2014/main" id="{FCFD092F-2BFF-400A-AE37-7D9B86E8338E}"/>
            </a:ext>
          </a:extLst>
        </xdr:cNvPr>
        <xdr:cNvSpPr/>
      </xdr:nvSpPr>
      <xdr:spPr>
        <a:xfrm>
          <a:off x="29751338" y="4349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39</xdr:col>
      <xdr:colOff>0</xdr:colOff>
      <xdr:row>2</xdr:row>
      <xdr:rowOff>0</xdr:rowOff>
    </xdr:to>
    <xdr:sp macro="" textlink="">
      <xdr:nvSpPr>
        <xdr:cNvPr id="33" name="OpenSolver32">
          <a:extLst>
            <a:ext uri="{FF2B5EF4-FFF2-40B4-BE49-F238E27FC236}">
              <a16:creationId xmlns:a16="http://schemas.microsoft.com/office/drawing/2014/main" id="{9BB5BB34-E6FC-41D0-BA81-FDF77111CECC}"/>
            </a:ext>
          </a:extLst>
        </xdr:cNvPr>
        <xdr:cNvSpPr/>
      </xdr:nvSpPr>
      <xdr:spPr>
        <a:xfrm>
          <a:off x="1736725" y="203200"/>
          <a:ext cx="264191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</xdr:col>
      <xdr:colOff>0</xdr:colOff>
      <xdr:row>25</xdr:row>
      <xdr:rowOff>0</xdr:rowOff>
    </xdr:from>
    <xdr:to>
      <xdr:col>39</xdr:col>
      <xdr:colOff>0</xdr:colOff>
      <xdr:row>26</xdr:row>
      <xdr:rowOff>0</xdr:rowOff>
    </xdr:to>
    <xdr:sp macro="" textlink="">
      <xdr:nvSpPr>
        <xdr:cNvPr id="34" name="OpenSolver33">
          <a:extLst>
            <a:ext uri="{FF2B5EF4-FFF2-40B4-BE49-F238E27FC236}">
              <a16:creationId xmlns:a16="http://schemas.microsoft.com/office/drawing/2014/main" id="{948A0D05-11B6-44A0-9154-F4E1621BFA66}"/>
            </a:ext>
          </a:extLst>
        </xdr:cNvPr>
        <xdr:cNvSpPr/>
      </xdr:nvSpPr>
      <xdr:spPr>
        <a:xfrm>
          <a:off x="1724025" y="4762500"/>
          <a:ext cx="264318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20</xdr:col>
      <xdr:colOff>357188</xdr:colOff>
      <xdr:row>2</xdr:row>
      <xdr:rowOff>0</xdr:rowOff>
    </xdr:from>
    <xdr:to>
      <xdr:col>20</xdr:col>
      <xdr:colOff>363538</xdr:colOff>
      <xdr:row>25</xdr:row>
      <xdr:rowOff>0</xdr:rowOff>
    </xdr:to>
    <xdr:cxnSp macro="">
      <xdr:nvCxnSpPr>
        <xdr:cNvPr id="35" name="OpenSolver34">
          <a:extLst>
            <a:ext uri="{FF2B5EF4-FFF2-40B4-BE49-F238E27FC236}">
              <a16:creationId xmlns:a16="http://schemas.microsoft.com/office/drawing/2014/main" id="{57F5D240-8986-4289-9CE2-911F6DD80109}"/>
            </a:ext>
          </a:extLst>
        </xdr:cNvPr>
        <xdr:cNvCxnSpPr>
          <a:stCxn id="33" idx="2"/>
          <a:endCxn id="34" idx="0"/>
        </xdr:cNvCxnSpPr>
      </xdr:nvCxnSpPr>
      <xdr:spPr>
        <a:xfrm flipH="1">
          <a:off x="14939963" y="381000"/>
          <a:ext cx="6350" cy="4381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169863</xdr:colOff>
      <xdr:row>12</xdr:row>
      <xdr:rowOff>158750</xdr:rowOff>
    </xdr:from>
    <xdr:to>
      <xdr:col>20</xdr:col>
      <xdr:colOff>550863</xdr:colOff>
      <xdr:row>14</xdr:row>
      <xdr:rowOff>31750</xdr:rowOff>
    </xdr:to>
    <xdr:sp macro="" textlink="">
      <xdr:nvSpPr>
        <xdr:cNvPr id="36" name="OpenSolver35">
          <a:extLst>
            <a:ext uri="{FF2B5EF4-FFF2-40B4-BE49-F238E27FC236}">
              <a16:creationId xmlns:a16="http://schemas.microsoft.com/office/drawing/2014/main" id="{B5D888DA-E4AC-49B8-A8FA-D7A867E1E5C0}"/>
            </a:ext>
          </a:extLst>
        </xdr:cNvPr>
        <xdr:cNvSpPr/>
      </xdr:nvSpPr>
      <xdr:spPr>
        <a:xfrm>
          <a:off x="14752638" y="2444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39</xdr:col>
      <xdr:colOff>0</xdr:colOff>
      <xdr:row>2</xdr:row>
      <xdr:rowOff>0</xdr:rowOff>
    </xdr:to>
    <xdr:sp macro="" textlink="">
      <xdr:nvSpPr>
        <xdr:cNvPr id="37" name="OpenSolver36">
          <a:extLst>
            <a:ext uri="{FF2B5EF4-FFF2-40B4-BE49-F238E27FC236}">
              <a16:creationId xmlns:a16="http://schemas.microsoft.com/office/drawing/2014/main" id="{0D5FBFAA-163D-4167-BFC7-80C4A60C7727}"/>
            </a:ext>
          </a:extLst>
        </xdr:cNvPr>
        <xdr:cNvSpPr/>
      </xdr:nvSpPr>
      <xdr:spPr>
        <a:xfrm>
          <a:off x="1749425" y="215900"/>
          <a:ext cx="26406475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</xdr:col>
      <xdr:colOff>0</xdr:colOff>
      <xdr:row>26</xdr:row>
      <xdr:rowOff>0</xdr:rowOff>
    </xdr:from>
    <xdr:to>
      <xdr:col>39</xdr:col>
      <xdr:colOff>0</xdr:colOff>
      <xdr:row>27</xdr:row>
      <xdr:rowOff>0</xdr:rowOff>
    </xdr:to>
    <xdr:sp macro="" textlink="">
      <xdr:nvSpPr>
        <xdr:cNvPr id="38" name="OpenSolver37">
          <a:extLst>
            <a:ext uri="{FF2B5EF4-FFF2-40B4-BE49-F238E27FC236}">
              <a16:creationId xmlns:a16="http://schemas.microsoft.com/office/drawing/2014/main" id="{EE141EB0-D4A0-4553-BB90-CCD7FB4C53D4}"/>
            </a:ext>
          </a:extLst>
        </xdr:cNvPr>
        <xdr:cNvSpPr/>
      </xdr:nvSpPr>
      <xdr:spPr>
        <a:xfrm>
          <a:off x="1724025" y="4953000"/>
          <a:ext cx="264318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20</xdr:col>
      <xdr:colOff>357188</xdr:colOff>
      <xdr:row>2</xdr:row>
      <xdr:rowOff>0</xdr:rowOff>
    </xdr:from>
    <xdr:to>
      <xdr:col>20</xdr:col>
      <xdr:colOff>369888</xdr:colOff>
      <xdr:row>26</xdr:row>
      <xdr:rowOff>0</xdr:rowOff>
    </xdr:to>
    <xdr:cxnSp macro="">
      <xdr:nvCxnSpPr>
        <xdr:cNvPr id="39" name="OpenSolver38">
          <a:extLst>
            <a:ext uri="{FF2B5EF4-FFF2-40B4-BE49-F238E27FC236}">
              <a16:creationId xmlns:a16="http://schemas.microsoft.com/office/drawing/2014/main" id="{07CA8E10-09B8-41FD-BDF4-2B132A880035}"/>
            </a:ext>
          </a:extLst>
        </xdr:cNvPr>
        <xdr:cNvCxnSpPr>
          <a:stCxn id="37" idx="2"/>
          <a:endCxn id="38" idx="0"/>
        </xdr:cNvCxnSpPr>
      </xdr:nvCxnSpPr>
      <xdr:spPr>
        <a:xfrm flipH="1">
          <a:off x="14939963" y="381000"/>
          <a:ext cx="12700" cy="4572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173038</xdr:colOff>
      <xdr:row>13</xdr:row>
      <xdr:rowOff>63500</xdr:rowOff>
    </xdr:from>
    <xdr:to>
      <xdr:col>20</xdr:col>
      <xdr:colOff>554038</xdr:colOff>
      <xdr:row>14</xdr:row>
      <xdr:rowOff>127000</xdr:rowOff>
    </xdr:to>
    <xdr:sp macro="" textlink="">
      <xdr:nvSpPr>
        <xdr:cNvPr id="40" name="OpenSolver39">
          <a:extLst>
            <a:ext uri="{FF2B5EF4-FFF2-40B4-BE49-F238E27FC236}">
              <a16:creationId xmlns:a16="http://schemas.microsoft.com/office/drawing/2014/main" id="{5E934B6B-E7F3-40D4-8D16-3F7781441421}"/>
            </a:ext>
          </a:extLst>
        </xdr:cNvPr>
        <xdr:cNvSpPr/>
      </xdr:nvSpPr>
      <xdr:spPr>
        <a:xfrm>
          <a:off x="14755813" y="2540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20</xdr:col>
      <xdr:colOff>9525</xdr:colOff>
      <xdr:row>1</xdr:row>
      <xdr:rowOff>12700</xdr:rowOff>
    </xdr:from>
    <xdr:to>
      <xdr:col>20</xdr:col>
      <xdr:colOff>95831</xdr:colOff>
      <xdr:row>1</xdr:row>
      <xdr:rowOff>127000</xdr:rowOff>
    </xdr:to>
    <xdr:sp macro="" textlink="">
      <xdr:nvSpPr>
        <xdr:cNvPr id="41" name="OpenSolver40">
          <a:extLst>
            <a:ext uri="{FF2B5EF4-FFF2-40B4-BE49-F238E27FC236}">
              <a16:creationId xmlns:a16="http://schemas.microsoft.com/office/drawing/2014/main" id="{6FD2F93B-B8C0-40D8-BB16-E155CAF45644}"/>
            </a:ext>
          </a:extLst>
        </xdr:cNvPr>
        <xdr:cNvSpPr/>
      </xdr:nvSpPr>
      <xdr:spPr>
        <a:xfrm>
          <a:off x="14592300" y="203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21</xdr:col>
      <xdr:colOff>19050</xdr:colOff>
      <xdr:row>1</xdr:row>
      <xdr:rowOff>12700</xdr:rowOff>
    </xdr:from>
    <xdr:to>
      <xdr:col>21</xdr:col>
      <xdr:colOff>105356</xdr:colOff>
      <xdr:row>1</xdr:row>
      <xdr:rowOff>127000</xdr:rowOff>
    </xdr:to>
    <xdr:sp macro="" textlink="">
      <xdr:nvSpPr>
        <xdr:cNvPr id="42" name="OpenSolver41">
          <a:extLst>
            <a:ext uri="{FF2B5EF4-FFF2-40B4-BE49-F238E27FC236}">
              <a16:creationId xmlns:a16="http://schemas.microsoft.com/office/drawing/2014/main" id="{F4241642-D2EE-4E46-908A-B58EE669D233}"/>
            </a:ext>
          </a:extLst>
        </xdr:cNvPr>
        <xdr:cNvSpPr/>
      </xdr:nvSpPr>
      <xdr:spPr>
        <a:xfrm>
          <a:off x="15316200" y="203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2</xdr:col>
      <xdr:colOff>15875</xdr:colOff>
      <xdr:row>1</xdr:row>
      <xdr:rowOff>12700</xdr:rowOff>
    </xdr:from>
    <xdr:to>
      <xdr:col>2</xdr:col>
      <xdr:colOff>68005</xdr:colOff>
      <xdr:row>1</xdr:row>
      <xdr:rowOff>127000</xdr:rowOff>
    </xdr:to>
    <xdr:sp macro="" textlink="">
      <xdr:nvSpPr>
        <xdr:cNvPr id="43" name="OpenSolver42">
          <a:extLst>
            <a:ext uri="{FF2B5EF4-FFF2-40B4-BE49-F238E27FC236}">
              <a16:creationId xmlns:a16="http://schemas.microsoft.com/office/drawing/2014/main" id="{D95E3B46-B680-4339-BC06-47E80EBD94E1}"/>
            </a:ext>
          </a:extLst>
        </xdr:cNvPr>
        <xdr:cNvSpPr/>
      </xdr:nvSpPr>
      <xdr:spPr>
        <a:xfrm>
          <a:off x="17399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</xdr:row>
      <xdr:rowOff>12700</xdr:rowOff>
    </xdr:from>
    <xdr:to>
      <xdr:col>3</xdr:col>
      <xdr:colOff>64830</xdr:colOff>
      <xdr:row>1</xdr:row>
      <xdr:rowOff>127000</xdr:rowOff>
    </xdr:to>
    <xdr:sp macro="" textlink="">
      <xdr:nvSpPr>
        <xdr:cNvPr id="44" name="OpenSolver43">
          <a:extLst>
            <a:ext uri="{FF2B5EF4-FFF2-40B4-BE49-F238E27FC236}">
              <a16:creationId xmlns:a16="http://schemas.microsoft.com/office/drawing/2014/main" id="{C9D0216C-9DE8-4F0B-B21E-C462F69A5251}"/>
            </a:ext>
          </a:extLst>
        </xdr:cNvPr>
        <xdr:cNvSpPr/>
      </xdr:nvSpPr>
      <xdr:spPr>
        <a:xfrm>
          <a:off x="24511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9525</xdr:colOff>
      <xdr:row>1</xdr:row>
      <xdr:rowOff>12700</xdr:rowOff>
    </xdr:from>
    <xdr:to>
      <xdr:col>4</xdr:col>
      <xdr:colOff>61655</xdr:colOff>
      <xdr:row>1</xdr:row>
      <xdr:rowOff>127000</xdr:rowOff>
    </xdr:to>
    <xdr:sp macro="" textlink="">
      <xdr:nvSpPr>
        <xdr:cNvPr id="45" name="OpenSolver44">
          <a:extLst>
            <a:ext uri="{FF2B5EF4-FFF2-40B4-BE49-F238E27FC236}">
              <a16:creationId xmlns:a16="http://schemas.microsoft.com/office/drawing/2014/main" id="{B9EBC612-4309-4B21-841D-E55CF4589612}"/>
            </a:ext>
          </a:extLst>
        </xdr:cNvPr>
        <xdr:cNvSpPr/>
      </xdr:nvSpPr>
      <xdr:spPr>
        <a:xfrm>
          <a:off x="31623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1</xdr:row>
      <xdr:rowOff>12700</xdr:rowOff>
    </xdr:from>
    <xdr:to>
      <xdr:col>5</xdr:col>
      <xdr:colOff>71180</xdr:colOff>
      <xdr:row>1</xdr:row>
      <xdr:rowOff>127000</xdr:rowOff>
    </xdr:to>
    <xdr:sp macro="" textlink="">
      <xdr:nvSpPr>
        <xdr:cNvPr id="46" name="OpenSolver45">
          <a:extLst>
            <a:ext uri="{FF2B5EF4-FFF2-40B4-BE49-F238E27FC236}">
              <a16:creationId xmlns:a16="http://schemas.microsoft.com/office/drawing/2014/main" id="{D0A3D49F-0B6F-41FF-A686-1A65528AD5C5}"/>
            </a:ext>
          </a:extLst>
        </xdr:cNvPr>
        <xdr:cNvSpPr/>
      </xdr:nvSpPr>
      <xdr:spPr>
        <a:xfrm>
          <a:off x="38862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6</xdr:col>
      <xdr:colOff>15875</xdr:colOff>
      <xdr:row>1</xdr:row>
      <xdr:rowOff>12700</xdr:rowOff>
    </xdr:from>
    <xdr:to>
      <xdr:col>6</xdr:col>
      <xdr:colOff>68005</xdr:colOff>
      <xdr:row>1</xdr:row>
      <xdr:rowOff>127000</xdr:rowOff>
    </xdr:to>
    <xdr:sp macro="" textlink="">
      <xdr:nvSpPr>
        <xdr:cNvPr id="47" name="OpenSolver46">
          <a:extLst>
            <a:ext uri="{FF2B5EF4-FFF2-40B4-BE49-F238E27FC236}">
              <a16:creationId xmlns:a16="http://schemas.microsoft.com/office/drawing/2014/main" id="{5A71406D-86D8-42E6-AA65-8D3F21C0F9C9}"/>
            </a:ext>
          </a:extLst>
        </xdr:cNvPr>
        <xdr:cNvSpPr/>
      </xdr:nvSpPr>
      <xdr:spPr>
        <a:xfrm>
          <a:off x="45974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7</xdr:col>
      <xdr:colOff>12700</xdr:colOff>
      <xdr:row>1</xdr:row>
      <xdr:rowOff>12700</xdr:rowOff>
    </xdr:from>
    <xdr:to>
      <xdr:col>7</xdr:col>
      <xdr:colOff>64830</xdr:colOff>
      <xdr:row>1</xdr:row>
      <xdr:rowOff>127000</xdr:rowOff>
    </xdr:to>
    <xdr:sp macro="" textlink="">
      <xdr:nvSpPr>
        <xdr:cNvPr id="48" name="OpenSolver47">
          <a:extLst>
            <a:ext uri="{FF2B5EF4-FFF2-40B4-BE49-F238E27FC236}">
              <a16:creationId xmlns:a16="http://schemas.microsoft.com/office/drawing/2014/main" id="{28CE02C8-BEBC-4F8D-868D-7E8572BF4355}"/>
            </a:ext>
          </a:extLst>
        </xdr:cNvPr>
        <xdr:cNvSpPr/>
      </xdr:nvSpPr>
      <xdr:spPr>
        <a:xfrm>
          <a:off x="53086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8</xdr:col>
      <xdr:colOff>9525</xdr:colOff>
      <xdr:row>1</xdr:row>
      <xdr:rowOff>12700</xdr:rowOff>
    </xdr:from>
    <xdr:to>
      <xdr:col>8</xdr:col>
      <xdr:colOff>61655</xdr:colOff>
      <xdr:row>1</xdr:row>
      <xdr:rowOff>127000</xdr:rowOff>
    </xdr:to>
    <xdr:sp macro="" textlink="">
      <xdr:nvSpPr>
        <xdr:cNvPr id="49" name="OpenSolver48">
          <a:extLst>
            <a:ext uri="{FF2B5EF4-FFF2-40B4-BE49-F238E27FC236}">
              <a16:creationId xmlns:a16="http://schemas.microsoft.com/office/drawing/2014/main" id="{6F2A8337-C25B-49D2-800B-B18E47BF9EF6}"/>
            </a:ext>
          </a:extLst>
        </xdr:cNvPr>
        <xdr:cNvSpPr/>
      </xdr:nvSpPr>
      <xdr:spPr>
        <a:xfrm>
          <a:off x="60198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9</xdr:col>
      <xdr:colOff>6350</xdr:colOff>
      <xdr:row>1</xdr:row>
      <xdr:rowOff>12700</xdr:rowOff>
    </xdr:from>
    <xdr:to>
      <xdr:col>9</xdr:col>
      <xdr:colOff>58480</xdr:colOff>
      <xdr:row>1</xdr:row>
      <xdr:rowOff>127000</xdr:rowOff>
    </xdr:to>
    <xdr:sp macro="" textlink="">
      <xdr:nvSpPr>
        <xdr:cNvPr id="50" name="OpenSolver49">
          <a:extLst>
            <a:ext uri="{FF2B5EF4-FFF2-40B4-BE49-F238E27FC236}">
              <a16:creationId xmlns:a16="http://schemas.microsoft.com/office/drawing/2014/main" id="{6EE384E0-2B38-4E61-9C6C-BED91467C408}"/>
            </a:ext>
          </a:extLst>
        </xdr:cNvPr>
        <xdr:cNvSpPr/>
      </xdr:nvSpPr>
      <xdr:spPr>
        <a:xfrm>
          <a:off x="67310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10</xdr:col>
      <xdr:colOff>15875</xdr:colOff>
      <xdr:row>1</xdr:row>
      <xdr:rowOff>12700</xdr:rowOff>
    </xdr:from>
    <xdr:to>
      <xdr:col>10</xdr:col>
      <xdr:colOff>68005</xdr:colOff>
      <xdr:row>1</xdr:row>
      <xdr:rowOff>127000</xdr:rowOff>
    </xdr:to>
    <xdr:sp macro="" textlink="">
      <xdr:nvSpPr>
        <xdr:cNvPr id="51" name="OpenSolver50">
          <a:extLst>
            <a:ext uri="{FF2B5EF4-FFF2-40B4-BE49-F238E27FC236}">
              <a16:creationId xmlns:a16="http://schemas.microsoft.com/office/drawing/2014/main" id="{8F7266F7-14B4-40CA-889A-6C06F1691D40}"/>
            </a:ext>
          </a:extLst>
        </xdr:cNvPr>
        <xdr:cNvSpPr/>
      </xdr:nvSpPr>
      <xdr:spPr>
        <a:xfrm>
          <a:off x="74549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11</xdr:col>
      <xdr:colOff>12700</xdr:colOff>
      <xdr:row>1</xdr:row>
      <xdr:rowOff>12700</xdr:rowOff>
    </xdr:from>
    <xdr:to>
      <xdr:col>11</xdr:col>
      <xdr:colOff>64830</xdr:colOff>
      <xdr:row>1</xdr:row>
      <xdr:rowOff>127000</xdr:rowOff>
    </xdr:to>
    <xdr:sp macro="" textlink="">
      <xdr:nvSpPr>
        <xdr:cNvPr id="52" name="OpenSolver51">
          <a:extLst>
            <a:ext uri="{FF2B5EF4-FFF2-40B4-BE49-F238E27FC236}">
              <a16:creationId xmlns:a16="http://schemas.microsoft.com/office/drawing/2014/main" id="{BBCB946A-BE75-4CAD-BC9E-475C5BB52C6D}"/>
            </a:ext>
          </a:extLst>
        </xdr:cNvPr>
        <xdr:cNvSpPr/>
      </xdr:nvSpPr>
      <xdr:spPr>
        <a:xfrm>
          <a:off x="81661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12</xdr:col>
      <xdr:colOff>9525</xdr:colOff>
      <xdr:row>1</xdr:row>
      <xdr:rowOff>12700</xdr:rowOff>
    </xdr:from>
    <xdr:to>
      <xdr:col>12</xdr:col>
      <xdr:colOff>61655</xdr:colOff>
      <xdr:row>1</xdr:row>
      <xdr:rowOff>127000</xdr:rowOff>
    </xdr:to>
    <xdr:sp macro="" textlink="">
      <xdr:nvSpPr>
        <xdr:cNvPr id="53" name="OpenSolver52">
          <a:extLst>
            <a:ext uri="{FF2B5EF4-FFF2-40B4-BE49-F238E27FC236}">
              <a16:creationId xmlns:a16="http://schemas.microsoft.com/office/drawing/2014/main" id="{F7D83C33-CCDB-4C9C-9594-06425031BD3C}"/>
            </a:ext>
          </a:extLst>
        </xdr:cNvPr>
        <xdr:cNvSpPr/>
      </xdr:nvSpPr>
      <xdr:spPr>
        <a:xfrm>
          <a:off x="88773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13</xdr:col>
      <xdr:colOff>19050</xdr:colOff>
      <xdr:row>1</xdr:row>
      <xdr:rowOff>12700</xdr:rowOff>
    </xdr:from>
    <xdr:to>
      <xdr:col>13</xdr:col>
      <xdr:colOff>71180</xdr:colOff>
      <xdr:row>1</xdr:row>
      <xdr:rowOff>127000</xdr:rowOff>
    </xdr:to>
    <xdr:sp macro="" textlink="">
      <xdr:nvSpPr>
        <xdr:cNvPr id="54" name="OpenSolver53">
          <a:extLst>
            <a:ext uri="{FF2B5EF4-FFF2-40B4-BE49-F238E27FC236}">
              <a16:creationId xmlns:a16="http://schemas.microsoft.com/office/drawing/2014/main" id="{284585FA-7DD3-4668-AEFE-F51D7D4A627B}"/>
            </a:ext>
          </a:extLst>
        </xdr:cNvPr>
        <xdr:cNvSpPr/>
      </xdr:nvSpPr>
      <xdr:spPr>
        <a:xfrm>
          <a:off x="96012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14</xdr:col>
      <xdr:colOff>15875</xdr:colOff>
      <xdr:row>1</xdr:row>
      <xdr:rowOff>12700</xdr:rowOff>
    </xdr:from>
    <xdr:to>
      <xdr:col>14</xdr:col>
      <xdr:colOff>68005</xdr:colOff>
      <xdr:row>1</xdr:row>
      <xdr:rowOff>127000</xdr:rowOff>
    </xdr:to>
    <xdr:sp macro="" textlink="">
      <xdr:nvSpPr>
        <xdr:cNvPr id="55" name="OpenSolver54">
          <a:extLst>
            <a:ext uri="{FF2B5EF4-FFF2-40B4-BE49-F238E27FC236}">
              <a16:creationId xmlns:a16="http://schemas.microsoft.com/office/drawing/2014/main" id="{6C3F5C8B-E0DC-4080-8FCE-E5D230961293}"/>
            </a:ext>
          </a:extLst>
        </xdr:cNvPr>
        <xdr:cNvSpPr/>
      </xdr:nvSpPr>
      <xdr:spPr>
        <a:xfrm>
          <a:off x="103124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15</xdr:col>
      <xdr:colOff>12700</xdr:colOff>
      <xdr:row>1</xdr:row>
      <xdr:rowOff>12700</xdr:rowOff>
    </xdr:from>
    <xdr:to>
      <xdr:col>15</xdr:col>
      <xdr:colOff>64830</xdr:colOff>
      <xdr:row>1</xdr:row>
      <xdr:rowOff>127000</xdr:rowOff>
    </xdr:to>
    <xdr:sp macro="" textlink="">
      <xdr:nvSpPr>
        <xdr:cNvPr id="56" name="OpenSolver55">
          <a:extLst>
            <a:ext uri="{FF2B5EF4-FFF2-40B4-BE49-F238E27FC236}">
              <a16:creationId xmlns:a16="http://schemas.microsoft.com/office/drawing/2014/main" id="{35195C63-7A0E-4F53-B07D-FC20587A3637}"/>
            </a:ext>
          </a:extLst>
        </xdr:cNvPr>
        <xdr:cNvSpPr/>
      </xdr:nvSpPr>
      <xdr:spPr>
        <a:xfrm>
          <a:off x="110236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16</xdr:col>
      <xdr:colOff>9525</xdr:colOff>
      <xdr:row>1</xdr:row>
      <xdr:rowOff>12700</xdr:rowOff>
    </xdr:from>
    <xdr:to>
      <xdr:col>16</xdr:col>
      <xdr:colOff>61655</xdr:colOff>
      <xdr:row>1</xdr:row>
      <xdr:rowOff>127000</xdr:rowOff>
    </xdr:to>
    <xdr:sp macro="" textlink="">
      <xdr:nvSpPr>
        <xdr:cNvPr id="57" name="OpenSolver56">
          <a:extLst>
            <a:ext uri="{FF2B5EF4-FFF2-40B4-BE49-F238E27FC236}">
              <a16:creationId xmlns:a16="http://schemas.microsoft.com/office/drawing/2014/main" id="{4315E097-3622-4E78-9292-035B3635A228}"/>
            </a:ext>
          </a:extLst>
        </xdr:cNvPr>
        <xdr:cNvSpPr/>
      </xdr:nvSpPr>
      <xdr:spPr>
        <a:xfrm>
          <a:off x="117348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17</xdr:col>
      <xdr:colOff>6350</xdr:colOff>
      <xdr:row>1</xdr:row>
      <xdr:rowOff>12700</xdr:rowOff>
    </xdr:from>
    <xdr:to>
      <xdr:col>17</xdr:col>
      <xdr:colOff>58480</xdr:colOff>
      <xdr:row>1</xdr:row>
      <xdr:rowOff>127000</xdr:rowOff>
    </xdr:to>
    <xdr:sp macro="" textlink="">
      <xdr:nvSpPr>
        <xdr:cNvPr id="58" name="OpenSolver57">
          <a:extLst>
            <a:ext uri="{FF2B5EF4-FFF2-40B4-BE49-F238E27FC236}">
              <a16:creationId xmlns:a16="http://schemas.microsoft.com/office/drawing/2014/main" id="{2A023578-8D62-4890-9039-3B2D9A0B96FC}"/>
            </a:ext>
          </a:extLst>
        </xdr:cNvPr>
        <xdr:cNvSpPr/>
      </xdr:nvSpPr>
      <xdr:spPr>
        <a:xfrm>
          <a:off x="124460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18</xdr:col>
      <xdr:colOff>15875</xdr:colOff>
      <xdr:row>1</xdr:row>
      <xdr:rowOff>12700</xdr:rowOff>
    </xdr:from>
    <xdr:to>
      <xdr:col>18</xdr:col>
      <xdr:colOff>68005</xdr:colOff>
      <xdr:row>1</xdr:row>
      <xdr:rowOff>127000</xdr:rowOff>
    </xdr:to>
    <xdr:sp macro="" textlink="">
      <xdr:nvSpPr>
        <xdr:cNvPr id="59" name="OpenSolver58">
          <a:extLst>
            <a:ext uri="{FF2B5EF4-FFF2-40B4-BE49-F238E27FC236}">
              <a16:creationId xmlns:a16="http://schemas.microsoft.com/office/drawing/2014/main" id="{303E0CF3-E47B-42B6-8B55-C3B9CC96A9F1}"/>
            </a:ext>
          </a:extLst>
        </xdr:cNvPr>
        <xdr:cNvSpPr/>
      </xdr:nvSpPr>
      <xdr:spPr>
        <a:xfrm>
          <a:off x="131699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19</xdr:col>
      <xdr:colOff>12700</xdr:colOff>
      <xdr:row>1</xdr:row>
      <xdr:rowOff>12700</xdr:rowOff>
    </xdr:from>
    <xdr:to>
      <xdr:col>19</xdr:col>
      <xdr:colOff>64830</xdr:colOff>
      <xdr:row>1</xdr:row>
      <xdr:rowOff>127000</xdr:rowOff>
    </xdr:to>
    <xdr:sp macro="" textlink="">
      <xdr:nvSpPr>
        <xdr:cNvPr id="60" name="OpenSolver59">
          <a:extLst>
            <a:ext uri="{FF2B5EF4-FFF2-40B4-BE49-F238E27FC236}">
              <a16:creationId xmlns:a16="http://schemas.microsoft.com/office/drawing/2014/main" id="{7899D9BA-821C-4FCF-A9D4-9F3F3296CDD9}"/>
            </a:ext>
          </a:extLst>
        </xdr:cNvPr>
        <xdr:cNvSpPr/>
      </xdr:nvSpPr>
      <xdr:spPr>
        <a:xfrm>
          <a:off x="138811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22</xdr:col>
      <xdr:colOff>15875</xdr:colOff>
      <xdr:row>1</xdr:row>
      <xdr:rowOff>12700</xdr:rowOff>
    </xdr:from>
    <xdr:to>
      <xdr:col>22</xdr:col>
      <xdr:colOff>68005</xdr:colOff>
      <xdr:row>1</xdr:row>
      <xdr:rowOff>127000</xdr:rowOff>
    </xdr:to>
    <xdr:sp macro="" textlink="">
      <xdr:nvSpPr>
        <xdr:cNvPr id="61" name="OpenSolver60">
          <a:extLst>
            <a:ext uri="{FF2B5EF4-FFF2-40B4-BE49-F238E27FC236}">
              <a16:creationId xmlns:a16="http://schemas.microsoft.com/office/drawing/2014/main" id="{365376D3-3392-4AC1-8BE8-F145DF8416CB}"/>
            </a:ext>
          </a:extLst>
        </xdr:cNvPr>
        <xdr:cNvSpPr/>
      </xdr:nvSpPr>
      <xdr:spPr>
        <a:xfrm>
          <a:off x="160274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7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93D7DF46-31ED-409C-8FEB-85684CB44351}"/>
            </a:ext>
          </a:extLst>
        </xdr:cNvPr>
        <xdr:cNvSpPr/>
      </xdr:nvSpPr>
      <xdr:spPr>
        <a:xfrm>
          <a:off x="1704975" y="190500"/>
          <a:ext cx="3571875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CC8A464-C1F9-475A-B090-7C65C6424A32}"/>
            </a:ext>
          </a:extLst>
        </xdr:cNvPr>
        <xdr:cNvSpPr/>
      </xdr:nvSpPr>
      <xdr:spPr>
        <a:xfrm>
          <a:off x="5991225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704850</xdr:colOff>
      <xdr:row>2</xdr:row>
      <xdr:rowOff>114300</xdr:rowOff>
    </xdr:from>
    <xdr:to>
      <xdr:col>8</xdr:col>
      <xdr:colOff>239710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7FEBA7E8-B3D5-4AB0-90A4-8AB545D77C5D}"/>
            </a:ext>
          </a:extLst>
        </xdr:cNvPr>
        <xdr:cNvSpPr/>
      </xdr:nvSpPr>
      <xdr:spPr>
        <a:xfrm>
          <a:off x="59817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341BABEB-E2BD-4675-9E4A-C3D9F800690D}"/>
            </a:ext>
          </a:extLst>
        </xdr:cNvPr>
        <xdr:cNvSpPr/>
      </xdr:nvSpPr>
      <xdr:spPr>
        <a:xfrm>
          <a:off x="5991225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45AC7C49-7841-4965-A16A-8846BF45F70F}"/>
            </a:ext>
          </a:extLst>
        </xdr:cNvPr>
        <xdr:cNvSpPr/>
      </xdr:nvSpPr>
      <xdr:spPr>
        <a:xfrm>
          <a:off x="7419975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6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EA0D2DCF-A52E-4D46-B976-07064059D0C2}"/>
            </a:ext>
          </a:extLst>
        </xdr:cNvPr>
        <xdr:cNvCxnSpPr>
          <a:stCxn id="5" idx="3"/>
          <a:endCxn id="6" idx="1"/>
        </xdr:cNvCxnSpPr>
      </xdr:nvCxnSpPr>
      <xdr:spPr>
        <a:xfrm>
          <a:off x="6705600" y="114300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166688</xdr:colOff>
      <xdr:row>5</xdr:row>
      <xdr:rowOff>63500</xdr:rowOff>
    </xdr:from>
    <xdr:to>
      <xdr:col>9</xdr:col>
      <xdr:colOff>547688</xdr:colOff>
      <xdr:row>6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A7C98CFB-7F13-40B2-A63A-C3B4485779E9}"/>
            </a:ext>
          </a:extLst>
        </xdr:cNvPr>
        <xdr:cNvSpPr/>
      </xdr:nvSpPr>
      <xdr:spPr>
        <a:xfrm>
          <a:off x="6872288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9BACC3B4-E219-4867-9C91-C516BAA7A044}"/>
            </a:ext>
          </a:extLst>
        </xdr:cNvPr>
        <xdr:cNvSpPr/>
      </xdr:nvSpPr>
      <xdr:spPr>
        <a:xfrm>
          <a:off x="5991225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B25527F-BC06-434D-97BC-ABBEB11065C7}"/>
            </a:ext>
          </a:extLst>
        </xdr:cNvPr>
        <xdr:cNvSpPr/>
      </xdr:nvSpPr>
      <xdr:spPr>
        <a:xfrm>
          <a:off x="7419975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A90D7016-751F-46A4-B008-C42EDFAF971E}"/>
            </a:ext>
          </a:extLst>
        </xdr:cNvPr>
        <xdr:cNvCxnSpPr>
          <a:stCxn id="9" idx="3"/>
          <a:endCxn id="10" idx="1"/>
        </xdr:cNvCxnSpPr>
      </xdr:nvCxnSpPr>
      <xdr:spPr>
        <a:xfrm>
          <a:off x="6705600" y="1428750"/>
          <a:ext cx="7143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166688</xdr:colOff>
      <xdr:row>6</xdr:row>
      <xdr:rowOff>158750</xdr:rowOff>
    </xdr:from>
    <xdr:to>
      <xdr:col>9</xdr:col>
      <xdr:colOff>547688</xdr:colOff>
      <xdr:row>8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F4E4FF31-AE9A-4D58-8690-BEC8786F8A24}"/>
            </a:ext>
          </a:extLst>
        </xdr:cNvPr>
        <xdr:cNvSpPr/>
      </xdr:nvSpPr>
      <xdr:spPr>
        <a:xfrm>
          <a:off x="6872288" y="1301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7</xdr:col>
      <xdr:colOff>0</xdr:colOff>
      <xdr:row>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4B1FDC7F-FB71-4323-925E-6E657A5478E3}"/>
            </a:ext>
          </a:extLst>
        </xdr:cNvPr>
        <xdr:cNvSpPr/>
      </xdr:nvSpPr>
      <xdr:spPr>
        <a:xfrm>
          <a:off x="1717675" y="203200"/>
          <a:ext cx="3559175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7B29EB25-A3F4-4558-A654-554B3E7BBF6E}"/>
            </a:ext>
          </a:extLst>
        </xdr:cNvPr>
        <xdr:cNvSpPr/>
      </xdr:nvSpPr>
      <xdr:spPr>
        <a:xfrm>
          <a:off x="1704975" y="1714500"/>
          <a:ext cx="35718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4</xdr:col>
      <xdr:colOff>357188</xdr:colOff>
      <xdr:row>2</xdr:row>
      <xdr:rowOff>0</xdr:rowOff>
    </xdr:from>
    <xdr:to>
      <xdr:col>4</xdr:col>
      <xdr:colOff>363538</xdr:colOff>
      <xdr:row>9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24C3E006-A71A-43CC-959B-367D0A06D172}"/>
            </a:ext>
          </a:extLst>
        </xdr:cNvPr>
        <xdr:cNvCxnSpPr>
          <a:stCxn id="13" idx="2"/>
          <a:endCxn id="14" idx="0"/>
        </xdr:cNvCxnSpPr>
      </xdr:nvCxnSpPr>
      <xdr:spPr>
        <a:xfrm flipH="1">
          <a:off x="3490913" y="381000"/>
          <a:ext cx="6350" cy="1333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169863</xdr:colOff>
      <xdr:row>4</xdr:row>
      <xdr:rowOff>158750</xdr:rowOff>
    </xdr:from>
    <xdr:to>
      <xdr:col>4</xdr:col>
      <xdr:colOff>550863</xdr:colOff>
      <xdr:row>6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6F774C86-7224-4BD5-AAF2-8359FDD6EB82}"/>
            </a:ext>
          </a:extLst>
        </xdr:cNvPr>
        <xdr:cNvSpPr/>
      </xdr:nvSpPr>
      <xdr:spPr>
        <a:xfrm>
          <a:off x="3303588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7</xdr:col>
      <xdr:colOff>0</xdr:colOff>
      <xdr:row>2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BCAF8881-7D12-4A2C-B4AE-0DE89AEBA5C3}"/>
            </a:ext>
          </a:extLst>
        </xdr:cNvPr>
        <xdr:cNvSpPr/>
      </xdr:nvSpPr>
      <xdr:spPr>
        <a:xfrm>
          <a:off x="1730375" y="215900"/>
          <a:ext cx="3546475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2E53360E-8535-44C6-B5A0-2A6F6033540C}"/>
            </a:ext>
          </a:extLst>
        </xdr:cNvPr>
        <xdr:cNvSpPr/>
      </xdr:nvSpPr>
      <xdr:spPr>
        <a:xfrm>
          <a:off x="1704975" y="1905000"/>
          <a:ext cx="35718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4</xdr:col>
      <xdr:colOff>357188</xdr:colOff>
      <xdr:row>2</xdr:row>
      <xdr:rowOff>0</xdr:rowOff>
    </xdr:from>
    <xdr:to>
      <xdr:col>4</xdr:col>
      <xdr:colOff>369888</xdr:colOff>
      <xdr:row>10</xdr:row>
      <xdr:rowOff>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8B264A4A-2DF0-4618-8CE7-D9FB76AA37D7}"/>
            </a:ext>
          </a:extLst>
        </xdr:cNvPr>
        <xdr:cNvCxnSpPr>
          <a:stCxn id="17" idx="2"/>
          <a:endCxn id="18" idx="0"/>
        </xdr:cNvCxnSpPr>
      </xdr:nvCxnSpPr>
      <xdr:spPr>
        <a:xfrm flipH="1">
          <a:off x="3490913" y="381000"/>
          <a:ext cx="12700" cy="1524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173038</xdr:colOff>
      <xdr:row>5</xdr:row>
      <xdr:rowOff>63500</xdr:rowOff>
    </xdr:from>
    <xdr:to>
      <xdr:col>4</xdr:col>
      <xdr:colOff>554038</xdr:colOff>
      <xdr:row>6</xdr:row>
      <xdr:rowOff>127000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CB78E5C2-A1BB-4DC4-A86D-DC3A36099075}"/>
            </a:ext>
          </a:extLst>
        </xdr:cNvPr>
        <xdr:cNvSpPr/>
      </xdr:nvSpPr>
      <xdr:spPr>
        <a:xfrm>
          <a:off x="3306763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61C4BE7B-8BDF-4BCE-BF44-E005BB4B4789}"/>
            </a:ext>
          </a:extLst>
        </xdr:cNvPr>
        <xdr:cNvSpPr/>
      </xdr:nvSpPr>
      <xdr:spPr>
        <a:xfrm>
          <a:off x="1409700" y="190500"/>
          <a:ext cx="28575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C9E7ADEB-A1DF-46AC-BBD8-44424C95F772}"/>
            </a:ext>
          </a:extLst>
        </xdr:cNvPr>
        <xdr:cNvSpPr/>
      </xdr:nvSpPr>
      <xdr:spPr>
        <a:xfrm>
          <a:off x="4981575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698500</xdr:colOff>
      <xdr:row>2</xdr:row>
      <xdr:rowOff>114300</xdr:rowOff>
    </xdr:from>
    <xdr:to>
      <xdr:col>7</xdr:col>
      <xdr:colOff>233360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AECDDEEA-8DDD-400F-9022-F0090A169F21}"/>
            </a:ext>
          </a:extLst>
        </xdr:cNvPr>
        <xdr:cNvSpPr/>
      </xdr:nvSpPr>
      <xdr:spPr>
        <a:xfrm>
          <a:off x="49657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885C5175-513A-4054-A94E-D7773EA979AB}"/>
            </a:ext>
          </a:extLst>
        </xdr:cNvPr>
        <xdr:cNvSpPr/>
      </xdr:nvSpPr>
      <xdr:spPr>
        <a:xfrm>
          <a:off x="4981575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FAA3549A-1061-4B23-BB30-1C948F07C0E9}"/>
            </a:ext>
          </a:extLst>
        </xdr:cNvPr>
        <xdr:cNvSpPr/>
      </xdr:nvSpPr>
      <xdr:spPr>
        <a:xfrm>
          <a:off x="6410325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6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699B8F66-BE75-4299-A86C-7930DEDEFA3F}"/>
            </a:ext>
          </a:extLst>
        </xdr:cNvPr>
        <xdr:cNvCxnSpPr>
          <a:stCxn id="5" idx="3"/>
          <a:endCxn id="6" idx="1"/>
        </xdr:cNvCxnSpPr>
      </xdr:nvCxnSpPr>
      <xdr:spPr>
        <a:xfrm>
          <a:off x="5695950" y="114300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5</xdr:row>
      <xdr:rowOff>63500</xdr:rowOff>
    </xdr:from>
    <xdr:to>
      <xdr:col>8</xdr:col>
      <xdr:colOff>547688</xdr:colOff>
      <xdr:row>6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DE9E7A25-50D8-4F1C-9481-F00555935058}"/>
            </a:ext>
          </a:extLst>
        </xdr:cNvPr>
        <xdr:cNvSpPr/>
      </xdr:nvSpPr>
      <xdr:spPr>
        <a:xfrm>
          <a:off x="5862638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B16B6504-D2B3-4014-A8AC-F218E97DCAE7}"/>
            </a:ext>
          </a:extLst>
        </xdr:cNvPr>
        <xdr:cNvSpPr/>
      </xdr:nvSpPr>
      <xdr:spPr>
        <a:xfrm>
          <a:off x="4981575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CD26263D-8756-49A3-B154-7926DB2E09B2}"/>
            </a:ext>
          </a:extLst>
        </xdr:cNvPr>
        <xdr:cNvSpPr/>
      </xdr:nvSpPr>
      <xdr:spPr>
        <a:xfrm>
          <a:off x="6410325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CA60FC43-0AD1-4D14-9FCA-4129E8542EDA}"/>
            </a:ext>
          </a:extLst>
        </xdr:cNvPr>
        <xdr:cNvCxnSpPr>
          <a:stCxn id="9" idx="3"/>
          <a:endCxn id="10" idx="1"/>
        </xdr:cNvCxnSpPr>
      </xdr:nvCxnSpPr>
      <xdr:spPr>
        <a:xfrm>
          <a:off x="5695950" y="1428750"/>
          <a:ext cx="7143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6</xdr:row>
      <xdr:rowOff>158750</xdr:rowOff>
    </xdr:from>
    <xdr:to>
      <xdr:col>8</xdr:col>
      <xdr:colOff>547688</xdr:colOff>
      <xdr:row>8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22ECBCB3-773C-4F43-ADF3-11C00B415BC1}"/>
            </a:ext>
          </a:extLst>
        </xdr:cNvPr>
        <xdr:cNvSpPr/>
      </xdr:nvSpPr>
      <xdr:spPr>
        <a:xfrm>
          <a:off x="5862638" y="1301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6</xdr:col>
      <xdr:colOff>0</xdr:colOff>
      <xdr:row>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1C5F6AFF-C532-4B82-A6DB-9B9EEF57C011}"/>
            </a:ext>
          </a:extLst>
        </xdr:cNvPr>
        <xdr:cNvSpPr/>
      </xdr:nvSpPr>
      <xdr:spPr>
        <a:xfrm>
          <a:off x="1422400" y="203200"/>
          <a:ext cx="28448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83D5361D-8E73-4FF6-918F-D9FCE8383D40}"/>
            </a:ext>
          </a:extLst>
        </xdr:cNvPr>
        <xdr:cNvSpPr/>
      </xdr:nvSpPr>
      <xdr:spPr>
        <a:xfrm>
          <a:off x="1409700" y="1714500"/>
          <a:ext cx="28575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6350</xdr:colOff>
      <xdr:row>9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EB4BF424-0D3B-4F08-A5AD-8C29E81CD396}"/>
            </a:ext>
          </a:extLst>
        </xdr:cNvPr>
        <xdr:cNvCxnSpPr>
          <a:stCxn id="13" idx="2"/>
          <a:endCxn id="14" idx="0"/>
        </xdr:cNvCxnSpPr>
      </xdr:nvCxnSpPr>
      <xdr:spPr>
        <a:xfrm flipH="1">
          <a:off x="2838450" y="381000"/>
          <a:ext cx="6350" cy="1333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4</xdr:row>
      <xdr:rowOff>158750</xdr:rowOff>
    </xdr:from>
    <xdr:to>
      <xdr:col>4</xdr:col>
      <xdr:colOff>193675</xdr:colOff>
      <xdr:row>6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2504A419-CECF-44B2-A63F-E7200B299081}"/>
            </a:ext>
          </a:extLst>
        </xdr:cNvPr>
        <xdr:cNvSpPr/>
      </xdr:nvSpPr>
      <xdr:spPr>
        <a:xfrm>
          <a:off x="2651125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6</xdr:col>
      <xdr:colOff>0</xdr:colOff>
      <xdr:row>2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96D0DAF8-3DAD-4470-9E93-F60760212613}"/>
            </a:ext>
          </a:extLst>
        </xdr:cNvPr>
        <xdr:cNvSpPr/>
      </xdr:nvSpPr>
      <xdr:spPr>
        <a:xfrm>
          <a:off x="1435100" y="215900"/>
          <a:ext cx="283210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5FA38BF5-4AF6-4555-9F69-998B7C3D940A}"/>
            </a:ext>
          </a:extLst>
        </xdr:cNvPr>
        <xdr:cNvSpPr/>
      </xdr:nvSpPr>
      <xdr:spPr>
        <a:xfrm>
          <a:off x="1409700" y="1905000"/>
          <a:ext cx="28575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12700</xdr:colOff>
      <xdr:row>10</xdr:row>
      <xdr:rowOff>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C515FA48-F70C-418F-975F-D0D367E1EC6F}"/>
            </a:ext>
          </a:extLst>
        </xdr:cNvPr>
        <xdr:cNvCxnSpPr>
          <a:stCxn id="17" idx="2"/>
          <a:endCxn id="18" idx="0"/>
        </xdr:cNvCxnSpPr>
      </xdr:nvCxnSpPr>
      <xdr:spPr>
        <a:xfrm flipH="1">
          <a:off x="2838450" y="381000"/>
          <a:ext cx="12700" cy="1524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530225</xdr:colOff>
      <xdr:row>5</xdr:row>
      <xdr:rowOff>63500</xdr:rowOff>
    </xdr:from>
    <xdr:to>
      <xdr:col>4</xdr:col>
      <xdr:colOff>196850</xdr:colOff>
      <xdr:row>6</xdr:row>
      <xdr:rowOff>127000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CED8C764-EA7E-445F-9C10-ABD918F543BA}"/>
            </a:ext>
          </a:extLst>
        </xdr:cNvPr>
        <xdr:cNvSpPr/>
      </xdr:nvSpPr>
      <xdr:spPr>
        <a:xfrm>
          <a:off x="2654300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15875</xdr:colOff>
      <xdr:row>1</xdr:row>
      <xdr:rowOff>12700</xdr:rowOff>
    </xdr:from>
    <xdr:to>
      <xdr:col>5</xdr:col>
      <xdr:colOff>68005</xdr:colOff>
      <xdr:row>1</xdr:row>
      <xdr:rowOff>127000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D3D25DA1-39A2-4BC6-935B-B39128ABC7E4}"/>
            </a:ext>
          </a:extLst>
        </xdr:cNvPr>
        <xdr:cNvSpPr/>
      </xdr:nvSpPr>
      <xdr:spPr>
        <a:xfrm>
          <a:off x="35687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4952EFF0-A804-483E-B7E8-87E754E1A92B}"/>
            </a:ext>
          </a:extLst>
        </xdr:cNvPr>
        <xdr:cNvSpPr/>
      </xdr:nvSpPr>
      <xdr:spPr>
        <a:xfrm>
          <a:off x="1381125" y="190500"/>
          <a:ext cx="28575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4A63F886-06BB-4945-8781-61FBF4FA2B2C}"/>
            </a:ext>
          </a:extLst>
        </xdr:cNvPr>
        <xdr:cNvSpPr/>
      </xdr:nvSpPr>
      <xdr:spPr>
        <a:xfrm>
          <a:off x="4953000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701675</xdr:colOff>
      <xdr:row>2</xdr:row>
      <xdr:rowOff>114300</xdr:rowOff>
    </xdr:from>
    <xdr:to>
      <xdr:col>7</xdr:col>
      <xdr:colOff>218389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D148E3D5-B632-45C1-AC4C-BA7A1D3B3B1C}"/>
            </a:ext>
          </a:extLst>
        </xdr:cNvPr>
        <xdr:cNvSpPr/>
      </xdr:nvSpPr>
      <xdr:spPr>
        <a:xfrm>
          <a:off x="4940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DCB963E9-A4C3-4CE2-A952-847E51A7D30C}"/>
            </a:ext>
          </a:extLst>
        </xdr:cNvPr>
        <xdr:cNvSpPr/>
      </xdr:nvSpPr>
      <xdr:spPr>
        <a:xfrm>
          <a:off x="4953000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4D44433C-F36C-4CDD-BC6A-E6B4D3F07A9F}"/>
            </a:ext>
          </a:extLst>
        </xdr:cNvPr>
        <xdr:cNvSpPr/>
      </xdr:nvSpPr>
      <xdr:spPr>
        <a:xfrm>
          <a:off x="6381750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6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446A0092-4D0B-4850-8DBE-C9C5DFC7CA39}"/>
            </a:ext>
          </a:extLst>
        </xdr:cNvPr>
        <xdr:cNvCxnSpPr>
          <a:stCxn id="5" idx="3"/>
          <a:endCxn id="6" idx="1"/>
        </xdr:cNvCxnSpPr>
      </xdr:nvCxnSpPr>
      <xdr:spPr>
        <a:xfrm>
          <a:off x="5667375" y="114300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5</xdr:row>
      <xdr:rowOff>63500</xdr:rowOff>
    </xdr:from>
    <xdr:to>
      <xdr:col>8</xdr:col>
      <xdr:colOff>547688</xdr:colOff>
      <xdr:row>6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F97BAA3C-4EA7-4AE3-8F63-46470FEDC1F5}"/>
            </a:ext>
          </a:extLst>
        </xdr:cNvPr>
        <xdr:cNvSpPr/>
      </xdr:nvSpPr>
      <xdr:spPr>
        <a:xfrm>
          <a:off x="5834063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ACB5117A-BB85-4A30-A6C6-83135CAFEB25}"/>
            </a:ext>
          </a:extLst>
        </xdr:cNvPr>
        <xdr:cNvSpPr/>
      </xdr:nvSpPr>
      <xdr:spPr>
        <a:xfrm>
          <a:off x="4953000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3F1CED25-1037-493E-8D84-3CCD9753F13B}"/>
            </a:ext>
          </a:extLst>
        </xdr:cNvPr>
        <xdr:cNvSpPr/>
      </xdr:nvSpPr>
      <xdr:spPr>
        <a:xfrm>
          <a:off x="6381750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68EA5FE5-FEB1-48D8-8D34-237C4E261829}"/>
            </a:ext>
          </a:extLst>
        </xdr:cNvPr>
        <xdr:cNvCxnSpPr>
          <a:stCxn id="9" idx="3"/>
          <a:endCxn id="10" idx="1"/>
        </xdr:cNvCxnSpPr>
      </xdr:nvCxnSpPr>
      <xdr:spPr>
        <a:xfrm>
          <a:off x="5667375" y="1428750"/>
          <a:ext cx="7143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6</xdr:row>
      <xdr:rowOff>158750</xdr:rowOff>
    </xdr:from>
    <xdr:to>
      <xdr:col>8</xdr:col>
      <xdr:colOff>547688</xdr:colOff>
      <xdr:row>8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692F7618-FD9C-4E6E-82F5-2CB18979DD51}"/>
            </a:ext>
          </a:extLst>
        </xdr:cNvPr>
        <xdr:cNvSpPr/>
      </xdr:nvSpPr>
      <xdr:spPr>
        <a:xfrm>
          <a:off x="5834063" y="1301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EF9C6F40-D4E5-4683-ADC7-4351458EC8D7}"/>
            </a:ext>
          </a:extLst>
        </xdr:cNvPr>
        <xdr:cNvSpPr/>
      </xdr:nvSpPr>
      <xdr:spPr>
        <a:xfrm>
          <a:off x="4953000" y="1524000"/>
          <a:ext cx="714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67A07506-4A1C-4AF1-ABDA-F34AC3D83CEF}"/>
            </a:ext>
          </a:extLst>
        </xdr:cNvPr>
        <xdr:cNvSpPr/>
      </xdr:nvSpPr>
      <xdr:spPr>
        <a:xfrm>
          <a:off x="6381750" y="1524000"/>
          <a:ext cx="714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3B2A104B-7A6B-43B5-9E57-92F0D47DF6FA}"/>
            </a:ext>
          </a:extLst>
        </xdr:cNvPr>
        <xdr:cNvCxnSpPr>
          <a:stCxn id="13" idx="3"/>
          <a:endCxn id="14" idx="1"/>
        </xdr:cNvCxnSpPr>
      </xdr:nvCxnSpPr>
      <xdr:spPr>
        <a:xfrm>
          <a:off x="5667375" y="1619250"/>
          <a:ext cx="71437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7</xdr:row>
      <xdr:rowOff>158750</xdr:rowOff>
    </xdr:from>
    <xdr:to>
      <xdr:col>8</xdr:col>
      <xdr:colOff>547688</xdr:colOff>
      <xdr:row>9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130045BC-8ACB-4B2B-8FE9-A6CA3FC79819}"/>
            </a:ext>
          </a:extLst>
        </xdr:cNvPr>
        <xdr:cNvSpPr/>
      </xdr:nvSpPr>
      <xdr:spPr>
        <a:xfrm>
          <a:off x="5834063" y="1492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6</xdr:col>
      <xdr:colOff>0</xdr:colOff>
      <xdr:row>2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B641E7CE-8F46-4511-AA12-31FBD844CA07}"/>
            </a:ext>
          </a:extLst>
        </xdr:cNvPr>
        <xdr:cNvSpPr/>
      </xdr:nvSpPr>
      <xdr:spPr>
        <a:xfrm>
          <a:off x="1393825" y="203200"/>
          <a:ext cx="284480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FCD5340E-5F3E-408A-89B5-D0ED822F05F7}"/>
            </a:ext>
          </a:extLst>
        </xdr:cNvPr>
        <xdr:cNvSpPr/>
      </xdr:nvSpPr>
      <xdr:spPr>
        <a:xfrm>
          <a:off x="1381125" y="1905000"/>
          <a:ext cx="28575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6350</xdr:colOff>
      <xdr:row>10</xdr:row>
      <xdr:rowOff>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ECA413DE-19A9-420A-B461-0C8383006B6A}"/>
            </a:ext>
          </a:extLst>
        </xdr:cNvPr>
        <xdr:cNvCxnSpPr>
          <a:stCxn id="17" idx="2"/>
          <a:endCxn id="18" idx="0"/>
        </xdr:cNvCxnSpPr>
      </xdr:nvCxnSpPr>
      <xdr:spPr>
        <a:xfrm flipH="1">
          <a:off x="2809875" y="381000"/>
          <a:ext cx="6350" cy="1524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5</xdr:row>
      <xdr:rowOff>63500</xdr:rowOff>
    </xdr:from>
    <xdr:to>
      <xdr:col>4</xdr:col>
      <xdr:colOff>193675</xdr:colOff>
      <xdr:row>6</xdr:row>
      <xdr:rowOff>127000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A2ADD8F2-790F-4A53-9A7B-C178F5D580BF}"/>
            </a:ext>
          </a:extLst>
        </xdr:cNvPr>
        <xdr:cNvSpPr/>
      </xdr:nvSpPr>
      <xdr:spPr>
        <a:xfrm>
          <a:off x="2622550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6</xdr:col>
      <xdr:colOff>0</xdr:colOff>
      <xdr:row>2</xdr:row>
      <xdr:rowOff>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BAE630DA-58B8-4EBB-96F3-F4A66CC2D9BA}"/>
            </a:ext>
          </a:extLst>
        </xdr:cNvPr>
        <xdr:cNvSpPr/>
      </xdr:nvSpPr>
      <xdr:spPr>
        <a:xfrm>
          <a:off x="1406525" y="215900"/>
          <a:ext cx="283210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6</xdr:col>
      <xdr:colOff>0</xdr:colOff>
      <xdr:row>12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F05B12E5-02F2-4172-AF92-A5BB1B089495}"/>
            </a:ext>
          </a:extLst>
        </xdr:cNvPr>
        <xdr:cNvSpPr/>
      </xdr:nvSpPr>
      <xdr:spPr>
        <a:xfrm>
          <a:off x="1381125" y="2095500"/>
          <a:ext cx="28575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12700</xdr:colOff>
      <xdr:row>11</xdr:row>
      <xdr:rowOff>0</xdr:rowOff>
    </xdr:to>
    <xdr:cxnSp macro="">
      <xdr:nvCxnSpPr>
        <xdr:cNvPr id="23" name="OpenSolver22">
          <a:extLst>
            <a:ext uri="{FF2B5EF4-FFF2-40B4-BE49-F238E27FC236}">
              <a16:creationId xmlns:a16="http://schemas.microsoft.com/office/drawing/2014/main" id="{B871D632-5966-4011-9114-F5523122D1B2}"/>
            </a:ext>
          </a:extLst>
        </xdr:cNvPr>
        <xdr:cNvCxnSpPr>
          <a:stCxn id="21" idx="2"/>
          <a:endCxn id="22" idx="0"/>
        </xdr:cNvCxnSpPr>
      </xdr:nvCxnSpPr>
      <xdr:spPr>
        <a:xfrm flipH="1">
          <a:off x="2809875" y="381000"/>
          <a:ext cx="12700" cy="1714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530225</xdr:colOff>
      <xdr:row>5</xdr:row>
      <xdr:rowOff>158750</xdr:rowOff>
    </xdr:from>
    <xdr:to>
      <xdr:col>4</xdr:col>
      <xdr:colOff>196850</xdr:colOff>
      <xdr:row>7</xdr:row>
      <xdr:rowOff>31750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A841C657-0E52-4C62-B83B-F6D794E077F4}"/>
            </a:ext>
          </a:extLst>
        </xdr:cNvPr>
        <xdr:cNvSpPr/>
      </xdr:nvSpPr>
      <xdr:spPr>
        <a:xfrm>
          <a:off x="2625725" y="1111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12700</xdr:colOff>
      <xdr:row>1</xdr:row>
      <xdr:rowOff>12700</xdr:rowOff>
    </xdr:from>
    <xdr:to>
      <xdr:col>3</xdr:col>
      <xdr:colOff>99006</xdr:colOff>
      <xdr:row>1</xdr:row>
      <xdr:rowOff>127000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F13004B-7C51-413C-B96F-959CE72943B5}"/>
            </a:ext>
          </a:extLst>
        </xdr:cNvPr>
        <xdr:cNvSpPr/>
      </xdr:nvSpPr>
      <xdr:spPr>
        <a:xfrm>
          <a:off x="2108200" y="203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1</xdr:row>
      <xdr:rowOff>12700</xdr:rowOff>
    </xdr:from>
    <xdr:to>
      <xdr:col>4</xdr:col>
      <xdr:colOff>61655</xdr:colOff>
      <xdr:row>1</xdr:row>
      <xdr:rowOff>127000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C503589-A733-4FA3-9264-F724DF128FA4}"/>
            </a:ext>
          </a:extLst>
        </xdr:cNvPr>
        <xdr:cNvSpPr/>
      </xdr:nvSpPr>
      <xdr:spPr>
        <a:xfrm>
          <a:off x="28194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4C8160B8-ED08-4FF2-802F-119387C015DA}"/>
            </a:ext>
          </a:extLst>
        </xdr:cNvPr>
        <xdr:cNvSpPr/>
      </xdr:nvSpPr>
      <xdr:spPr>
        <a:xfrm>
          <a:off x="1362075" y="190500"/>
          <a:ext cx="142875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A716D402-76A8-4087-A58F-670F611ADD90}"/>
            </a:ext>
          </a:extLst>
        </xdr:cNvPr>
        <xdr:cNvSpPr/>
      </xdr:nvSpPr>
      <xdr:spPr>
        <a:xfrm>
          <a:off x="3505200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701675</xdr:colOff>
      <xdr:row>2</xdr:row>
      <xdr:rowOff>114300</xdr:rowOff>
    </xdr:from>
    <xdr:to>
      <xdr:col>5</xdr:col>
      <xdr:colOff>236535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A59848E3-406F-400F-9F11-4C7EA1FAD514}"/>
            </a:ext>
          </a:extLst>
        </xdr:cNvPr>
        <xdr:cNvSpPr/>
      </xdr:nvSpPr>
      <xdr:spPr>
        <a:xfrm>
          <a:off x="34925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5E0DEB37-FC8B-4E8D-9B86-C5D1A3249E45}"/>
            </a:ext>
          </a:extLst>
        </xdr:cNvPr>
        <xdr:cNvSpPr/>
      </xdr:nvSpPr>
      <xdr:spPr>
        <a:xfrm>
          <a:off x="3505200" y="952500"/>
          <a:ext cx="7143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259C630A-1E44-4450-8B5D-4F6304734D68}"/>
            </a:ext>
          </a:extLst>
        </xdr:cNvPr>
        <xdr:cNvSpPr/>
      </xdr:nvSpPr>
      <xdr:spPr>
        <a:xfrm>
          <a:off x="4933950" y="952500"/>
          <a:ext cx="7143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5</xdr:row>
      <xdr:rowOff>95250</xdr:rowOff>
    </xdr:from>
    <xdr:to>
      <xdr:col>7</xdr:col>
      <xdr:colOff>0</xdr:colOff>
      <xdr:row>5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A98DD3EC-CB3B-4CAF-9658-8E53D5C4EC95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104775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166688</xdr:colOff>
      <xdr:row>4</xdr:row>
      <xdr:rowOff>158750</xdr:rowOff>
    </xdr:from>
    <xdr:to>
      <xdr:col>6</xdr:col>
      <xdr:colOff>547688</xdr:colOff>
      <xdr:row>6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71AAE511-FCBC-411E-BBB8-78CCEF19C906}"/>
            </a:ext>
          </a:extLst>
        </xdr:cNvPr>
        <xdr:cNvSpPr/>
      </xdr:nvSpPr>
      <xdr:spPr>
        <a:xfrm>
          <a:off x="4386263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997BBEA-D602-4C37-9B3C-DF3234F28413}"/>
            </a:ext>
          </a:extLst>
        </xdr:cNvPr>
        <xdr:cNvSpPr/>
      </xdr:nvSpPr>
      <xdr:spPr>
        <a:xfrm>
          <a:off x="3505200" y="11430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C3B02BAA-8FC9-4E01-B719-2F90288DEE29}"/>
            </a:ext>
          </a:extLst>
        </xdr:cNvPr>
        <xdr:cNvSpPr/>
      </xdr:nvSpPr>
      <xdr:spPr>
        <a:xfrm>
          <a:off x="4933950" y="11430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6</xdr:row>
      <xdr:rowOff>95250</xdr:rowOff>
    </xdr:from>
    <xdr:to>
      <xdr:col>7</xdr:col>
      <xdr:colOff>0</xdr:colOff>
      <xdr:row>6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E1E237F7-0B1F-4D82-9256-86DB99ECB8C0}"/>
            </a:ext>
          </a:extLst>
        </xdr:cNvPr>
        <xdr:cNvCxnSpPr>
          <a:stCxn id="9" idx="3"/>
          <a:endCxn id="10" idx="1"/>
        </xdr:cNvCxnSpPr>
      </xdr:nvCxnSpPr>
      <xdr:spPr>
        <a:xfrm>
          <a:off x="4219575" y="1238250"/>
          <a:ext cx="7143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166688</xdr:colOff>
      <xdr:row>5</xdr:row>
      <xdr:rowOff>158750</xdr:rowOff>
    </xdr:from>
    <xdr:to>
      <xdr:col>6</xdr:col>
      <xdr:colOff>547688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84C07909-749F-477F-AEDD-931918657C7B}"/>
            </a:ext>
          </a:extLst>
        </xdr:cNvPr>
        <xdr:cNvSpPr/>
      </xdr:nvSpPr>
      <xdr:spPr>
        <a:xfrm>
          <a:off x="4386263" y="1111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4</xdr:col>
      <xdr:colOff>0</xdr:colOff>
      <xdr:row>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E90C9069-E5DE-4125-A2D8-39C8EF28C6AD}"/>
            </a:ext>
          </a:extLst>
        </xdr:cNvPr>
        <xdr:cNvSpPr/>
      </xdr:nvSpPr>
      <xdr:spPr>
        <a:xfrm>
          <a:off x="1374775" y="203200"/>
          <a:ext cx="14160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69548B45-BAAF-4F13-8483-69A2875D77F2}"/>
            </a:ext>
          </a:extLst>
        </xdr:cNvPr>
        <xdr:cNvSpPr/>
      </xdr:nvSpPr>
      <xdr:spPr>
        <a:xfrm>
          <a:off x="1362075" y="1524000"/>
          <a:ext cx="14287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6350</xdr:colOff>
      <xdr:row>8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61325F59-0AB1-41E6-A2C3-3954FDF1EB81}"/>
            </a:ext>
          </a:extLst>
        </xdr:cNvPr>
        <xdr:cNvCxnSpPr>
          <a:stCxn id="13" idx="2"/>
          <a:endCxn id="14" idx="0"/>
        </xdr:cNvCxnSpPr>
      </xdr:nvCxnSpPr>
      <xdr:spPr>
        <a:xfrm flipH="1">
          <a:off x="2076450" y="381000"/>
          <a:ext cx="6350" cy="1143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527050</xdr:colOff>
      <xdr:row>4</xdr:row>
      <xdr:rowOff>63500</xdr:rowOff>
    </xdr:from>
    <xdr:to>
      <xdr:col>3</xdr:col>
      <xdr:colOff>193675</xdr:colOff>
      <xdr:row>5</xdr:row>
      <xdr:rowOff>127000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DA16F641-CC6D-4887-9F26-8822640C74F3}"/>
            </a:ext>
          </a:extLst>
        </xdr:cNvPr>
        <xdr:cNvSpPr/>
      </xdr:nvSpPr>
      <xdr:spPr>
        <a:xfrm>
          <a:off x="1889125" y="825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4</xdr:col>
      <xdr:colOff>0</xdr:colOff>
      <xdr:row>2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70E5590B-BD95-4DF4-AB94-C0DB2F699846}"/>
            </a:ext>
          </a:extLst>
        </xdr:cNvPr>
        <xdr:cNvSpPr/>
      </xdr:nvSpPr>
      <xdr:spPr>
        <a:xfrm>
          <a:off x="1387475" y="215900"/>
          <a:ext cx="14033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DB6F4A7C-C832-4DB3-B72B-5DF9EEDF46E2}"/>
            </a:ext>
          </a:extLst>
        </xdr:cNvPr>
        <xdr:cNvSpPr/>
      </xdr:nvSpPr>
      <xdr:spPr>
        <a:xfrm>
          <a:off x="1362075" y="1714500"/>
          <a:ext cx="14287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12700</xdr:colOff>
      <xdr:row>9</xdr:row>
      <xdr:rowOff>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43DE6A4A-BDDA-4B2E-95D9-53053079881D}"/>
            </a:ext>
          </a:extLst>
        </xdr:cNvPr>
        <xdr:cNvCxnSpPr>
          <a:stCxn id="17" idx="2"/>
          <a:endCxn id="18" idx="0"/>
        </xdr:cNvCxnSpPr>
      </xdr:nvCxnSpPr>
      <xdr:spPr>
        <a:xfrm flipH="1">
          <a:off x="2076450" y="381000"/>
          <a:ext cx="12700" cy="1333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530225</xdr:colOff>
      <xdr:row>4</xdr:row>
      <xdr:rowOff>158750</xdr:rowOff>
    </xdr:from>
    <xdr:to>
      <xdr:col>3</xdr:col>
      <xdr:colOff>196850</xdr:colOff>
      <xdr:row>6</xdr:row>
      <xdr:rowOff>31750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7F420A1C-12C1-46FD-AEE7-3D5745010F72}"/>
            </a:ext>
          </a:extLst>
        </xdr:cNvPr>
        <xdr:cNvSpPr/>
      </xdr:nvSpPr>
      <xdr:spPr>
        <a:xfrm>
          <a:off x="1892300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9525</xdr:colOff>
      <xdr:row>1</xdr:row>
      <xdr:rowOff>12700</xdr:rowOff>
    </xdr:from>
    <xdr:to>
      <xdr:col>2</xdr:col>
      <xdr:colOff>61655</xdr:colOff>
      <xdr:row>1</xdr:row>
      <xdr:rowOff>127000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651695D5-44B5-4931-8D74-49B16E47DE41}"/>
            </a:ext>
          </a:extLst>
        </xdr:cNvPr>
        <xdr:cNvSpPr/>
      </xdr:nvSpPr>
      <xdr:spPr>
        <a:xfrm>
          <a:off x="13716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6350</xdr:colOff>
      <xdr:row>1</xdr:row>
      <xdr:rowOff>12700</xdr:rowOff>
    </xdr:from>
    <xdr:to>
      <xdr:col>3</xdr:col>
      <xdr:colOff>58480</xdr:colOff>
      <xdr:row>1</xdr:row>
      <xdr:rowOff>127000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DEAA1704-F677-4294-A802-7B2481B428DC}"/>
            </a:ext>
          </a:extLst>
        </xdr:cNvPr>
        <xdr:cNvSpPr/>
      </xdr:nvSpPr>
      <xdr:spPr>
        <a:xfrm>
          <a:off x="20828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1469CB6B-1AF1-4DAC-B248-01B4286930D0}"/>
            </a:ext>
          </a:extLst>
        </xdr:cNvPr>
        <xdr:cNvSpPr/>
      </xdr:nvSpPr>
      <xdr:spPr>
        <a:xfrm>
          <a:off x="1362075" y="190500"/>
          <a:ext cx="28575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4B2852C7-4EC3-4ADA-A050-49D5903C99D4}"/>
            </a:ext>
          </a:extLst>
        </xdr:cNvPr>
        <xdr:cNvSpPr/>
      </xdr:nvSpPr>
      <xdr:spPr>
        <a:xfrm>
          <a:off x="4933950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708025</xdr:colOff>
      <xdr:row>2</xdr:row>
      <xdr:rowOff>114300</xdr:rowOff>
    </xdr:from>
    <xdr:to>
      <xdr:col>7</xdr:col>
      <xdr:colOff>242885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729AA9F1-A3C9-4973-9F81-1C1915C8DF7C}"/>
            </a:ext>
          </a:extLst>
        </xdr:cNvPr>
        <xdr:cNvSpPr/>
      </xdr:nvSpPr>
      <xdr:spPr>
        <a:xfrm>
          <a:off x="49276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64F5B6CC-3458-4E4F-B68F-C7176D0105B2}"/>
            </a:ext>
          </a:extLst>
        </xdr:cNvPr>
        <xdr:cNvSpPr/>
      </xdr:nvSpPr>
      <xdr:spPr>
        <a:xfrm>
          <a:off x="4933950" y="952500"/>
          <a:ext cx="7143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E0E5773B-42E7-4363-B3DD-DBE6A3D4C283}"/>
            </a:ext>
          </a:extLst>
        </xdr:cNvPr>
        <xdr:cNvSpPr/>
      </xdr:nvSpPr>
      <xdr:spPr>
        <a:xfrm>
          <a:off x="6362700" y="952500"/>
          <a:ext cx="7143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5</xdr:row>
      <xdr:rowOff>95250</xdr:rowOff>
    </xdr:from>
    <xdr:to>
      <xdr:col>9</xdr:col>
      <xdr:colOff>0</xdr:colOff>
      <xdr:row>5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DB5C0B02-51C8-43E2-9536-CC1F7A72A0BC}"/>
            </a:ext>
          </a:extLst>
        </xdr:cNvPr>
        <xdr:cNvCxnSpPr>
          <a:stCxn id="5" idx="3"/>
          <a:endCxn id="6" idx="1"/>
        </xdr:cNvCxnSpPr>
      </xdr:nvCxnSpPr>
      <xdr:spPr>
        <a:xfrm>
          <a:off x="5648325" y="104775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4</xdr:row>
      <xdr:rowOff>158750</xdr:rowOff>
    </xdr:from>
    <xdr:to>
      <xdr:col>8</xdr:col>
      <xdr:colOff>547688</xdr:colOff>
      <xdr:row>6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48BB6B69-525F-4146-96FA-9CA6629A121F}"/>
            </a:ext>
          </a:extLst>
        </xdr:cNvPr>
        <xdr:cNvSpPr/>
      </xdr:nvSpPr>
      <xdr:spPr>
        <a:xfrm>
          <a:off x="5815013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C9D63919-01C8-43E0-A72D-8D83DD372CBA}"/>
            </a:ext>
          </a:extLst>
        </xdr:cNvPr>
        <xdr:cNvSpPr/>
      </xdr:nvSpPr>
      <xdr:spPr>
        <a:xfrm>
          <a:off x="4933950" y="11430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B73ACD63-D62F-449D-A22F-392FCCE78DCC}"/>
            </a:ext>
          </a:extLst>
        </xdr:cNvPr>
        <xdr:cNvSpPr/>
      </xdr:nvSpPr>
      <xdr:spPr>
        <a:xfrm>
          <a:off x="6362700" y="11430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1E519771-C556-4EDA-9ADB-CA13FAA128B3}"/>
            </a:ext>
          </a:extLst>
        </xdr:cNvPr>
        <xdr:cNvCxnSpPr>
          <a:stCxn id="9" idx="3"/>
          <a:endCxn id="10" idx="1"/>
        </xdr:cNvCxnSpPr>
      </xdr:nvCxnSpPr>
      <xdr:spPr>
        <a:xfrm>
          <a:off x="5648325" y="1238250"/>
          <a:ext cx="7143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5</xdr:row>
      <xdr:rowOff>158750</xdr:rowOff>
    </xdr:from>
    <xdr:to>
      <xdr:col>8</xdr:col>
      <xdr:colOff>547688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E236CCC0-8168-4D17-91F4-AEE7E5FB2A24}"/>
            </a:ext>
          </a:extLst>
        </xdr:cNvPr>
        <xdr:cNvSpPr/>
      </xdr:nvSpPr>
      <xdr:spPr>
        <a:xfrm>
          <a:off x="5815013" y="1111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64207749-A9A9-450A-9F12-3CD0BDCFCE76}"/>
            </a:ext>
          </a:extLst>
        </xdr:cNvPr>
        <xdr:cNvSpPr/>
      </xdr:nvSpPr>
      <xdr:spPr>
        <a:xfrm>
          <a:off x="4933950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A2E92F1E-4C11-4373-8FF0-BD46AAA0E049}"/>
            </a:ext>
          </a:extLst>
        </xdr:cNvPr>
        <xdr:cNvSpPr/>
      </xdr:nvSpPr>
      <xdr:spPr>
        <a:xfrm>
          <a:off x="6362700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3D16BC05-0692-4C45-8396-CD3082B1DC6B}"/>
            </a:ext>
          </a:extLst>
        </xdr:cNvPr>
        <xdr:cNvCxnSpPr>
          <a:stCxn id="13" idx="3"/>
          <a:endCxn id="14" idx="1"/>
        </xdr:cNvCxnSpPr>
      </xdr:nvCxnSpPr>
      <xdr:spPr>
        <a:xfrm>
          <a:off x="5648325" y="1428750"/>
          <a:ext cx="71437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6</xdr:row>
      <xdr:rowOff>158750</xdr:rowOff>
    </xdr:from>
    <xdr:to>
      <xdr:col>8</xdr:col>
      <xdr:colOff>547688</xdr:colOff>
      <xdr:row>8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F4196950-AB2B-4CBF-A70D-74FD14424F04}"/>
            </a:ext>
          </a:extLst>
        </xdr:cNvPr>
        <xdr:cNvSpPr/>
      </xdr:nvSpPr>
      <xdr:spPr>
        <a:xfrm>
          <a:off x="5815013" y="1301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6</xdr:col>
      <xdr:colOff>0</xdr:colOff>
      <xdr:row>2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2B614DF6-5CE5-4C57-9FC3-CB0265CA4AA8}"/>
            </a:ext>
          </a:extLst>
        </xdr:cNvPr>
        <xdr:cNvSpPr/>
      </xdr:nvSpPr>
      <xdr:spPr>
        <a:xfrm>
          <a:off x="1374775" y="203200"/>
          <a:ext cx="284480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E58C7381-1286-4AA3-BBE0-781CF327A96D}"/>
            </a:ext>
          </a:extLst>
        </xdr:cNvPr>
        <xdr:cNvSpPr/>
      </xdr:nvSpPr>
      <xdr:spPr>
        <a:xfrm>
          <a:off x="1362075" y="1714500"/>
          <a:ext cx="28575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6350</xdr:colOff>
      <xdr:row>9</xdr:row>
      <xdr:rowOff>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86B1A49A-AEB6-45F4-ABD5-5309097D7297}"/>
            </a:ext>
          </a:extLst>
        </xdr:cNvPr>
        <xdr:cNvCxnSpPr>
          <a:stCxn id="17" idx="2"/>
          <a:endCxn id="18" idx="0"/>
        </xdr:cNvCxnSpPr>
      </xdr:nvCxnSpPr>
      <xdr:spPr>
        <a:xfrm flipH="1">
          <a:off x="2790825" y="381000"/>
          <a:ext cx="6350" cy="1333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4</xdr:row>
      <xdr:rowOff>158750</xdr:rowOff>
    </xdr:from>
    <xdr:to>
      <xdr:col>4</xdr:col>
      <xdr:colOff>193675</xdr:colOff>
      <xdr:row>6</xdr:row>
      <xdr:rowOff>31750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88D75D55-D800-4214-8B6C-E4C42E4F0CD1}"/>
            </a:ext>
          </a:extLst>
        </xdr:cNvPr>
        <xdr:cNvSpPr/>
      </xdr:nvSpPr>
      <xdr:spPr>
        <a:xfrm>
          <a:off x="2603500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6</xdr:col>
      <xdr:colOff>0</xdr:colOff>
      <xdr:row>2</xdr:row>
      <xdr:rowOff>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C87D293D-2ECE-4195-8C6E-6027F9DAFC65}"/>
            </a:ext>
          </a:extLst>
        </xdr:cNvPr>
        <xdr:cNvSpPr/>
      </xdr:nvSpPr>
      <xdr:spPr>
        <a:xfrm>
          <a:off x="1387475" y="215900"/>
          <a:ext cx="283210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F6BF1276-D278-4EE2-B34D-119A06FE285A}"/>
            </a:ext>
          </a:extLst>
        </xdr:cNvPr>
        <xdr:cNvSpPr/>
      </xdr:nvSpPr>
      <xdr:spPr>
        <a:xfrm>
          <a:off x="1362075" y="1905000"/>
          <a:ext cx="28575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12700</xdr:colOff>
      <xdr:row>10</xdr:row>
      <xdr:rowOff>0</xdr:rowOff>
    </xdr:to>
    <xdr:cxnSp macro="">
      <xdr:nvCxnSpPr>
        <xdr:cNvPr id="23" name="OpenSolver22">
          <a:extLst>
            <a:ext uri="{FF2B5EF4-FFF2-40B4-BE49-F238E27FC236}">
              <a16:creationId xmlns:a16="http://schemas.microsoft.com/office/drawing/2014/main" id="{4BED3886-B6CC-4E04-991E-43B5BE92F70E}"/>
            </a:ext>
          </a:extLst>
        </xdr:cNvPr>
        <xdr:cNvCxnSpPr>
          <a:stCxn id="21" idx="2"/>
          <a:endCxn id="22" idx="0"/>
        </xdr:cNvCxnSpPr>
      </xdr:nvCxnSpPr>
      <xdr:spPr>
        <a:xfrm flipH="1">
          <a:off x="2790825" y="381000"/>
          <a:ext cx="12700" cy="1524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530225</xdr:colOff>
      <xdr:row>5</xdr:row>
      <xdr:rowOff>63500</xdr:rowOff>
    </xdr:from>
    <xdr:to>
      <xdr:col>4</xdr:col>
      <xdr:colOff>196850</xdr:colOff>
      <xdr:row>6</xdr:row>
      <xdr:rowOff>127000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7E0C3B0C-4C77-4E41-BB35-2ABB241E0E96}"/>
            </a:ext>
          </a:extLst>
        </xdr:cNvPr>
        <xdr:cNvSpPr/>
      </xdr:nvSpPr>
      <xdr:spPr>
        <a:xfrm>
          <a:off x="2606675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3AFA18BF-5749-4F36-9B43-F001F10CE4CF}"/>
            </a:ext>
          </a:extLst>
        </xdr:cNvPr>
        <xdr:cNvSpPr/>
      </xdr:nvSpPr>
      <xdr:spPr>
        <a:xfrm>
          <a:off x="1304925" y="190500"/>
          <a:ext cx="714375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6401342A-D581-461E-B26A-8D4C5B55FB47}"/>
            </a:ext>
          </a:extLst>
        </xdr:cNvPr>
        <xdr:cNvSpPr/>
      </xdr:nvSpPr>
      <xdr:spPr>
        <a:xfrm>
          <a:off x="2733675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698500</xdr:colOff>
      <xdr:row>2</xdr:row>
      <xdr:rowOff>114300</xdr:rowOff>
    </xdr:from>
    <xdr:to>
      <xdr:col>4</xdr:col>
      <xdr:colOff>215214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41F48112-899B-4F64-BE9F-4C362DFFC3E0}"/>
            </a:ext>
          </a:extLst>
        </xdr:cNvPr>
        <xdr:cNvSpPr/>
      </xdr:nvSpPr>
      <xdr:spPr>
        <a:xfrm>
          <a:off x="27178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3</xdr:col>
      <xdr:colOff>0</xdr:colOff>
      <xdr:row>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FDA4AA09-C6B8-47AB-8D89-B8DC170CD573}"/>
            </a:ext>
          </a:extLst>
        </xdr:cNvPr>
        <xdr:cNvSpPr/>
      </xdr:nvSpPr>
      <xdr:spPr>
        <a:xfrm>
          <a:off x="1317625" y="203200"/>
          <a:ext cx="7016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30D8F1F-637E-4242-8A40-94B23B66E3F9}"/>
            </a:ext>
          </a:extLst>
        </xdr:cNvPr>
        <xdr:cNvSpPr/>
      </xdr:nvSpPr>
      <xdr:spPr>
        <a:xfrm>
          <a:off x="1304925" y="1143000"/>
          <a:ext cx="7143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2</xdr:col>
      <xdr:colOff>357188</xdr:colOff>
      <xdr:row>2</xdr:row>
      <xdr:rowOff>0</xdr:rowOff>
    </xdr:from>
    <xdr:to>
      <xdr:col>2</xdr:col>
      <xdr:colOff>363538</xdr:colOff>
      <xdr:row>6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2326ED24-7BD0-4466-94B8-72E5A50DF2E6}"/>
            </a:ext>
          </a:extLst>
        </xdr:cNvPr>
        <xdr:cNvCxnSpPr>
          <a:stCxn id="5" idx="2"/>
          <a:endCxn id="6" idx="0"/>
        </xdr:cNvCxnSpPr>
      </xdr:nvCxnSpPr>
      <xdr:spPr>
        <a:xfrm flipH="1">
          <a:off x="1662113" y="381000"/>
          <a:ext cx="6350" cy="762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169863</xdr:colOff>
      <xdr:row>3</xdr:row>
      <xdr:rowOff>63500</xdr:rowOff>
    </xdr:from>
    <xdr:to>
      <xdr:col>2</xdr:col>
      <xdr:colOff>550863</xdr:colOff>
      <xdr:row>4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D179348E-80B5-45AB-AAF2-CAB2E3AA6D56}"/>
            </a:ext>
          </a:extLst>
        </xdr:cNvPr>
        <xdr:cNvSpPr/>
      </xdr:nvSpPr>
      <xdr:spPr>
        <a:xfrm>
          <a:off x="1474788" y="635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3</xdr:col>
      <xdr:colOff>0</xdr:colOff>
      <xdr:row>2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1999C8C-1239-4802-8F09-252E647D30FC}"/>
            </a:ext>
          </a:extLst>
        </xdr:cNvPr>
        <xdr:cNvSpPr/>
      </xdr:nvSpPr>
      <xdr:spPr>
        <a:xfrm>
          <a:off x="1330325" y="215900"/>
          <a:ext cx="688975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FB2DB7F-B77C-45D1-AC44-04B60D3959ED}"/>
            </a:ext>
          </a:extLst>
        </xdr:cNvPr>
        <xdr:cNvSpPr/>
      </xdr:nvSpPr>
      <xdr:spPr>
        <a:xfrm>
          <a:off x="1304925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</xdr:col>
      <xdr:colOff>357188</xdr:colOff>
      <xdr:row>2</xdr:row>
      <xdr:rowOff>0</xdr:rowOff>
    </xdr:from>
    <xdr:to>
      <xdr:col>2</xdr:col>
      <xdr:colOff>369888</xdr:colOff>
      <xdr:row>7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B98D722-23C1-47DF-9E4C-E5119B1C5D8B}"/>
            </a:ext>
          </a:extLst>
        </xdr:cNvPr>
        <xdr:cNvCxnSpPr>
          <a:stCxn id="9" idx="2"/>
          <a:endCxn id="10" idx="0"/>
        </xdr:cNvCxnSpPr>
      </xdr:nvCxnSpPr>
      <xdr:spPr>
        <a:xfrm flipH="1">
          <a:off x="1662113" y="381000"/>
          <a:ext cx="12700" cy="952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173038</xdr:colOff>
      <xdr:row>3</xdr:row>
      <xdr:rowOff>158750</xdr:rowOff>
    </xdr:from>
    <xdr:to>
      <xdr:col>2</xdr:col>
      <xdr:colOff>554038</xdr:colOff>
      <xdr:row>5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7B43486A-CF04-4650-B48B-1FED08652163}"/>
            </a:ext>
          </a:extLst>
        </xdr:cNvPr>
        <xdr:cNvSpPr/>
      </xdr:nvSpPr>
      <xdr:spPr>
        <a:xfrm>
          <a:off x="1477963" y="730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F3C9F57E-814B-44C2-9E96-B108ABD3C83B}"/>
            </a:ext>
          </a:extLst>
        </xdr:cNvPr>
        <xdr:cNvSpPr/>
      </xdr:nvSpPr>
      <xdr:spPr>
        <a:xfrm>
          <a:off x="1362075" y="190500"/>
          <a:ext cx="28575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B64F2CEE-556E-4D75-8BAA-1770FC1D3C08}"/>
            </a:ext>
          </a:extLst>
        </xdr:cNvPr>
        <xdr:cNvSpPr/>
      </xdr:nvSpPr>
      <xdr:spPr>
        <a:xfrm>
          <a:off x="4933950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708025</xdr:colOff>
      <xdr:row>2</xdr:row>
      <xdr:rowOff>114300</xdr:rowOff>
    </xdr:from>
    <xdr:to>
      <xdr:col>7</xdr:col>
      <xdr:colOff>224739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376AC28C-4243-4342-AA13-75F9F98F93ED}"/>
            </a:ext>
          </a:extLst>
        </xdr:cNvPr>
        <xdr:cNvSpPr/>
      </xdr:nvSpPr>
      <xdr:spPr>
        <a:xfrm>
          <a:off x="49276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1CEC2FAE-61C0-4EB5-9900-2E56F9647D60}"/>
            </a:ext>
          </a:extLst>
        </xdr:cNvPr>
        <xdr:cNvSpPr/>
      </xdr:nvSpPr>
      <xdr:spPr>
        <a:xfrm>
          <a:off x="4933950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CFE72002-DCA6-4B41-9273-063DACD448A2}"/>
            </a:ext>
          </a:extLst>
        </xdr:cNvPr>
        <xdr:cNvSpPr/>
      </xdr:nvSpPr>
      <xdr:spPr>
        <a:xfrm>
          <a:off x="6362700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6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14325A49-5786-4402-BEB3-A8C0032EDADB}"/>
            </a:ext>
          </a:extLst>
        </xdr:cNvPr>
        <xdr:cNvCxnSpPr>
          <a:stCxn id="5" idx="3"/>
          <a:endCxn id="6" idx="1"/>
        </xdr:cNvCxnSpPr>
      </xdr:nvCxnSpPr>
      <xdr:spPr>
        <a:xfrm>
          <a:off x="5648325" y="114300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5</xdr:row>
      <xdr:rowOff>63500</xdr:rowOff>
    </xdr:from>
    <xdr:to>
      <xdr:col>8</xdr:col>
      <xdr:colOff>547688</xdr:colOff>
      <xdr:row>6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4A4FBFAA-15B1-4267-884B-A52C003401AC}"/>
            </a:ext>
          </a:extLst>
        </xdr:cNvPr>
        <xdr:cNvSpPr/>
      </xdr:nvSpPr>
      <xdr:spPr>
        <a:xfrm>
          <a:off x="5815013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6</xdr:col>
      <xdr:colOff>0</xdr:colOff>
      <xdr:row>2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B0FB0CFD-2373-4AC8-BB71-5B415190D4EE}"/>
            </a:ext>
          </a:extLst>
        </xdr:cNvPr>
        <xdr:cNvSpPr/>
      </xdr:nvSpPr>
      <xdr:spPr>
        <a:xfrm>
          <a:off x="1374775" y="203200"/>
          <a:ext cx="284480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63B7E31-D9D9-4B6A-91AA-C47E98D1E335}"/>
            </a:ext>
          </a:extLst>
        </xdr:cNvPr>
        <xdr:cNvSpPr/>
      </xdr:nvSpPr>
      <xdr:spPr>
        <a:xfrm>
          <a:off x="1362075" y="1524000"/>
          <a:ext cx="28575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6350</xdr:colOff>
      <xdr:row>8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EC7915E4-1E19-4F25-A2FF-820D6A40A177}"/>
            </a:ext>
          </a:extLst>
        </xdr:cNvPr>
        <xdr:cNvCxnSpPr>
          <a:stCxn id="9" idx="2"/>
          <a:endCxn id="10" idx="0"/>
        </xdr:cNvCxnSpPr>
      </xdr:nvCxnSpPr>
      <xdr:spPr>
        <a:xfrm flipH="1">
          <a:off x="2790825" y="381000"/>
          <a:ext cx="6350" cy="1143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4</xdr:row>
      <xdr:rowOff>63500</xdr:rowOff>
    </xdr:from>
    <xdr:to>
      <xdr:col>4</xdr:col>
      <xdr:colOff>193675</xdr:colOff>
      <xdr:row>5</xdr:row>
      <xdr:rowOff>127000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F7AF9D9C-9B80-440E-8A0A-E9EA5FF15E15}"/>
            </a:ext>
          </a:extLst>
        </xdr:cNvPr>
        <xdr:cNvSpPr/>
      </xdr:nvSpPr>
      <xdr:spPr>
        <a:xfrm>
          <a:off x="2603500" y="825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6</xdr:col>
      <xdr:colOff>0</xdr:colOff>
      <xdr:row>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85A400BA-BD8F-457E-BA9D-54BB14D8ECFE}"/>
            </a:ext>
          </a:extLst>
        </xdr:cNvPr>
        <xdr:cNvSpPr/>
      </xdr:nvSpPr>
      <xdr:spPr>
        <a:xfrm>
          <a:off x="1387475" y="215900"/>
          <a:ext cx="2832100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30D874D5-B2C5-431D-98CA-91086DE63C1E}"/>
            </a:ext>
          </a:extLst>
        </xdr:cNvPr>
        <xdr:cNvSpPr/>
      </xdr:nvSpPr>
      <xdr:spPr>
        <a:xfrm>
          <a:off x="1362075" y="1714500"/>
          <a:ext cx="28575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12700</xdr:colOff>
      <xdr:row>9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1DE2768B-DA54-4B07-894A-A97FDF436B34}"/>
            </a:ext>
          </a:extLst>
        </xdr:cNvPr>
        <xdr:cNvCxnSpPr>
          <a:stCxn id="13" idx="2"/>
          <a:endCxn id="14" idx="0"/>
        </xdr:cNvCxnSpPr>
      </xdr:nvCxnSpPr>
      <xdr:spPr>
        <a:xfrm flipH="1">
          <a:off x="2790825" y="381000"/>
          <a:ext cx="12700" cy="1333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530225</xdr:colOff>
      <xdr:row>4</xdr:row>
      <xdr:rowOff>158750</xdr:rowOff>
    </xdr:from>
    <xdr:to>
      <xdr:col>4</xdr:col>
      <xdr:colOff>196850</xdr:colOff>
      <xdr:row>6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C5CAB8BA-DDA7-4684-950B-824BAB83D0F4}"/>
            </a:ext>
          </a:extLst>
        </xdr:cNvPr>
        <xdr:cNvSpPr/>
      </xdr:nvSpPr>
      <xdr:spPr>
        <a:xfrm>
          <a:off x="2606675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9525</xdr:colOff>
      <xdr:row>1</xdr:row>
      <xdr:rowOff>12700</xdr:rowOff>
    </xdr:from>
    <xdr:to>
      <xdr:col>2</xdr:col>
      <xdr:colOff>61655</xdr:colOff>
      <xdr:row>1</xdr:row>
      <xdr:rowOff>127000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5CAEB7ED-55D7-4416-9D1D-0717147AFC54}"/>
            </a:ext>
          </a:extLst>
        </xdr:cNvPr>
        <xdr:cNvSpPr/>
      </xdr:nvSpPr>
      <xdr:spPr>
        <a:xfrm>
          <a:off x="13716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6350</xdr:colOff>
      <xdr:row>1</xdr:row>
      <xdr:rowOff>12700</xdr:rowOff>
    </xdr:from>
    <xdr:to>
      <xdr:col>3</xdr:col>
      <xdr:colOff>58480</xdr:colOff>
      <xdr:row>1</xdr:row>
      <xdr:rowOff>127000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F571C824-D262-48D4-A136-D76C9C71A1C1}"/>
            </a:ext>
          </a:extLst>
        </xdr:cNvPr>
        <xdr:cNvSpPr/>
      </xdr:nvSpPr>
      <xdr:spPr>
        <a:xfrm>
          <a:off x="20828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9C31D416-8ECD-49E5-83E5-BC951A00F4AD}"/>
            </a:ext>
          </a:extLst>
        </xdr:cNvPr>
        <xdr:cNvSpPr/>
      </xdr:nvSpPr>
      <xdr:spPr>
        <a:xfrm>
          <a:off x="1362075" y="190500"/>
          <a:ext cx="28575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E19D1E75-5A2F-4E25-B718-DEDEEBCB4358}"/>
            </a:ext>
          </a:extLst>
        </xdr:cNvPr>
        <xdr:cNvSpPr/>
      </xdr:nvSpPr>
      <xdr:spPr>
        <a:xfrm>
          <a:off x="4933950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708025</xdr:colOff>
      <xdr:row>2</xdr:row>
      <xdr:rowOff>114300</xdr:rowOff>
    </xdr:from>
    <xdr:to>
      <xdr:col>7</xdr:col>
      <xdr:colOff>242885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34455921-3CE9-4D64-A14E-7F21DE4CFA42}"/>
            </a:ext>
          </a:extLst>
        </xdr:cNvPr>
        <xdr:cNvSpPr/>
      </xdr:nvSpPr>
      <xdr:spPr>
        <a:xfrm>
          <a:off x="49276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CFDA9B65-9EBE-4D0D-8406-BB1F1261A220}"/>
            </a:ext>
          </a:extLst>
        </xdr:cNvPr>
        <xdr:cNvSpPr/>
      </xdr:nvSpPr>
      <xdr:spPr>
        <a:xfrm>
          <a:off x="4933950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B86EAC5F-C3C8-47FB-A841-09EC104834BD}"/>
            </a:ext>
          </a:extLst>
        </xdr:cNvPr>
        <xdr:cNvSpPr/>
      </xdr:nvSpPr>
      <xdr:spPr>
        <a:xfrm>
          <a:off x="6362700" y="952500"/>
          <a:ext cx="7143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6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A88BF725-6A3D-4A91-A902-EFF7932E7CFD}"/>
            </a:ext>
          </a:extLst>
        </xdr:cNvPr>
        <xdr:cNvCxnSpPr>
          <a:stCxn id="5" idx="3"/>
          <a:endCxn id="6" idx="1"/>
        </xdr:cNvCxnSpPr>
      </xdr:nvCxnSpPr>
      <xdr:spPr>
        <a:xfrm>
          <a:off x="5648325" y="114300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5</xdr:row>
      <xdr:rowOff>63500</xdr:rowOff>
    </xdr:from>
    <xdr:to>
      <xdr:col>8</xdr:col>
      <xdr:colOff>547688</xdr:colOff>
      <xdr:row>6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7EFC52CA-84C3-4994-AB71-6B080A04D332}"/>
            </a:ext>
          </a:extLst>
        </xdr:cNvPr>
        <xdr:cNvSpPr/>
      </xdr:nvSpPr>
      <xdr:spPr>
        <a:xfrm>
          <a:off x="5815013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D18789FE-FEB7-45D1-BD58-897ED4C2012F}"/>
            </a:ext>
          </a:extLst>
        </xdr:cNvPr>
        <xdr:cNvSpPr/>
      </xdr:nvSpPr>
      <xdr:spPr>
        <a:xfrm>
          <a:off x="4933950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6F85DFAF-FA43-49ED-8037-2964E68B9508}"/>
            </a:ext>
          </a:extLst>
        </xdr:cNvPr>
        <xdr:cNvSpPr/>
      </xdr:nvSpPr>
      <xdr:spPr>
        <a:xfrm>
          <a:off x="6362700" y="1333500"/>
          <a:ext cx="714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117CB46-8A09-445C-BF1F-6EB18887C3CB}"/>
            </a:ext>
          </a:extLst>
        </xdr:cNvPr>
        <xdr:cNvCxnSpPr>
          <a:stCxn id="9" idx="3"/>
          <a:endCxn id="10" idx="1"/>
        </xdr:cNvCxnSpPr>
      </xdr:nvCxnSpPr>
      <xdr:spPr>
        <a:xfrm>
          <a:off x="5648325" y="1428750"/>
          <a:ext cx="7143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166688</xdr:colOff>
      <xdr:row>6</xdr:row>
      <xdr:rowOff>158750</xdr:rowOff>
    </xdr:from>
    <xdr:to>
      <xdr:col>8</xdr:col>
      <xdr:colOff>547688</xdr:colOff>
      <xdr:row>8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8B37FF5-8954-4E3F-91AC-F512AC9E950F}"/>
            </a:ext>
          </a:extLst>
        </xdr:cNvPr>
        <xdr:cNvSpPr/>
      </xdr:nvSpPr>
      <xdr:spPr>
        <a:xfrm>
          <a:off x="5815013" y="1301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6</xdr:col>
      <xdr:colOff>0</xdr:colOff>
      <xdr:row>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C98FEE84-BFC2-4ABC-B08D-DEC4B1AE5AF7}"/>
            </a:ext>
          </a:extLst>
        </xdr:cNvPr>
        <xdr:cNvSpPr/>
      </xdr:nvSpPr>
      <xdr:spPr>
        <a:xfrm>
          <a:off x="1374775" y="203200"/>
          <a:ext cx="28448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CC9DC2E3-A372-4569-8920-297F4DCE90CF}"/>
            </a:ext>
          </a:extLst>
        </xdr:cNvPr>
        <xdr:cNvSpPr/>
      </xdr:nvSpPr>
      <xdr:spPr>
        <a:xfrm>
          <a:off x="1362075" y="1714500"/>
          <a:ext cx="28575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6350</xdr:colOff>
      <xdr:row>9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623CA09C-A829-4625-AE75-04AE99408D67}"/>
            </a:ext>
          </a:extLst>
        </xdr:cNvPr>
        <xdr:cNvCxnSpPr>
          <a:stCxn id="13" idx="2"/>
          <a:endCxn id="14" idx="0"/>
        </xdr:cNvCxnSpPr>
      </xdr:nvCxnSpPr>
      <xdr:spPr>
        <a:xfrm flipH="1">
          <a:off x="2790825" y="381000"/>
          <a:ext cx="6350" cy="1333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4</xdr:row>
      <xdr:rowOff>158750</xdr:rowOff>
    </xdr:from>
    <xdr:to>
      <xdr:col>4</xdr:col>
      <xdr:colOff>193675</xdr:colOff>
      <xdr:row>6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2A77303B-F66E-42BC-815E-8B2666B820B0}"/>
            </a:ext>
          </a:extLst>
        </xdr:cNvPr>
        <xdr:cNvSpPr/>
      </xdr:nvSpPr>
      <xdr:spPr>
        <a:xfrm>
          <a:off x="2603500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6</xdr:col>
      <xdr:colOff>0</xdr:colOff>
      <xdr:row>2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EC2644DF-6D93-46DC-96D5-F57989D1342B}"/>
            </a:ext>
          </a:extLst>
        </xdr:cNvPr>
        <xdr:cNvSpPr/>
      </xdr:nvSpPr>
      <xdr:spPr>
        <a:xfrm>
          <a:off x="1387475" y="215900"/>
          <a:ext cx="283210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ED570B04-7098-4BED-9517-64826D045901}"/>
            </a:ext>
          </a:extLst>
        </xdr:cNvPr>
        <xdr:cNvSpPr/>
      </xdr:nvSpPr>
      <xdr:spPr>
        <a:xfrm>
          <a:off x="1362075" y="1905000"/>
          <a:ext cx="28575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12700</xdr:colOff>
      <xdr:row>10</xdr:row>
      <xdr:rowOff>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812F423F-51B0-444C-AA34-0D1F30471A62}"/>
            </a:ext>
          </a:extLst>
        </xdr:cNvPr>
        <xdr:cNvCxnSpPr>
          <a:stCxn id="17" idx="2"/>
          <a:endCxn id="18" idx="0"/>
        </xdr:cNvCxnSpPr>
      </xdr:nvCxnSpPr>
      <xdr:spPr>
        <a:xfrm flipH="1">
          <a:off x="2790825" y="381000"/>
          <a:ext cx="12700" cy="1524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530225</xdr:colOff>
      <xdr:row>5</xdr:row>
      <xdr:rowOff>63500</xdr:rowOff>
    </xdr:from>
    <xdr:to>
      <xdr:col>4</xdr:col>
      <xdr:colOff>196850</xdr:colOff>
      <xdr:row>6</xdr:row>
      <xdr:rowOff>127000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D2C2C246-7B6C-4495-B651-82CF0CDCF7C2}"/>
            </a:ext>
          </a:extLst>
        </xdr:cNvPr>
        <xdr:cNvSpPr/>
      </xdr:nvSpPr>
      <xdr:spPr>
        <a:xfrm>
          <a:off x="2606675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12700</xdr:colOff>
      <xdr:row>1</xdr:row>
      <xdr:rowOff>12700</xdr:rowOff>
    </xdr:from>
    <xdr:to>
      <xdr:col>5</xdr:col>
      <xdr:colOff>64830</xdr:colOff>
      <xdr:row>1</xdr:row>
      <xdr:rowOff>127000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22D28D75-BAE6-45F7-853F-A5A234C1A293}"/>
            </a:ext>
          </a:extLst>
        </xdr:cNvPr>
        <xdr:cNvSpPr/>
      </xdr:nvSpPr>
      <xdr:spPr>
        <a:xfrm>
          <a:off x="3517900" y="203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B72668F5-94E0-4BAF-B37D-F1B5692BEA9F}"/>
            </a:ext>
          </a:extLst>
        </xdr:cNvPr>
        <xdr:cNvSpPr/>
      </xdr:nvSpPr>
      <xdr:spPr>
        <a:xfrm>
          <a:off x="1304925" y="190500"/>
          <a:ext cx="2143125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545C5D19-6B73-4E80-B6A1-F2E4B971077E}"/>
            </a:ext>
          </a:extLst>
        </xdr:cNvPr>
        <xdr:cNvSpPr/>
      </xdr:nvSpPr>
      <xdr:spPr>
        <a:xfrm>
          <a:off x="4162425" y="571500"/>
          <a:ext cx="7143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704850</xdr:colOff>
      <xdr:row>2</xdr:row>
      <xdr:rowOff>114300</xdr:rowOff>
    </xdr:from>
    <xdr:to>
      <xdr:col>6</xdr:col>
      <xdr:colOff>239710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EF3A3C63-A11D-45B1-AE0A-EB0A6089651E}"/>
            </a:ext>
          </a:extLst>
        </xdr:cNvPr>
        <xdr:cNvSpPr/>
      </xdr:nvSpPr>
      <xdr:spPr>
        <a:xfrm>
          <a:off x="4152900" y="495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4D62D914-3151-47B2-B6CF-37E213C11EDA}"/>
            </a:ext>
          </a:extLst>
        </xdr:cNvPr>
        <xdr:cNvSpPr/>
      </xdr:nvSpPr>
      <xdr:spPr>
        <a:xfrm>
          <a:off x="4162425" y="952500"/>
          <a:ext cx="7143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C145A983-01A2-4841-BF01-188D7C6A8420}"/>
            </a:ext>
          </a:extLst>
        </xdr:cNvPr>
        <xdr:cNvSpPr/>
      </xdr:nvSpPr>
      <xdr:spPr>
        <a:xfrm>
          <a:off x="5591175" y="952500"/>
          <a:ext cx="7143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73C939B-95B1-46FE-B12F-B352867DF00B}"/>
            </a:ext>
          </a:extLst>
        </xdr:cNvPr>
        <xdr:cNvCxnSpPr>
          <a:stCxn id="5" idx="3"/>
          <a:endCxn id="6" idx="1"/>
        </xdr:cNvCxnSpPr>
      </xdr:nvCxnSpPr>
      <xdr:spPr>
        <a:xfrm>
          <a:off x="4876800" y="1238250"/>
          <a:ext cx="71437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166688</xdr:colOff>
      <xdr:row>5</xdr:row>
      <xdr:rowOff>158750</xdr:rowOff>
    </xdr:from>
    <xdr:to>
      <xdr:col>7</xdr:col>
      <xdr:colOff>547688</xdr:colOff>
      <xdr:row>7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A6CAD2D6-2029-4754-A319-EBB1BD3B656D}"/>
            </a:ext>
          </a:extLst>
        </xdr:cNvPr>
        <xdr:cNvSpPr/>
      </xdr:nvSpPr>
      <xdr:spPr>
        <a:xfrm>
          <a:off x="5043488" y="1111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12700</xdr:colOff>
      <xdr:row>1</xdr:row>
      <xdr:rowOff>12700</xdr:rowOff>
    </xdr:from>
    <xdr:to>
      <xdr:col>5</xdr:col>
      <xdr:colOff>0</xdr:colOff>
      <xdr:row>2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3BC206AE-C735-47A6-9CAC-965B4BCA051C}"/>
            </a:ext>
          </a:extLst>
        </xdr:cNvPr>
        <xdr:cNvSpPr/>
      </xdr:nvSpPr>
      <xdr:spPr>
        <a:xfrm>
          <a:off x="1317625" y="203200"/>
          <a:ext cx="21304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278F6832-1F61-467F-8A2C-351181FD73F9}"/>
            </a:ext>
          </a:extLst>
        </xdr:cNvPr>
        <xdr:cNvSpPr/>
      </xdr:nvSpPr>
      <xdr:spPr>
        <a:xfrm>
          <a:off x="1304925" y="1714500"/>
          <a:ext cx="2143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357188</xdr:colOff>
      <xdr:row>2</xdr:row>
      <xdr:rowOff>0</xdr:rowOff>
    </xdr:from>
    <xdr:to>
      <xdr:col>3</xdr:col>
      <xdr:colOff>363538</xdr:colOff>
      <xdr:row>9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B1AA068A-E77A-4A76-B2B7-C30D450AC372}"/>
            </a:ext>
          </a:extLst>
        </xdr:cNvPr>
        <xdr:cNvCxnSpPr>
          <a:stCxn id="9" idx="2"/>
          <a:endCxn id="10" idx="0"/>
        </xdr:cNvCxnSpPr>
      </xdr:nvCxnSpPr>
      <xdr:spPr>
        <a:xfrm flipH="1">
          <a:off x="2376488" y="381000"/>
          <a:ext cx="6350" cy="1333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169863</xdr:colOff>
      <xdr:row>4</xdr:row>
      <xdr:rowOff>158750</xdr:rowOff>
    </xdr:from>
    <xdr:to>
      <xdr:col>3</xdr:col>
      <xdr:colOff>550863</xdr:colOff>
      <xdr:row>6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A4D3C346-DE9C-4EB8-A326-D3CA7B9245B9}"/>
            </a:ext>
          </a:extLst>
        </xdr:cNvPr>
        <xdr:cNvSpPr/>
      </xdr:nvSpPr>
      <xdr:spPr>
        <a:xfrm>
          <a:off x="2189163" y="920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25400</xdr:colOff>
      <xdr:row>1</xdr:row>
      <xdr:rowOff>25400</xdr:rowOff>
    </xdr:from>
    <xdr:to>
      <xdr:col>5</xdr:col>
      <xdr:colOff>0</xdr:colOff>
      <xdr:row>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3CF87986-FA7E-4B00-A41A-14DE2EE477EA}"/>
            </a:ext>
          </a:extLst>
        </xdr:cNvPr>
        <xdr:cNvSpPr/>
      </xdr:nvSpPr>
      <xdr:spPr>
        <a:xfrm>
          <a:off x="1330325" y="215900"/>
          <a:ext cx="2117725" cy="165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29DD0DC4-494C-4E88-A6FA-A275D8F02D0F}"/>
            </a:ext>
          </a:extLst>
        </xdr:cNvPr>
        <xdr:cNvSpPr/>
      </xdr:nvSpPr>
      <xdr:spPr>
        <a:xfrm>
          <a:off x="1304925" y="1905000"/>
          <a:ext cx="21431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3</xdr:col>
      <xdr:colOff>357188</xdr:colOff>
      <xdr:row>2</xdr:row>
      <xdr:rowOff>0</xdr:rowOff>
    </xdr:from>
    <xdr:to>
      <xdr:col>3</xdr:col>
      <xdr:colOff>369888</xdr:colOff>
      <xdr:row>10</xdr:row>
      <xdr:rowOff>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1B4212FC-E669-481C-9662-463CE7CF98FE}"/>
            </a:ext>
          </a:extLst>
        </xdr:cNvPr>
        <xdr:cNvCxnSpPr>
          <a:stCxn id="13" idx="2"/>
          <a:endCxn id="14" idx="0"/>
        </xdr:cNvCxnSpPr>
      </xdr:nvCxnSpPr>
      <xdr:spPr>
        <a:xfrm flipH="1">
          <a:off x="2376488" y="381000"/>
          <a:ext cx="12700" cy="1524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173038</xdr:colOff>
      <xdr:row>5</xdr:row>
      <xdr:rowOff>63500</xdr:rowOff>
    </xdr:from>
    <xdr:to>
      <xdr:col>3</xdr:col>
      <xdr:colOff>554038</xdr:colOff>
      <xdr:row>6</xdr:row>
      <xdr:rowOff>127000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B23E50CA-1F02-4497-914B-5EFE2673B9A4}"/>
            </a:ext>
          </a:extLst>
        </xdr:cNvPr>
        <xdr:cNvSpPr/>
      </xdr:nvSpPr>
      <xdr:spPr>
        <a:xfrm>
          <a:off x="2192338" y="101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95250</xdr:rowOff>
        </xdr:from>
        <xdr:to>
          <xdr:col>3</xdr:col>
          <xdr:colOff>1019175</xdr:colOff>
          <xdr:row>4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D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All LP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1285875</xdr:colOff>
          <xdr:row>1</xdr:row>
          <xdr:rowOff>142875</xdr:rowOff>
        </xdr:from>
        <xdr:to>
          <xdr:col>6</xdr:col>
          <xdr:colOff>38100</xdr:colOff>
          <xdr:row>3</xdr:row>
          <xdr:rowOff>47625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D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Pre-generate worksheets for LPImport to write to. If unchecked, LPImport will generate it's own worksheets.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2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3.85546875" bestFit="1" customWidth="1"/>
  </cols>
  <sheetData>
    <row r="1" spans="1:10" s="5" customFormat="1" x14ac:dyDescent="0.25">
      <c r="A1" s="5" t="s">
        <v>102</v>
      </c>
      <c r="C1" s="5" t="s">
        <v>9</v>
      </c>
      <c r="D1" s="5" t="s">
        <v>10</v>
      </c>
      <c r="E1" s="5" t="s">
        <v>11</v>
      </c>
      <c r="F1" s="5" t="s">
        <v>19</v>
      </c>
    </row>
    <row r="2" spans="1:10" x14ac:dyDescent="0.25">
      <c r="A2" s="6" t="s">
        <v>127</v>
      </c>
      <c r="B2" t="s">
        <v>8</v>
      </c>
      <c r="C2">
        <v>0</v>
      </c>
      <c r="D2">
        <v>0</v>
      </c>
      <c r="E2">
        <v>0</v>
      </c>
      <c r="F2">
        <v>0</v>
      </c>
    </row>
    <row r="4" spans="1:10" x14ac:dyDescent="0.25">
      <c r="A4" s="5" t="s">
        <v>13</v>
      </c>
      <c r="B4" t="s">
        <v>25</v>
      </c>
      <c r="C4">
        <v>1</v>
      </c>
      <c r="D4">
        <v>2</v>
      </c>
      <c r="E4">
        <v>3</v>
      </c>
      <c r="F4">
        <v>1</v>
      </c>
      <c r="H4">
        <f>SUMPRODUCT(Objective_coefficients, Decision_variables)</f>
        <v>0</v>
      </c>
    </row>
    <row r="6" spans="1:10" x14ac:dyDescent="0.25">
      <c r="A6" s="5" t="s">
        <v>14</v>
      </c>
      <c r="B6" t="s">
        <v>21</v>
      </c>
      <c r="C6">
        <v>-1</v>
      </c>
      <c r="D6">
        <v>1</v>
      </c>
      <c r="E6">
        <v>1</v>
      </c>
      <c r="F6">
        <v>10</v>
      </c>
      <c r="H6">
        <f>SUMPRODUCT(Constraint_0,Decision_variables)</f>
        <v>0</v>
      </c>
      <c r="I6" t="s">
        <v>12</v>
      </c>
      <c r="J6">
        <v>20</v>
      </c>
    </row>
    <row r="7" spans="1:10" x14ac:dyDescent="0.25">
      <c r="B7" t="s">
        <v>22</v>
      </c>
      <c r="C7">
        <v>1</v>
      </c>
      <c r="D7">
        <v>-3</v>
      </c>
      <c r="E7">
        <v>1</v>
      </c>
      <c r="H7">
        <f>SUMPRODUCT(Constraint_1,Decision_variables)</f>
        <v>0</v>
      </c>
      <c r="I7" t="s">
        <v>12</v>
      </c>
      <c r="J7">
        <v>30</v>
      </c>
    </row>
    <row r="8" spans="1:10" x14ac:dyDescent="0.25">
      <c r="B8" t="s">
        <v>23</v>
      </c>
      <c r="D8">
        <v>1</v>
      </c>
      <c r="F8">
        <v>-3.5</v>
      </c>
      <c r="H8">
        <f>SUMPRODUCT(Constraint_2,Decision_variables)</f>
        <v>0</v>
      </c>
      <c r="I8" t="s">
        <v>24</v>
      </c>
      <c r="J8">
        <v>0</v>
      </c>
    </row>
    <row r="10" spans="1:10" x14ac:dyDescent="0.25">
      <c r="A10" s="5" t="s">
        <v>15</v>
      </c>
      <c r="B10" t="s">
        <v>16</v>
      </c>
      <c r="C10">
        <v>0</v>
      </c>
      <c r="D10">
        <v>0</v>
      </c>
      <c r="E10">
        <v>0</v>
      </c>
      <c r="F10">
        <v>2</v>
      </c>
    </row>
    <row r="11" spans="1:10" x14ac:dyDescent="0.25">
      <c r="B11" t="s">
        <v>12</v>
      </c>
      <c r="C11">
        <v>40</v>
      </c>
      <c r="D11" s="4">
        <v>9.9999999999999999E+306</v>
      </c>
      <c r="E11" s="4">
        <v>9.9999999999999999E+306</v>
      </c>
      <c r="F11">
        <v>3</v>
      </c>
    </row>
    <row r="12" spans="1:10" x14ac:dyDescent="0.25">
      <c r="A12" s="5" t="s">
        <v>17</v>
      </c>
      <c r="F12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1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3" bestFit="1" customWidth="1"/>
  </cols>
  <sheetData>
    <row r="1" spans="1:9" s="5" customFormat="1" x14ac:dyDescent="0.25">
      <c r="A1" s="5" t="s">
        <v>101</v>
      </c>
      <c r="C1" s="5" t="s">
        <v>9</v>
      </c>
      <c r="D1" s="5" t="s">
        <v>10</v>
      </c>
      <c r="E1" s="5" t="s">
        <v>11</v>
      </c>
    </row>
    <row r="2" spans="1:9" x14ac:dyDescent="0.25">
      <c r="A2" s="6" t="s">
        <v>125</v>
      </c>
      <c r="B2" t="s">
        <v>8</v>
      </c>
      <c r="C2">
        <v>0</v>
      </c>
      <c r="D2">
        <v>0</v>
      </c>
      <c r="E2">
        <v>0</v>
      </c>
    </row>
    <row r="4" spans="1:9" x14ac:dyDescent="0.25">
      <c r="A4" s="5" t="s">
        <v>13</v>
      </c>
      <c r="C4">
        <v>1</v>
      </c>
      <c r="D4">
        <v>2</v>
      </c>
      <c r="E4">
        <v>3</v>
      </c>
      <c r="G4">
        <f>SUMPRODUCT(Objective_coefficients, Decision_variables)</f>
        <v>0</v>
      </c>
    </row>
    <row r="6" spans="1:9" x14ac:dyDescent="0.25">
      <c r="A6" s="5" t="s">
        <v>14</v>
      </c>
      <c r="C6">
        <v>-1</v>
      </c>
      <c r="D6">
        <v>1</v>
      </c>
      <c r="E6">
        <v>1</v>
      </c>
      <c r="G6">
        <f>SUMPRODUCT(Constraint_0,Decision_variables)</f>
        <v>0</v>
      </c>
      <c r="H6" t="s">
        <v>12</v>
      </c>
      <c r="I6">
        <v>20</v>
      </c>
    </row>
    <row r="7" spans="1:9" x14ac:dyDescent="0.25">
      <c r="C7">
        <v>1</v>
      </c>
      <c r="D7">
        <v>-3</v>
      </c>
      <c r="E7">
        <v>1</v>
      </c>
      <c r="G7">
        <f>SUMPRODUCT(Constraint_1,Decision_variables)</f>
        <v>0</v>
      </c>
      <c r="H7" t="s">
        <v>12</v>
      </c>
      <c r="I7">
        <v>30</v>
      </c>
    </row>
    <row r="9" spans="1:9" x14ac:dyDescent="0.25">
      <c r="A9" s="5" t="s">
        <v>15</v>
      </c>
      <c r="B9" t="s">
        <v>16</v>
      </c>
      <c r="C9">
        <v>0</v>
      </c>
      <c r="D9">
        <v>0</v>
      </c>
      <c r="E9">
        <v>0</v>
      </c>
    </row>
    <row r="10" spans="1:9" x14ac:dyDescent="0.25">
      <c r="B10" t="s">
        <v>12</v>
      </c>
      <c r="C10">
        <v>40</v>
      </c>
      <c r="D10" s="4">
        <v>9.9999999999999999E+306</v>
      </c>
      <c r="E10" s="4">
        <v>9.9999999999999999E+306</v>
      </c>
    </row>
    <row r="11" spans="1:9" x14ac:dyDescent="0.25">
      <c r="A11" s="5" t="s">
        <v>17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Q32"/>
  <sheetViews>
    <sheetView workbookViewId="0"/>
  </sheetViews>
  <sheetFormatPr defaultColWidth="10.7109375" defaultRowHeight="15" x14ac:dyDescent="0.25"/>
  <cols>
    <col min="1" max="1" width="17.28515625" style="5" bestFit="1" customWidth="1"/>
    <col min="2" max="2" width="8.5703125" bestFit="1" customWidth="1"/>
  </cols>
  <sheetData>
    <row r="1" spans="1:43" s="5" customFormat="1" x14ac:dyDescent="0.25">
      <c r="A1" s="5" t="s">
        <v>47</v>
      </c>
      <c r="C1" s="5" t="s">
        <v>9</v>
      </c>
      <c r="D1" s="5" t="s">
        <v>48</v>
      </c>
      <c r="E1" s="5" t="s">
        <v>10</v>
      </c>
      <c r="F1" s="5" t="s">
        <v>11</v>
      </c>
      <c r="G1" s="5" t="s">
        <v>19</v>
      </c>
      <c r="H1" s="5" t="s">
        <v>43</v>
      </c>
      <c r="I1" s="5" t="s">
        <v>49</v>
      </c>
      <c r="J1" s="5" t="s">
        <v>50</v>
      </c>
      <c r="K1" s="5" t="s">
        <v>51</v>
      </c>
      <c r="L1" s="5" t="s">
        <v>52</v>
      </c>
      <c r="M1" s="5" t="s">
        <v>53</v>
      </c>
      <c r="N1" s="5" t="s">
        <v>54</v>
      </c>
      <c r="O1" s="5" t="s">
        <v>55</v>
      </c>
      <c r="P1" s="5" t="s">
        <v>56</v>
      </c>
      <c r="Q1" s="5" t="s">
        <v>57</v>
      </c>
      <c r="R1" s="5" t="s">
        <v>58</v>
      </c>
      <c r="S1" s="5" t="s">
        <v>59</v>
      </c>
      <c r="T1" s="5" t="s">
        <v>60</v>
      </c>
      <c r="U1" s="5" t="s">
        <v>61</v>
      </c>
      <c r="V1" s="5" t="s">
        <v>62</v>
      </c>
      <c r="W1" s="5" t="s">
        <v>63</v>
      </c>
      <c r="X1" s="5" t="s">
        <v>64</v>
      </c>
      <c r="Y1" s="5" t="s">
        <v>65</v>
      </c>
      <c r="Z1" s="5" t="s">
        <v>66</v>
      </c>
      <c r="AA1" s="5" t="s">
        <v>67</v>
      </c>
      <c r="AB1" s="5" t="s">
        <v>68</v>
      </c>
      <c r="AC1" s="5" t="s">
        <v>69</v>
      </c>
      <c r="AD1" s="5" t="s">
        <v>70</v>
      </c>
      <c r="AE1" s="5" t="s">
        <v>71</v>
      </c>
      <c r="AF1" s="5" t="s">
        <v>72</v>
      </c>
      <c r="AG1" s="5" t="s">
        <v>73</v>
      </c>
      <c r="AH1" s="5" t="s">
        <v>74</v>
      </c>
      <c r="AI1" s="5" t="s">
        <v>75</v>
      </c>
      <c r="AJ1" s="5" t="s">
        <v>76</v>
      </c>
      <c r="AK1" s="5" t="s">
        <v>77</v>
      </c>
      <c r="AL1" s="5" t="s">
        <v>78</v>
      </c>
      <c r="AM1" s="5" t="s">
        <v>79</v>
      </c>
    </row>
    <row r="2" spans="1:43" x14ac:dyDescent="0.25">
      <c r="A2" s="6" t="s">
        <v>123</v>
      </c>
      <c r="B2" t="s">
        <v>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</row>
    <row r="4" spans="1:43" x14ac:dyDescent="0.25">
      <c r="A4" s="5" t="s">
        <v>13</v>
      </c>
      <c r="B4" t="s">
        <v>100</v>
      </c>
      <c r="C4">
        <v>-757.52323999999999</v>
      </c>
      <c r="D4">
        <v>-2524.05294</v>
      </c>
      <c r="E4">
        <v>666.66666999999995</v>
      </c>
      <c r="F4">
        <v>785.31109000000004</v>
      </c>
      <c r="G4">
        <v>2275.22937</v>
      </c>
      <c r="H4">
        <v>42.92568</v>
      </c>
      <c r="I4">
        <v>1628.5251499999999</v>
      </c>
      <c r="J4">
        <v>27.53434</v>
      </c>
      <c r="K4">
        <v>794.03660000000002</v>
      </c>
      <c r="L4">
        <v>788.76580999999999</v>
      </c>
      <c r="M4">
        <v>1587.8220200000001</v>
      </c>
      <c r="N4">
        <v>2517.8023400000002</v>
      </c>
      <c r="O4">
        <v>2566.2444999999998</v>
      </c>
      <c r="P4">
        <v>39157.57576</v>
      </c>
      <c r="Q4">
        <v>2579.1943200000001</v>
      </c>
      <c r="R4">
        <v>4543.5679899999996</v>
      </c>
      <c r="S4">
        <v>2023.8724</v>
      </c>
      <c r="T4">
        <v>2776.1248599999999</v>
      </c>
      <c r="U4">
        <v>10000000</v>
      </c>
      <c r="V4">
        <v>10000000</v>
      </c>
      <c r="W4">
        <v>10000000</v>
      </c>
      <c r="X4">
        <v>10000000</v>
      </c>
      <c r="Y4">
        <v>10000000</v>
      </c>
      <c r="Z4">
        <v>10000000</v>
      </c>
      <c r="AA4">
        <v>10000000</v>
      </c>
      <c r="AB4">
        <v>10000000</v>
      </c>
      <c r="AC4">
        <v>10000000</v>
      </c>
      <c r="AD4">
        <v>10000000</v>
      </c>
      <c r="AE4">
        <v>10000000</v>
      </c>
      <c r="AF4">
        <v>10000000</v>
      </c>
      <c r="AG4">
        <v>10000000</v>
      </c>
      <c r="AH4" s="4">
        <v>100</v>
      </c>
      <c r="AI4">
        <v>10000000</v>
      </c>
      <c r="AJ4">
        <v>10000000</v>
      </c>
      <c r="AK4">
        <v>10000000</v>
      </c>
      <c r="AO4">
        <f>SUMPRODUCT(Objective_coefficients, Decision_variables)+1234-234</f>
        <v>1000</v>
      </c>
    </row>
    <row r="6" spans="1:43" x14ac:dyDescent="0.25">
      <c r="A6" s="5" t="s">
        <v>14</v>
      </c>
      <c r="B6" t="s">
        <v>83</v>
      </c>
      <c r="F6">
        <v>1</v>
      </c>
      <c r="I6">
        <v>1</v>
      </c>
      <c r="K6">
        <v>1</v>
      </c>
      <c r="L6">
        <v>1</v>
      </c>
      <c r="M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AO6">
        <f>SUMPRODUCT(Constraint_0,Decision_variables)</f>
        <v>0</v>
      </c>
      <c r="AP6" t="s">
        <v>24</v>
      </c>
      <c r="AQ6">
        <v>1</v>
      </c>
    </row>
    <row r="7" spans="1:43" x14ac:dyDescent="0.25">
      <c r="B7" t="s">
        <v>84</v>
      </c>
      <c r="K7">
        <v>5.3</v>
      </c>
      <c r="L7">
        <v>1</v>
      </c>
      <c r="O7">
        <v>3</v>
      </c>
      <c r="Q7" s="4">
        <v>-1000000</v>
      </c>
      <c r="R7">
        <v>1</v>
      </c>
      <c r="V7">
        <v>1</v>
      </c>
      <c r="AO7">
        <f>SUMPRODUCT(Constraint_1,Decision_variables)</f>
        <v>0</v>
      </c>
      <c r="AP7" t="s">
        <v>24</v>
      </c>
      <c r="AQ7">
        <v>1</v>
      </c>
    </row>
    <row r="8" spans="1:43" x14ac:dyDescent="0.25">
      <c r="B8" t="s">
        <v>85</v>
      </c>
      <c r="E8">
        <v>1</v>
      </c>
      <c r="H8">
        <v>1</v>
      </c>
      <c r="W8">
        <v>-1</v>
      </c>
      <c r="AO8">
        <f>SUMPRODUCT(Constraint_2,Decision_variables)</f>
        <v>0</v>
      </c>
      <c r="AP8" t="s">
        <v>24</v>
      </c>
      <c r="AQ8">
        <v>1</v>
      </c>
    </row>
    <row r="9" spans="1:43" x14ac:dyDescent="0.25">
      <c r="B9" t="s">
        <v>86</v>
      </c>
      <c r="C9">
        <v>1</v>
      </c>
      <c r="H9">
        <v>1</v>
      </c>
      <c r="N9">
        <v>1</v>
      </c>
      <c r="X9">
        <v>1</v>
      </c>
      <c r="AO9">
        <f>SUMPRODUCT(Constraint_3,Decision_variables)</f>
        <v>0</v>
      </c>
      <c r="AP9" t="s">
        <v>24</v>
      </c>
      <c r="AQ9">
        <v>1</v>
      </c>
    </row>
    <row r="10" spans="1:43" x14ac:dyDescent="0.25">
      <c r="B10" t="s">
        <v>87</v>
      </c>
      <c r="Y10">
        <v>1</v>
      </c>
      <c r="AO10">
        <f>SUMPRODUCT(Constraint_4,Decision_variables)</f>
        <v>0</v>
      </c>
      <c r="AP10" t="s">
        <v>24</v>
      </c>
      <c r="AQ10">
        <v>1</v>
      </c>
    </row>
    <row r="11" spans="1:43" x14ac:dyDescent="0.25">
      <c r="Z11">
        <v>1</v>
      </c>
      <c r="AO11">
        <f>SUMPRODUCT(Constraint_5,Decision_variables)</f>
        <v>0</v>
      </c>
      <c r="AP11" t="s">
        <v>24</v>
      </c>
      <c r="AQ11">
        <v>1</v>
      </c>
    </row>
    <row r="12" spans="1:43" x14ac:dyDescent="0.25">
      <c r="B12" t="s">
        <v>88</v>
      </c>
      <c r="AA12">
        <v>1</v>
      </c>
      <c r="AO12">
        <f>SUMPRODUCT(Constraint_6,Decision_variables)</f>
        <v>0</v>
      </c>
      <c r="AP12" t="s">
        <v>24</v>
      </c>
      <c r="AQ12">
        <v>1</v>
      </c>
    </row>
    <row r="13" spans="1:43" x14ac:dyDescent="0.25">
      <c r="B13" t="s">
        <v>89</v>
      </c>
      <c r="S13">
        <v>1</v>
      </c>
      <c r="T13">
        <v>1</v>
      </c>
      <c r="AB13">
        <v>1</v>
      </c>
      <c r="AO13">
        <f>SUMPRODUCT(Constraint_7,Decision_variables)</f>
        <v>0</v>
      </c>
      <c r="AP13" t="s">
        <v>24</v>
      </c>
      <c r="AQ13">
        <v>1</v>
      </c>
    </row>
    <row r="14" spans="1:43" x14ac:dyDescent="0.25">
      <c r="B14" t="s">
        <v>90</v>
      </c>
      <c r="S14">
        <v>1</v>
      </c>
      <c r="T14">
        <v>1</v>
      </c>
      <c r="AC14">
        <v>1</v>
      </c>
      <c r="AO14">
        <f>SUMPRODUCT(Constraint_8,Decision_variables)</f>
        <v>0</v>
      </c>
      <c r="AP14" t="s">
        <v>16</v>
      </c>
      <c r="AQ14">
        <v>1</v>
      </c>
    </row>
    <row r="15" spans="1:43" x14ac:dyDescent="0.25">
      <c r="B15" t="s">
        <v>91</v>
      </c>
      <c r="Q15">
        <v>1</v>
      </c>
      <c r="R15">
        <v>1</v>
      </c>
      <c r="AD15">
        <v>1</v>
      </c>
      <c r="AO15">
        <f>SUMPRODUCT(Constraint_9,Decision_variables)</f>
        <v>0</v>
      </c>
      <c r="AP15" t="s">
        <v>24</v>
      </c>
      <c r="AQ15">
        <v>1</v>
      </c>
    </row>
    <row r="16" spans="1:43" x14ac:dyDescent="0.25">
      <c r="B16" t="s">
        <v>92</v>
      </c>
      <c r="Q16">
        <v>1</v>
      </c>
      <c r="R16">
        <v>1</v>
      </c>
      <c r="AE16">
        <v>1</v>
      </c>
      <c r="AO16">
        <f>SUMPRODUCT(Constraint_10,Decision_variables)</f>
        <v>0</v>
      </c>
      <c r="AP16" t="s">
        <v>24</v>
      </c>
      <c r="AQ16">
        <v>1</v>
      </c>
    </row>
    <row r="17" spans="1:43" x14ac:dyDescent="0.25">
      <c r="B17" t="s">
        <v>93</v>
      </c>
      <c r="D17">
        <v>1</v>
      </c>
      <c r="F17">
        <v>1</v>
      </c>
      <c r="I17">
        <v>1</v>
      </c>
      <c r="K17">
        <v>1</v>
      </c>
      <c r="L17">
        <v>1</v>
      </c>
      <c r="M17">
        <v>1</v>
      </c>
      <c r="O17">
        <v>1</v>
      </c>
      <c r="Q17">
        <v>1</v>
      </c>
      <c r="R17">
        <v>1</v>
      </c>
      <c r="S17">
        <v>1</v>
      </c>
      <c r="T17">
        <v>1</v>
      </c>
      <c r="AF17">
        <v>1</v>
      </c>
      <c r="AO17">
        <f>SUMPRODUCT(Constraint_11,Decision_variables)</f>
        <v>0</v>
      </c>
      <c r="AP17" t="s">
        <v>24</v>
      </c>
      <c r="AQ17">
        <v>1</v>
      </c>
    </row>
    <row r="18" spans="1:43" x14ac:dyDescent="0.25">
      <c r="B18" t="s">
        <v>94</v>
      </c>
      <c r="D18">
        <v>1</v>
      </c>
      <c r="F18">
        <v>1</v>
      </c>
      <c r="G18">
        <v>1</v>
      </c>
      <c r="I18">
        <v>1</v>
      </c>
      <c r="K18">
        <v>1</v>
      </c>
      <c r="L18">
        <v>1</v>
      </c>
      <c r="M18">
        <v>1</v>
      </c>
      <c r="O18">
        <v>1</v>
      </c>
      <c r="R18">
        <v>1</v>
      </c>
      <c r="T18">
        <v>1</v>
      </c>
      <c r="AG18">
        <v>1</v>
      </c>
      <c r="AO18">
        <f>SUMPRODUCT(Constraint_12,Decision_variables)</f>
        <v>0</v>
      </c>
      <c r="AP18" t="s">
        <v>24</v>
      </c>
      <c r="AQ18">
        <v>1</v>
      </c>
    </row>
    <row r="19" spans="1:43" x14ac:dyDescent="0.25">
      <c r="C19">
        <v>1</v>
      </c>
      <c r="G19">
        <v>1</v>
      </c>
      <c r="J19">
        <v>1</v>
      </c>
      <c r="M19">
        <v>1</v>
      </c>
      <c r="O19">
        <v>1</v>
      </c>
      <c r="AH19">
        <v>1</v>
      </c>
      <c r="AO19">
        <f>SUMPRODUCT(Constraint_13,Decision_variables)</f>
        <v>0</v>
      </c>
      <c r="AP19" t="s">
        <v>12</v>
      </c>
      <c r="AQ19" s="4">
        <v>40</v>
      </c>
    </row>
    <row r="20" spans="1:43" x14ac:dyDescent="0.25">
      <c r="B20" t="s">
        <v>95</v>
      </c>
      <c r="D20">
        <v>1</v>
      </c>
      <c r="F20">
        <v>1</v>
      </c>
      <c r="G20">
        <v>1</v>
      </c>
      <c r="J20">
        <v>1</v>
      </c>
      <c r="K20">
        <v>1</v>
      </c>
      <c r="M20">
        <v>1</v>
      </c>
      <c r="O20">
        <v>1</v>
      </c>
      <c r="AI20">
        <v>1</v>
      </c>
      <c r="AO20">
        <f>SUMPRODUCT(Constraint_14,Decision_variables)</f>
        <v>0</v>
      </c>
      <c r="AP20" t="s">
        <v>12</v>
      </c>
      <c r="AQ20">
        <v>1</v>
      </c>
    </row>
    <row r="21" spans="1:43" x14ac:dyDescent="0.25">
      <c r="B21" t="s">
        <v>96</v>
      </c>
      <c r="C21">
        <v>1</v>
      </c>
      <c r="G21">
        <v>1</v>
      </c>
      <c r="J21">
        <v>1</v>
      </c>
      <c r="N21">
        <v>1</v>
      </c>
      <c r="AJ21">
        <v>1</v>
      </c>
      <c r="AO21">
        <f>SUMPRODUCT(Constraint_15,Decision_variables)</f>
        <v>0</v>
      </c>
      <c r="AP21" t="s">
        <v>16</v>
      </c>
      <c r="AQ21">
        <v>1</v>
      </c>
    </row>
    <row r="22" spans="1:43" x14ac:dyDescent="0.25">
      <c r="B22" t="s">
        <v>97</v>
      </c>
      <c r="C22">
        <v>1</v>
      </c>
      <c r="G22">
        <v>1</v>
      </c>
      <c r="J22">
        <v>1</v>
      </c>
      <c r="N22">
        <v>1</v>
      </c>
      <c r="AK22">
        <v>1</v>
      </c>
      <c r="AO22">
        <f>SUMPRODUCT(Constraint_16,Decision_variables)</f>
        <v>0</v>
      </c>
      <c r="AP22" t="s">
        <v>24</v>
      </c>
      <c r="AQ22">
        <v>1</v>
      </c>
    </row>
    <row r="23" spans="1:43" x14ac:dyDescent="0.25">
      <c r="B23" t="s">
        <v>98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AO23">
        <f>SUMPRODUCT(Constraint_17,Decision_variables)</f>
        <v>0</v>
      </c>
      <c r="AP23" t="s">
        <v>24</v>
      </c>
      <c r="AQ23">
        <v>5</v>
      </c>
    </row>
    <row r="24" spans="1:43" x14ac:dyDescent="0.25">
      <c r="B24" t="s">
        <v>99</v>
      </c>
      <c r="C24">
        <v>1</v>
      </c>
      <c r="D24">
        <v>1</v>
      </c>
      <c r="AO24">
        <f>SUMPRODUCT(Constraint_18,Decision_variables)</f>
        <v>0</v>
      </c>
      <c r="AP24" t="s">
        <v>16</v>
      </c>
      <c r="AQ24">
        <v>5</v>
      </c>
    </row>
    <row r="26" spans="1:43" x14ac:dyDescent="0.25">
      <c r="A26" s="5" t="s">
        <v>15</v>
      </c>
      <c r="B26" t="s">
        <v>16</v>
      </c>
      <c r="C26">
        <v>0</v>
      </c>
      <c r="D26">
        <v>0</v>
      </c>
      <c r="E26">
        <v>0</v>
      </c>
      <c r="F26">
        <v>5</v>
      </c>
      <c r="G26">
        <v>0</v>
      </c>
      <c r="H26">
        <v>0</v>
      </c>
      <c r="I26">
        <v>0</v>
      </c>
      <c r="J26" s="4">
        <v>-9.9999999999999999E+306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s="4">
        <v>-9.9999999999999999E+306</v>
      </c>
      <c r="Z26" s="4">
        <v>-9.9999999999999999E+306</v>
      </c>
      <c r="AA26">
        <v>0.3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-123</v>
      </c>
      <c r="AM26">
        <v>-45</v>
      </c>
    </row>
    <row r="27" spans="1:43" x14ac:dyDescent="0.25">
      <c r="B27" t="s">
        <v>12</v>
      </c>
      <c r="C27">
        <v>1</v>
      </c>
      <c r="D27" s="4">
        <v>1000</v>
      </c>
      <c r="E27">
        <v>1</v>
      </c>
      <c r="F27">
        <v>5</v>
      </c>
      <c r="G27">
        <v>1</v>
      </c>
      <c r="H27">
        <v>1</v>
      </c>
      <c r="I27">
        <v>4</v>
      </c>
      <c r="J27" s="4">
        <v>9.9999999999999999E+306</v>
      </c>
      <c r="K27">
        <v>1</v>
      </c>
      <c r="L27">
        <v>1</v>
      </c>
      <c r="M27" s="4">
        <v>9.9999999999999999E+306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 s="4">
        <v>9.9999999999999999E+306</v>
      </c>
      <c r="Z27" s="4">
        <v>9.9999999999999999E+306</v>
      </c>
      <c r="AA27">
        <v>1</v>
      </c>
      <c r="AB27">
        <v>1</v>
      </c>
      <c r="AC27">
        <v>1</v>
      </c>
      <c r="AD27">
        <v>1.2</v>
      </c>
      <c r="AE27">
        <v>1</v>
      </c>
      <c r="AF27">
        <v>1</v>
      </c>
      <c r="AG27" s="4">
        <v>9.9999999999999999E+306</v>
      </c>
      <c r="AH27" s="4">
        <v>9.9999999999999999E+306</v>
      </c>
      <c r="AI27">
        <v>1</v>
      </c>
      <c r="AJ27">
        <v>1</v>
      </c>
      <c r="AK27">
        <v>1</v>
      </c>
      <c r="AL27">
        <v>123</v>
      </c>
      <c r="AM27" s="4">
        <v>6000</v>
      </c>
    </row>
    <row r="28" spans="1:43" x14ac:dyDescent="0.25">
      <c r="A28" s="5" t="s">
        <v>17</v>
      </c>
      <c r="C28" t="s">
        <v>20</v>
      </c>
      <c r="D28" t="s">
        <v>20</v>
      </c>
      <c r="E28" t="s">
        <v>20</v>
      </c>
      <c r="F28" t="s">
        <v>20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 t="s">
        <v>20</v>
      </c>
      <c r="N28" t="s">
        <v>20</v>
      </c>
      <c r="O28" t="s">
        <v>20</v>
      </c>
      <c r="P28" t="s">
        <v>20</v>
      </c>
      <c r="Q28" t="s">
        <v>20</v>
      </c>
      <c r="R28" t="s">
        <v>20</v>
      </c>
      <c r="S28" t="s">
        <v>20</v>
      </c>
      <c r="T28" t="s">
        <v>20</v>
      </c>
      <c r="U28" t="s">
        <v>37</v>
      </c>
      <c r="V28" t="s">
        <v>37</v>
      </c>
      <c r="W28" t="s">
        <v>20</v>
      </c>
    </row>
    <row r="29" spans="1:43" x14ac:dyDescent="0.25">
      <c r="A29" s="5" t="s">
        <v>41</v>
      </c>
      <c r="X29" t="s">
        <v>40</v>
      </c>
    </row>
    <row r="30" spans="1:43" x14ac:dyDescent="0.25">
      <c r="A30" s="5" t="s">
        <v>46</v>
      </c>
      <c r="B30" t="s">
        <v>80</v>
      </c>
      <c r="D30">
        <v>10</v>
      </c>
      <c r="F30">
        <v>16</v>
      </c>
    </row>
    <row r="31" spans="1:43" x14ac:dyDescent="0.25">
      <c r="B31" t="s">
        <v>81</v>
      </c>
      <c r="C31">
        <v>5</v>
      </c>
      <c r="H31">
        <v>1</v>
      </c>
    </row>
    <row r="32" spans="1:43" x14ac:dyDescent="0.25">
      <c r="B32" t="s">
        <v>82</v>
      </c>
      <c r="C32">
        <v>5</v>
      </c>
      <c r="H32">
        <v>1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15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9" bestFit="1" customWidth="1"/>
  </cols>
  <sheetData>
    <row r="1" spans="1:11" s="5" customFormat="1" x14ac:dyDescent="0.25">
      <c r="A1" s="5" t="s">
        <v>42</v>
      </c>
      <c r="C1" s="5" t="s">
        <v>9</v>
      </c>
      <c r="D1" s="5" t="s">
        <v>10</v>
      </c>
      <c r="E1" s="5" t="s">
        <v>11</v>
      </c>
      <c r="F1" s="5" t="s">
        <v>19</v>
      </c>
      <c r="G1" s="5" t="s">
        <v>43</v>
      </c>
    </row>
    <row r="2" spans="1:11" x14ac:dyDescent="0.25">
      <c r="A2" s="6" t="s">
        <v>121</v>
      </c>
      <c r="B2" t="s">
        <v>8</v>
      </c>
      <c r="C2">
        <v>0</v>
      </c>
      <c r="D2">
        <v>0</v>
      </c>
      <c r="E2">
        <v>0</v>
      </c>
      <c r="F2">
        <v>0</v>
      </c>
      <c r="G2">
        <v>0</v>
      </c>
    </row>
    <row r="4" spans="1:11" x14ac:dyDescent="0.25">
      <c r="A4" s="5" t="s">
        <v>13</v>
      </c>
      <c r="B4" t="s">
        <v>25</v>
      </c>
      <c r="C4">
        <v>1</v>
      </c>
      <c r="D4">
        <v>2</v>
      </c>
      <c r="E4">
        <v>3</v>
      </c>
      <c r="F4">
        <v>1</v>
      </c>
      <c r="I4">
        <f>SUMPRODUCT(Objective_coefficients, Decision_variables)</f>
        <v>0</v>
      </c>
    </row>
    <row r="6" spans="1:11" x14ac:dyDescent="0.25">
      <c r="A6" s="5" t="s">
        <v>14</v>
      </c>
      <c r="B6" t="s">
        <v>21</v>
      </c>
      <c r="C6">
        <v>-1</v>
      </c>
      <c r="D6">
        <v>1</v>
      </c>
      <c r="E6">
        <v>1</v>
      </c>
      <c r="F6">
        <v>10</v>
      </c>
      <c r="I6">
        <f>SUMPRODUCT(Constraint_0,Decision_variables)</f>
        <v>0</v>
      </c>
      <c r="J6" t="s">
        <v>12</v>
      </c>
      <c r="K6">
        <v>20</v>
      </c>
    </row>
    <row r="7" spans="1:11" x14ac:dyDescent="0.25">
      <c r="B7" t="s">
        <v>22</v>
      </c>
      <c r="C7">
        <v>1</v>
      </c>
      <c r="D7">
        <v>-3</v>
      </c>
      <c r="E7">
        <v>1</v>
      </c>
      <c r="I7">
        <f>SUMPRODUCT(Constraint_1,Decision_variables)</f>
        <v>0</v>
      </c>
      <c r="J7" t="s">
        <v>12</v>
      </c>
      <c r="K7">
        <v>30</v>
      </c>
    </row>
    <row r="8" spans="1:11" x14ac:dyDescent="0.25">
      <c r="B8" t="s">
        <v>23</v>
      </c>
      <c r="D8">
        <v>1</v>
      </c>
      <c r="F8">
        <v>-3.5</v>
      </c>
      <c r="I8">
        <f>SUMPRODUCT(Constraint_2,Decision_variables)</f>
        <v>0</v>
      </c>
      <c r="J8" t="s">
        <v>24</v>
      </c>
      <c r="K8">
        <v>0</v>
      </c>
    </row>
    <row r="10" spans="1:11" x14ac:dyDescent="0.25">
      <c r="A10" s="5" t="s">
        <v>15</v>
      </c>
      <c r="B10" t="s">
        <v>16</v>
      </c>
      <c r="C10" s="4">
        <v>-9.9999999999999999E+306</v>
      </c>
      <c r="D10">
        <v>0</v>
      </c>
      <c r="E10">
        <v>0</v>
      </c>
      <c r="F10">
        <v>2</v>
      </c>
      <c r="G10">
        <v>0</v>
      </c>
    </row>
    <row r="11" spans="1:11" x14ac:dyDescent="0.25">
      <c r="B11" t="s">
        <v>12</v>
      </c>
      <c r="C11">
        <v>40</v>
      </c>
      <c r="D11" s="4">
        <v>9.9999999999999999E+306</v>
      </c>
      <c r="E11">
        <v>4</v>
      </c>
      <c r="F11">
        <v>3</v>
      </c>
      <c r="G11" s="4">
        <v>9.9999999999999999E+306</v>
      </c>
    </row>
    <row r="12" spans="1:11" x14ac:dyDescent="0.25">
      <c r="A12" s="5" t="s">
        <v>17</v>
      </c>
    </row>
    <row r="14" spans="1:11" x14ac:dyDescent="0.25">
      <c r="A14" s="5" t="s">
        <v>46</v>
      </c>
      <c r="B14" t="s">
        <v>44</v>
      </c>
      <c r="F14">
        <v>1</v>
      </c>
      <c r="G14">
        <v>2</v>
      </c>
    </row>
    <row r="15" spans="1:11" x14ac:dyDescent="0.25">
      <c r="B15" t="s">
        <v>45</v>
      </c>
      <c r="E15">
        <v>6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13"/>
  <sheetViews>
    <sheetView workbookViewId="0"/>
  </sheetViews>
  <sheetFormatPr defaultColWidth="10.7109375" defaultRowHeight="15" x14ac:dyDescent="0.25"/>
  <cols>
    <col min="1" max="1" width="17.28515625" style="5" bestFit="1" customWidth="1"/>
    <col min="2" max="2" width="3.85546875" bestFit="1" customWidth="1"/>
  </cols>
  <sheetData>
    <row r="1" spans="1:10" s="5" customFormat="1" x14ac:dyDescent="0.25">
      <c r="A1" s="5" t="s">
        <v>39</v>
      </c>
      <c r="C1" s="5" t="s">
        <v>9</v>
      </c>
      <c r="D1" s="5" t="s">
        <v>10</v>
      </c>
      <c r="E1" s="5" t="s">
        <v>11</v>
      </c>
      <c r="F1" s="5" t="s">
        <v>19</v>
      </c>
    </row>
    <row r="2" spans="1:10" x14ac:dyDescent="0.25">
      <c r="A2" s="6" t="s">
        <v>119</v>
      </c>
      <c r="B2" t="s">
        <v>8</v>
      </c>
      <c r="C2">
        <v>0</v>
      </c>
      <c r="D2">
        <v>0</v>
      </c>
      <c r="E2">
        <v>0</v>
      </c>
      <c r="F2">
        <v>0</v>
      </c>
    </row>
    <row r="4" spans="1:10" x14ac:dyDescent="0.25">
      <c r="A4" s="5" t="s">
        <v>13</v>
      </c>
      <c r="B4" t="s">
        <v>25</v>
      </c>
      <c r="C4">
        <v>1</v>
      </c>
      <c r="D4">
        <v>2</v>
      </c>
      <c r="E4">
        <v>3</v>
      </c>
      <c r="F4">
        <v>1</v>
      </c>
      <c r="H4">
        <f>SUMPRODUCT(Objective_coefficients, Decision_variables)</f>
        <v>0</v>
      </c>
    </row>
    <row r="6" spans="1:10" x14ac:dyDescent="0.25">
      <c r="A6" s="5" t="s">
        <v>14</v>
      </c>
      <c r="B6" t="s">
        <v>21</v>
      </c>
      <c r="C6">
        <v>-1</v>
      </c>
      <c r="D6">
        <v>1</v>
      </c>
      <c r="E6">
        <v>1</v>
      </c>
      <c r="F6">
        <v>10</v>
      </c>
      <c r="H6">
        <f>SUMPRODUCT(Constraint_0,Decision_variables)</f>
        <v>0</v>
      </c>
      <c r="I6" t="s">
        <v>12</v>
      </c>
      <c r="J6">
        <v>20</v>
      </c>
    </row>
    <row r="7" spans="1:10" x14ac:dyDescent="0.25">
      <c r="B7" t="s">
        <v>22</v>
      </c>
      <c r="C7">
        <v>1</v>
      </c>
      <c r="D7">
        <v>-3</v>
      </c>
      <c r="E7">
        <v>1</v>
      </c>
      <c r="H7">
        <f>SUMPRODUCT(Constraint_1,Decision_variables)</f>
        <v>0</v>
      </c>
      <c r="I7" t="s">
        <v>12</v>
      </c>
      <c r="J7">
        <v>30</v>
      </c>
    </row>
    <row r="8" spans="1:10" x14ac:dyDescent="0.25">
      <c r="B8" t="s">
        <v>23</v>
      </c>
      <c r="D8">
        <v>1</v>
      </c>
      <c r="F8">
        <v>-3.5</v>
      </c>
      <c r="H8">
        <f>SUMPRODUCT(Constraint_2,Decision_variables)</f>
        <v>0</v>
      </c>
      <c r="I8" t="s">
        <v>24</v>
      </c>
      <c r="J8">
        <v>0</v>
      </c>
    </row>
    <row r="10" spans="1:10" x14ac:dyDescent="0.25">
      <c r="A10" s="5" t="s">
        <v>15</v>
      </c>
      <c r="B10" t="s">
        <v>16</v>
      </c>
      <c r="C10">
        <v>0</v>
      </c>
      <c r="D10">
        <v>0</v>
      </c>
      <c r="E10">
        <v>0</v>
      </c>
      <c r="F10">
        <v>2</v>
      </c>
    </row>
    <row r="11" spans="1:10" x14ac:dyDescent="0.25">
      <c r="B11" t="s">
        <v>12</v>
      </c>
      <c r="C11">
        <v>40</v>
      </c>
      <c r="D11" s="4">
        <v>9.9999999999999999E+306</v>
      </c>
      <c r="E11" s="4">
        <v>9.9999999999999999E+306</v>
      </c>
      <c r="F11">
        <v>3</v>
      </c>
    </row>
    <row r="12" spans="1:10" x14ac:dyDescent="0.25">
      <c r="A12" s="5" t="s">
        <v>17</v>
      </c>
      <c r="F12" t="s">
        <v>20</v>
      </c>
    </row>
    <row r="13" spans="1:10" x14ac:dyDescent="0.25">
      <c r="A13" s="5" t="s">
        <v>41</v>
      </c>
      <c r="E13" t="s">
        <v>40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3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4.140625" bestFit="1" customWidth="1"/>
  </cols>
  <sheetData>
    <row r="1" spans="1:10" s="5" customFormat="1" x14ac:dyDescent="0.25">
      <c r="A1" s="5" t="s">
        <v>32</v>
      </c>
      <c r="C1" s="5" t="s">
        <v>33</v>
      </c>
      <c r="D1" s="5" t="s">
        <v>34</v>
      </c>
      <c r="E1" s="5" t="s">
        <v>35</v>
      </c>
      <c r="F1" s="5" t="s">
        <v>36</v>
      </c>
    </row>
    <row r="2" spans="1:10" x14ac:dyDescent="0.25">
      <c r="A2" s="6" t="s">
        <v>117</v>
      </c>
      <c r="B2" t="s">
        <v>8</v>
      </c>
      <c r="C2">
        <v>0</v>
      </c>
      <c r="D2">
        <v>0</v>
      </c>
      <c r="E2">
        <v>0</v>
      </c>
      <c r="F2">
        <v>0</v>
      </c>
    </row>
    <row r="4" spans="1:10" x14ac:dyDescent="0.25">
      <c r="A4" s="5" t="s">
        <v>27</v>
      </c>
      <c r="B4" t="s">
        <v>38</v>
      </c>
      <c r="C4">
        <v>2</v>
      </c>
      <c r="D4">
        <v>3</v>
      </c>
      <c r="E4">
        <v>7.12300000000005</v>
      </c>
      <c r="F4">
        <v>4</v>
      </c>
      <c r="H4">
        <f>SUMPRODUCT(Objective_coefficients, Decision_variables)</f>
        <v>0</v>
      </c>
    </row>
    <row r="6" spans="1:10" x14ac:dyDescent="0.25">
      <c r="A6" s="5" t="s">
        <v>14</v>
      </c>
      <c r="C6">
        <v>10</v>
      </c>
      <c r="D6">
        <v>11</v>
      </c>
      <c r="F6">
        <v>12</v>
      </c>
      <c r="H6">
        <f>SUMPRODUCT(Constraint_0,Decision_variables)</f>
        <v>0</v>
      </c>
      <c r="I6" t="s">
        <v>12</v>
      </c>
      <c r="J6">
        <v>11</v>
      </c>
    </row>
    <row r="7" spans="1:10" x14ac:dyDescent="0.25">
      <c r="C7">
        <v>21</v>
      </c>
      <c r="D7">
        <v>22</v>
      </c>
      <c r="F7">
        <v>22.999999999999901</v>
      </c>
      <c r="H7">
        <f>SUMPRODUCT(Constraint_1,Decision_variables)</f>
        <v>0</v>
      </c>
      <c r="I7" t="s">
        <v>12</v>
      </c>
      <c r="J7">
        <v>150</v>
      </c>
    </row>
    <row r="8" spans="1:10" x14ac:dyDescent="0.25">
      <c r="D8">
        <v>22</v>
      </c>
      <c r="E8">
        <v>100</v>
      </c>
      <c r="F8">
        <v>-23</v>
      </c>
      <c r="H8">
        <f>SUMPRODUCT(Constraint_2,Decision_variables)</f>
        <v>0</v>
      </c>
      <c r="I8" t="s">
        <v>16</v>
      </c>
      <c r="J8">
        <v>110</v>
      </c>
    </row>
    <row r="9" spans="1:10" x14ac:dyDescent="0.25">
      <c r="F9">
        <v>-32</v>
      </c>
      <c r="H9">
        <f>SUMPRODUCT(Constraint_3,Decision_variables)</f>
        <v>0</v>
      </c>
      <c r="I9" t="s">
        <v>12</v>
      </c>
      <c r="J9">
        <v>180</v>
      </c>
    </row>
    <row r="11" spans="1:10" x14ac:dyDescent="0.25">
      <c r="A11" s="5" t="s">
        <v>15</v>
      </c>
      <c r="B11" t="s">
        <v>16</v>
      </c>
      <c r="C11">
        <v>0</v>
      </c>
      <c r="D11">
        <v>0</v>
      </c>
      <c r="E11">
        <v>0</v>
      </c>
      <c r="F11">
        <v>0</v>
      </c>
    </row>
    <row r="12" spans="1:10" x14ac:dyDescent="0.25">
      <c r="B12" t="s">
        <v>12</v>
      </c>
      <c r="C12" s="4">
        <v>9.9999999999999999E+306</v>
      </c>
      <c r="D12" s="4">
        <v>9.9999999999999999E+306</v>
      </c>
      <c r="E12" s="4">
        <v>9.9999999999999999E+306</v>
      </c>
      <c r="F12" s="4">
        <v>9.9999999999999999E+306</v>
      </c>
    </row>
    <row r="13" spans="1:10" x14ac:dyDescent="0.25">
      <c r="A13" s="5" t="s">
        <v>17</v>
      </c>
      <c r="D13" t="s">
        <v>37</v>
      </c>
      <c r="E13" t="s">
        <v>20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1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3.85546875" bestFit="1" customWidth="1"/>
  </cols>
  <sheetData>
    <row r="1" spans="1:8" s="5" customFormat="1" x14ac:dyDescent="0.25">
      <c r="A1" s="5" t="s">
        <v>31</v>
      </c>
      <c r="C1" s="5" t="s">
        <v>9</v>
      </c>
      <c r="D1" s="5" t="s">
        <v>10</v>
      </c>
    </row>
    <row r="2" spans="1:8" x14ac:dyDescent="0.25">
      <c r="A2" s="6" t="s">
        <v>113</v>
      </c>
      <c r="B2" t="s">
        <v>8</v>
      </c>
      <c r="C2">
        <v>0</v>
      </c>
      <c r="D2">
        <v>0</v>
      </c>
    </row>
    <row r="4" spans="1:8" x14ac:dyDescent="0.25">
      <c r="A4" s="5" t="s">
        <v>13</v>
      </c>
      <c r="B4" t="s">
        <v>25</v>
      </c>
      <c r="C4">
        <v>1</v>
      </c>
      <c r="D4" s="4">
        <v>0.64</v>
      </c>
      <c r="F4">
        <f>SUMPRODUCT(Objective_coefficients, Decision_variables)</f>
        <v>0</v>
      </c>
    </row>
    <row r="6" spans="1:8" x14ac:dyDescent="0.25">
      <c r="A6" s="5" t="s">
        <v>14</v>
      </c>
      <c r="B6" t="s">
        <v>21</v>
      </c>
      <c r="C6" s="4">
        <v>50</v>
      </c>
      <c r="D6" s="4">
        <v>31</v>
      </c>
      <c r="F6">
        <f>SUMPRODUCT(Constraint_0,Decision_variables)</f>
        <v>0</v>
      </c>
      <c r="G6" t="s">
        <v>12</v>
      </c>
      <c r="H6" s="4">
        <v>250</v>
      </c>
    </row>
    <row r="7" spans="1:8" x14ac:dyDescent="0.25">
      <c r="B7" t="s">
        <v>22</v>
      </c>
      <c r="C7" s="4">
        <v>3</v>
      </c>
      <c r="D7" s="4">
        <v>-2</v>
      </c>
      <c r="F7">
        <f>SUMPRODUCT(Constraint_1,Decision_variables)</f>
        <v>0</v>
      </c>
      <c r="G7" t="s">
        <v>16</v>
      </c>
      <c r="H7" s="4">
        <v>-4</v>
      </c>
    </row>
    <row r="9" spans="1:8" x14ac:dyDescent="0.25">
      <c r="A9" s="5" t="s">
        <v>15</v>
      </c>
      <c r="B9" t="s">
        <v>16</v>
      </c>
      <c r="C9">
        <v>0</v>
      </c>
      <c r="D9">
        <v>0</v>
      </c>
    </row>
    <row r="10" spans="1:8" x14ac:dyDescent="0.25">
      <c r="B10" t="s">
        <v>12</v>
      </c>
      <c r="C10" s="4">
        <v>9.9999999999999999E+306</v>
      </c>
      <c r="D10" s="4">
        <v>9.9999999999999999E+306</v>
      </c>
    </row>
    <row r="11" spans="1:8" x14ac:dyDescent="0.25">
      <c r="A11" s="5" t="s">
        <v>17</v>
      </c>
      <c r="C11" t="s">
        <v>20</v>
      </c>
      <c r="D11" t="s">
        <v>20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3.85546875" bestFit="1" customWidth="1"/>
  </cols>
  <sheetData>
    <row r="1" spans="1:10" s="5" customFormat="1" x14ac:dyDescent="0.25">
      <c r="A1" s="5" t="s">
        <v>30</v>
      </c>
      <c r="C1" s="5" t="s">
        <v>9</v>
      </c>
      <c r="D1" s="5" t="s">
        <v>10</v>
      </c>
      <c r="E1" s="5" t="s">
        <v>11</v>
      </c>
      <c r="F1" s="5" t="s">
        <v>19</v>
      </c>
    </row>
    <row r="2" spans="1:10" x14ac:dyDescent="0.25">
      <c r="A2" s="6" t="s">
        <v>111</v>
      </c>
      <c r="B2" t="s">
        <v>8</v>
      </c>
      <c r="C2">
        <v>0</v>
      </c>
      <c r="D2">
        <v>0</v>
      </c>
      <c r="E2">
        <v>0</v>
      </c>
      <c r="F2">
        <v>0</v>
      </c>
    </row>
    <row r="4" spans="1:10" x14ac:dyDescent="0.25">
      <c r="A4" s="5" t="s">
        <v>13</v>
      </c>
      <c r="B4" t="s">
        <v>25</v>
      </c>
      <c r="C4">
        <v>3</v>
      </c>
      <c r="D4">
        <v>1</v>
      </c>
      <c r="E4">
        <v>5</v>
      </c>
      <c r="F4">
        <v>1</v>
      </c>
      <c r="H4">
        <f>SUMPRODUCT(Objective_coefficients, Decision_variables)</f>
        <v>0</v>
      </c>
    </row>
    <row r="6" spans="1:10" x14ac:dyDescent="0.25">
      <c r="A6" s="5" t="s">
        <v>14</v>
      </c>
      <c r="B6" t="s">
        <v>21</v>
      </c>
      <c r="C6">
        <v>3</v>
      </c>
      <c r="D6">
        <v>1</v>
      </c>
      <c r="E6">
        <v>2</v>
      </c>
      <c r="H6">
        <f>SUMPRODUCT(Constraint_0,Decision_variables)</f>
        <v>0</v>
      </c>
      <c r="I6" t="s">
        <v>24</v>
      </c>
      <c r="J6">
        <v>30</v>
      </c>
    </row>
    <row r="7" spans="1:10" x14ac:dyDescent="0.25">
      <c r="B7" t="s">
        <v>22</v>
      </c>
      <c r="C7">
        <v>2</v>
      </c>
      <c r="D7">
        <v>1</v>
      </c>
      <c r="E7">
        <v>3</v>
      </c>
      <c r="F7">
        <v>1</v>
      </c>
      <c r="H7">
        <f>SUMPRODUCT(Constraint_1,Decision_variables)</f>
        <v>0</v>
      </c>
      <c r="I7" t="s">
        <v>16</v>
      </c>
      <c r="J7">
        <v>15</v>
      </c>
    </row>
    <row r="8" spans="1:10" x14ac:dyDescent="0.25">
      <c r="B8" t="s">
        <v>23</v>
      </c>
      <c r="D8">
        <v>2</v>
      </c>
      <c r="F8">
        <v>3</v>
      </c>
      <c r="H8">
        <f>SUMPRODUCT(Constraint_2,Decision_variables)</f>
        <v>0</v>
      </c>
      <c r="I8" t="s">
        <v>12</v>
      </c>
      <c r="J8">
        <v>25</v>
      </c>
    </row>
    <row r="10" spans="1:10" x14ac:dyDescent="0.25">
      <c r="A10" s="5" t="s">
        <v>15</v>
      </c>
      <c r="B10" t="s">
        <v>16</v>
      </c>
      <c r="C10">
        <v>0</v>
      </c>
      <c r="D10">
        <v>0</v>
      </c>
      <c r="E10">
        <v>0</v>
      </c>
      <c r="F10">
        <v>0</v>
      </c>
    </row>
    <row r="11" spans="1:10" x14ac:dyDescent="0.25">
      <c r="B11" t="s">
        <v>12</v>
      </c>
      <c r="C11" s="4">
        <v>9.9999999999999999E+306</v>
      </c>
      <c r="D11">
        <v>10</v>
      </c>
      <c r="E11" s="4">
        <v>9.9999999999999999E+306</v>
      </c>
      <c r="F11" s="4">
        <v>9.9999999999999999E+306</v>
      </c>
    </row>
    <row r="12" spans="1:10" x14ac:dyDescent="0.25">
      <c r="A12" s="5" t="s">
        <v>17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9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3" bestFit="1" customWidth="1"/>
  </cols>
  <sheetData>
    <row r="1" spans="1:5" s="5" customFormat="1" x14ac:dyDescent="0.25">
      <c r="A1" s="5" t="s">
        <v>28</v>
      </c>
      <c r="C1" s="5" t="s">
        <v>29</v>
      </c>
    </row>
    <row r="2" spans="1:5" x14ac:dyDescent="0.25">
      <c r="A2" s="6" t="s">
        <v>109</v>
      </c>
      <c r="B2" t="s">
        <v>8</v>
      </c>
      <c r="C2">
        <v>0</v>
      </c>
    </row>
    <row r="4" spans="1:5" x14ac:dyDescent="0.25">
      <c r="A4" s="5" t="s">
        <v>27</v>
      </c>
      <c r="C4">
        <v>1</v>
      </c>
      <c r="E4">
        <f>SUMPRODUCT(Objective_coefficients, Decision_variables)</f>
        <v>0</v>
      </c>
    </row>
    <row r="6" spans="1:5" x14ac:dyDescent="0.25">
      <c r="A6" s="5" t="s">
        <v>14</v>
      </c>
    </row>
    <row r="7" spans="1:5" x14ac:dyDescent="0.25">
      <c r="A7" s="5" t="s">
        <v>15</v>
      </c>
      <c r="B7" t="s">
        <v>16</v>
      </c>
      <c r="C7">
        <v>0</v>
      </c>
    </row>
    <row r="8" spans="1:5" x14ac:dyDescent="0.25">
      <c r="B8" t="s">
        <v>12</v>
      </c>
      <c r="C8" s="4">
        <v>9.9999999999999999E+306</v>
      </c>
    </row>
    <row r="9" spans="1:5" x14ac:dyDescent="0.25">
      <c r="A9" s="5" t="s">
        <v>17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1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3.85546875" bestFit="1" customWidth="1"/>
  </cols>
  <sheetData>
    <row r="1" spans="1:10" s="5" customFormat="1" x14ac:dyDescent="0.25">
      <c r="A1" s="5" t="s">
        <v>26</v>
      </c>
      <c r="C1" s="5" t="s">
        <v>9</v>
      </c>
      <c r="D1" s="5" t="s">
        <v>10</v>
      </c>
      <c r="E1" s="5" t="s">
        <v>11</v>
      </c>
      <c r="F1" s="5" t="s">
        <v>19</v>
      </c>
    </row>
    <row r="2" spans="1:10" x14ac:dyDescent="0.25">
      <c r="A2" s="6" t="s">
        <v>107</v>
      </c>
      <c r="B2" t="s">
        <v>8</v>
      </c>
      <c r="C2">
        <v>0</v>
      </c>
      <c r="D2">
        <v>0</v>
      </c>
      <c r="E2">
        <v>0</v>
      </c>
      <c r="F2">
        <v>0</v>
      </c>
    </row>
    <row r="4" spans="1:10" x14ac:dyDescent="0.25">
      <c r="A4" s="5" t="s">
        <v>27</v>
      </c>
      <c r="B4" t="s">
        <v>25</v>
      </c>
      <c r="C4">
        <v>1</v>
      </c>
      <c r="D4">
        <v>1</v>
      </c>
      <c r="E4">
        <v>1</v>
      </c>
      <c r="F4">
        <v>1</v>
      </c>
      <c r="H4">
        <f>SUMPRODUCT(Objective_coefficients, Decision_variables)</f>
        <v>0</v>
      </c>
    </row>
    <row r="6" spans="1:10" x14ac:dyDescent="0.25">
      <c r="A6" s="5" t="s">
        <v>14</v>
      </c>
      <c r="B6" t="s">
        <v>21</v>
      </c>
      <c r="C6">
        <v>1</v>
      </c>
      <c r="E6">
        <v>2</v>
      </c>
      <c r="F6">
        <v>4</v>
      </c>
      <c r="H6">
        <f>SUMPRODUCT(Constraint_0,Decision_variables)</f>
        <v>0</v>
      </c>
      <c r="I6" t="s">
        <v>16</v>
      </c>
      <c r="J6">
        <v>6</v>
      </c>
    </row>
    <row r="7" spans="1:10" x14ac:dyDescent="0.25">
      <c r="B7" t="s">
        <v>22</v>
      </c>
      <c r="D7">
        <v>1</v>
      </c>
      <c r="E7">
        <v>1</v>
      </c>
      <c r="H7">
        <f>SUMPRODUCT(Constraint_1,Decision_variables)</f>
        <v>0</v>
      </c>
      <c r="I7" t="s">
        <v>16</v>
      </c>
      <c r="J7">
        <v>3</v>
      </c>
    </row>
    <row r="9" spans="1:10" x14ac:dyDescent="0.25">
      <c r="A9" s="5" t="s">
        <v>15</v>
      </c>
      <c r="B9" t="s">
        <v>16</v>
      </c>
      <c r="C9">
        <v>0</v>
      </c>
      <c r="D9">
        <v>0</v>
      </c>
      <c r="E9">
        <v>0</v>
      </c>
      <c r="F9">
        <v>0</v>
      </c>
    </row>
    <row r="10" spans="1:10" x14ac:dyDescent="0.25">
      <c r="B10" t="s">
        <v>12</v>
      </c>
      <c r="C10">
        <v>10</v>
      </c>
      <c r="D10">
        <v>10</v>
      </c>
      <c r="E10" s="4">
        <v>9.9999999999999999E+306</v>
      </c>
      <c r="F10" s="4">
        <v>9.9999999999999999E+306</v>
      </c>
    </row>
    <row r="11" spans="1:10" x14ac:dyDescent="0.25">
      <c r="A11" s="5" t="s">
        <v>17</v>
      </c>
      <c r="C11" t="s">
        <v>20</v>
      </c>
      <c r="D11" t="s">
        <v>20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3.85546875" bestFit="1" customWidth="1"/>
  </cols>
  <sheetData>
    <row r="1" spans="1:10" s="5" customFormat="1" x14ac:dyDescent="0.25">
      <c r="A1" s="5" t="s">
        <v>18</v>
      </c>
      <c r="C1" s="5" t="s">
        <v>9</v>
      </c>
      <c r="D1" s="5" t="s">
        <v>10</v>
      </c>
      <c r="E1" s="5" t="s">
        <v>11</v>
      </c>
      <c r="F1" s="5" t="s">
        <v>19</v>
      </c>
    </row>
    <row r="2" spans="1:10" x14ac:dyDescent="0.25">
      <c r="A2" s="6" t="s">
        <v>105</v>
      </c>
      <c r="B2" t="s">
        <v>8</v>
      </c>
      <c r="C2">
        <v>0</v>
      </c>
      <c r="D2">
        <v>0</v>
      </c>
      <c r="E2">
        <v>0</v>
      </c>
      <c r="F2">
        <v>0</v>
      </c>
    </row>
    <row r="4" spans="1:10" x14ac:dyDescent="0.25">
      <c r="A4" s="5" t="s">
        <v>13</v>
      </c>
      <c r="B4" t="s">
        <v>25</v>
      </c>
      <c r="C4">
        <v>1</v>
      </c>
      <c r="D4">
        <v>2</v>
      </c>
      <c r="E4">
        <v>3</v>
      </c>
      <c r="F4">
        <v>1</v>
      </c>
      <c r="H4">
        <f>SUMPRODUCT(Objective_coefficients, Decision_variables)</f>
        <v>0</v>
      </c>
    </row>
    <row r="6" spans="1:10" x14ac:dyDescent="0.25">
      <c r="A6" s="5" t="s">
        <v>14</v>
      </c>
      <c r="B6" t="s">
        <v>21</v>
      </c>
      <c r="C6">
        <v>-1</v>
      </c>
      <c r="D6">
        <v>1</v>
      </c>
      <c r="E6">
        <v>1</v>
      </c>
      <c r="F6">
        <v>10</v>
      </c>
      <c r="H6">
        <f>SUMPRODUCT(Constraint_0,Decision_variables)</f>
        <v>0</v>
      </c>
      <c r="I6" t="s">
        <v>12</v>
      </c>
      <c r="J6">
        <v>20</v>
      </c>
    </row>
    <row r="7" spans="1:10" x14ac:dyDescent="0.25">
      <c r="B7" t="s">
        <v>22</v>
      </c>
      <c r="C7">
        <v>1</v>
      </c>
      <c r="D7">
        <v>-3</v>
      </c>
      <c r="E7">
        <v>1</v>
      </c>
      <c r="H7">
        <f>SUMPRODUCT(Constraint_1,Decision_variables)</f>
        <v>0</v>
      </c>
      <c r="I7" t="s">
        <v>12</v>
      </c>
      <c r="J7">
        <v>30</v>
      </c>
    </row>
    <row r="8" spans="1:10" x14ac:dyDescent="0.25">
      <c r="B8" t="s">
        <v>23</v>
      </c>
      <c r="D8">
        <v>1</v>
      </c>
      <c r="F8">
        <v>-3.5</v>
      </c>
      <c r="H8">
        <f>SUMPRODUCT(Constraint_2,Decision_variables)</f>
        <v>0</v>
      </c>
      <c r="I8" t="s">
        <v>24</v>
      </c>
      <c r="J8">
        <v>0</v>
      </c>
    </row>
    <row r="10" spans="1:10" x14ac:dyDescent="0.25">
      <c r="A10" s="5" t="s">
        <v>15</v>
      </c>
      <c r="B10" t="s">
        <v>16</v>
      </c>
      <c r="C10">
        <v>0</v>
      </c>
      <c r="D10">
        <v>0</v>
      </c>
      <c r="E10">
        <v>0</v>
      </c>
      <c r="F10">
        <v>2</v>
      </c>
    </row>
    <row r="11" spans="1:10" x14ac:dyDescent="0.25">
      <c r="B11" t="s">
        <v>12</v>
      </c>
      <c r="C11">
        <v>40</v>
      </c>
      <c r="D11" s="4">
        <v>9.9999999999999999E+306</v>
      </c>
      <c r="E11" s="4">
        <v>9.9999999999999999E+306</v>
      </c>
      <c r="F11">
        <v>3</v>
      </c>
    </row>
    <row r="12" spans="1:10" x14ac:dyDescent="0.25">
      <c r="A12" s="5" t="s">
        <v>17</v>
      </c>
      <c r="F12" t="s">
        <v>20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workbookViewId="0"/>
  </sheetViews>
  <sheetFormatPr defaultColWidth="10.7109375" defaultRowHeight="15" x14ac:dyDescent="0.25"/>
  <cols>
    <col min="1" max="1" width="16.5703125" style="5" bestFit="1" customWidth="1"/>
    <col min="2" max="2" width="3" bestFit="1" customWidth="1"/>
  </cols>
  <sheetData>
    <row r="1" spans="1:9" s="5" customFormat="1" x14ac:dyDescent="0.25">
      <c r="A1" s="5" t="s">
        <v>7</v>
      </c>
      <c r="C1" s="5" t="s">
        <v>9</v>
      </c>
      <c r="D1" s="5" t="s">
        <v>10</v>
      </c>
      <c r="E1" s="5" t="s">
        <v>11</v>
      </c>
    </row>
    <row r="2" spans="1:9" x14ac:dyDescent="0.25">
      <c r="A2" s="6" t="s">
        <v>103</v>
      </c>
      <c r="B2" t="s">
        <v>8</v>
      </c>
      <c r="C2">
        <v>0</v>
      </c>
      <c r="D2">
        <v>0</v>
      </c>
      <c r="E2">
        <v>0</v>
      </c>
    </row>
    <row r="4" spans="1:9" x14ac:dyDescent="0.25">
      <c r="A4" s="5" t="s">
        <v>13</v>
      </c>
      <c r="C4">
        <v>2</v>
      </c>
      <c r="D4">
        <v>3</v>
      </c>
      <c r="E4">
        <v>-1</v>
      </c>
      <c r="G4">
        <f>SUMPRODUCT(Objective_coefficients, Decision_variables)</f>
        <v>0</v>
      </c>
    </row>
    <row r="6" spans="1:9" x14ac:dyDescent="0.25">
      <c r="A6" s="5" t="s">
        <v>14</v>
      </c>
      <c r="C6">
        <v>1</v>
      </c>
      <c r="D6">
        <v>1</v>
      </c>
      <c r="G6">
        <f>SUMPRODUCT(Constraint_0,Decision_variables)</f>
        <v>0</v>
      </c>
      <c r="H6" t="s">
        <v>12</v>
      </c>
      <c r="I6">
        <v>1</v>
      </c>
    </row>
    <row r="7" spans="1:9" x14ac:dyDescent="0.25">
      <c r="C7">
        <v>1</v>
      </c>
      <c r="D7">
        <v>1</v>
      </c>
      <c r="E7">
        <v>1</v>
      </c>
      <c r="G7">
        <f>SUMPRODUCT(Constraint_1,Decision_variables)</f>
        <v>0</v>
      </c>
      <c r="H7" t="s">
        <v>12</v>
      </c>
      <c r="I7">
        <v>0</v>
      </c>
    </row>
    <row r="8" spans="1:9" x14ac:dyDescent="0.25">
      <c r="D8">
        <v>1</v>
      </c>
      <c r="E8">
        <v>-2</v>
      </c>
      <c r="G8">
        <f>SUMPRODUCT(Constraint_2,Decision_variables)</f>
        <v>0</v>
      </c>
      <c r="H8" t="s">
        <v>12</v>
      </c>
      <c r="I8">
        <v>2</v>
      </c>
    </row>
    <row r="10" spans="1:9" x14ac:dyDescent="0.25">
      <c r="A10" s="5" t="s">
        <v>15</v>
      </c>
      <c r="B10" t="s">
        <v>16</v>
      </c>
      <c r="C10" s="4">
        <v>-9.9999999999999999E+306</v>
      </c>
      <c r="D10" s="4">
        <v>-9.9999999999999999E+306</v>
      </c>
      <c r="E10" s="4">
        <v>-9.9999999999999999E+306</v>
      </c>
    </row>
    <row r="11" spans="1:9" x14ac:dyDescent="0.25">
      <c r="B11" t="s">
        <v>12</v>
      </c>
      <c r="C11" s="4">
        <v>9.9999999999999999E+306</v>
      </c>
      <c r="D11" s="4">
        <v>9.9999999999999999E+306</v>
      </c>
      <c r="E11" s="4">
        <v>9.9999999999999999E+306</v>
      </c>
    </row>
    <row r="12" spans="1:9" x14ac:dyDescent="0.25">
      <c r="A12" s="5" t="s">
        <v>17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D23"/>
  <sheetViews>
    <sheetView tabSelected="1" workbookViewId="0">
      <selection activeCell="D25" sqref="D25"/>
    </sheetView>
  </sheetViews>
  <sheetFormatPr defaultRowHeight="15" x14ac:dyDescent="0.25"/>
  <cols>
    <col min="1" max="1" width="17.28515625" customWidth="1"/>
    <col min="2" max="2" width="24" customWidth="1"/>
    <col min="3" max="3" width="15.85546875" customWidth="1"/>
    <col min="4" max="4" width="76.7109375" customWidth="1"/>
  </cols>
  <sheetData>
    <row r="6" spans="1:4" x14ac:dyDescent="0.25">
      <c r="A6" t="s">
        <v>0</v>
      </c>
    </row>
    <row r="7" spans="1:4" x14ac:dyDescent="0.25">
      <c r="A7" t="s">
        <v>1</v>
      </c>
    </row>
    <row r="8" spans="1:4" x14ac:dyDescent="0.25">
      <c r="A8" s="1" t="s">
        <v>6</v>
      </c>
    </row>
    <row r="10" spans="1:4" x14ac:dyDescent="0.25">
      <c r="A10" s="2" t="s">
        <v>2</v>
      </c>
      <c r="B10" s="2" t="s">
        <v>3</v>
      </c>
      <c r="C10" s="2" t="s">
        <v>4</v>
      </c>
      <c r="D10" s="2" t="s">
        <v>5</v>
      </c>
    </row>
    <row r="11" spans="1:4" x14ac:dyDescent="0.25">
      <c r="A11" t="s">
        <v>7</v>
      </c>
      <c r="B11" t="s">
        <v>104</v>
      </c>
      <c r="C11" t="b">
        <v>1</v>
      </c>
    </row>
    <row r="12" spans="1:4" x14ac:dyDescent="0.25">
      <c r="A12" t="s">
        <v>18</v>
      </c>
      <c r="B12" t="s">
        <v>106</v>
      </c>
      <c r="C12" t="b">
        <v>1</v>
      </c>
    </row>
    <row r="13" spans="1:4" x14ac:dyDescent="0.25">
      <c r="A13" t="s">
        <v>26</v>
      </c>
      <c r="B13" t="s">
        <v>108</v>
      </c>
      <c r="C13" t="b">
        <v>1</v>
      </c>
    </row>
    <row r="14" spans="1:4" x14ac:dyDescent="0.25">
      <c r="A14" t="s">
        <v>28</v>
      </c>
      <c r="B14" t="s">
        <v>110</v>
      </c>
      <c r="C14" t="b">
        <v>1</v>
      </c>
    </row>
    <row r="15" spans="1:4" x14ac:dyDescent="0.25">
      <c r="A15" t="s">
        <v>30</v>
      </c>
      <c r="B15" t="s">
        <v>112</v>
      </c>
      <c r="C15" t="b">
        <v>1</v>
      </c>
    </row>
    <row r="16" spans="1:4" x14ac:dyDescent="0.25">
      <c r="A16" t="s">
        <v>31</v>
      </c>
      <c r="B16" t="s">
        <v>114</v>
      </c>
      <c r="C16" t="b">
        <v>1</v>
      </c>
    </row>
    <row r="17" spans="1:4" ht="60" x14ac:dyDescent="0.25">
      <c r="A17" t="s">
        <v>115</v>
      </c>
      <c r="C17" t="b">
        <v>0</v>
      </c>
      <c r="D17" s="3" t="s">
        <v>116</v>
      </c>
    </row>
    <row r="18" spans="1:4" x14ac:dyDescent="0.25">
      <c r="A18" t="s">
        <v>32</v>
      </c>
      <c r="B18" t="s">
        <v>118</v>
      </c>
      <c r="C18" t="b">
        <v>1</v>
      </c>
    </row>
    <row r="19" spans="1:4" x14ac:dyDescent="0.25">
      <c r="A19" t="s">
        <v>39</v>
      </c>
      <c r="B19" t="s">
        <v>120</v>
      </c>
      <c r="C19" t="b">
        <v>1</v>
      </c>
    </row>
    <row r="20" spans="1:4" x14ac:dyDescent="0.25">
      <c r="A20" t="s">
        <v>42</v>
      </c>
      <c r="B20" t="s">
        <v>122</v>
      </c>
      <c r="C20" t="b">
        <v>1</v>
      </c>
    </row>
    <row r="21" spans="1:4" x14ac:dyDescent="0.25">
      <c r="A21" t="s">
        <v>47</v>
      </c>
      <c r="B21" t="s">
        <v>124</v>
      </c>
      <c r="C21" t="b">
        <v>1</v>
      </c>
    </row>
    <row r="22" spans="1:4" x14ac:dyDescent="0.25">
      <c r="A22" t="s">
        <v>101</v>
      </c>
      <c r="B22" t="s">
        <v>126</v>
      </c>
      <c r="C22" t="b">
        <v>1</v>
      </c>
    </row>
    <row r="23" spans="1:4" x14ac:dyDescent="0.25">
      <c r="A23" t="s">
        <v>102</v>
      </c>
      <c r="B23" t="s">
        <v>128</v>
      </c>
      <c r="C23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123825</xdr:colOff>
                    <xdr:row>0</xdr:row>
                    <xdr:rowOff>95250</xdr:rowOff>
                  </from>
                  <to>
                    <xdr:col>3</xdr:col>
                    <xdr:colOff>1019175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3</xdr:col>
                    <xdr:colOff>1285875</xdr:colOff>
                    <xdr:row>1</xdr:row>
                    <xdr:rowOff>142875</xdr:rowOff>
                  </from>
                  <to>
                    <xdr:col>6</xdr:col>
                    <xdr:colOff>38100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oredFilesList xmlns:xsd="http://www.w3.org/2001/XMLSchema" xmlns:xsi="http://www.w3.org/2001/XMLSchema-instance" xmlns="http://opensolver.org" xml:space="preserve" Version="01.00">
  <StoredFiles>
    <StoredFile>
      <FileName>Untitled</FileName>
      <LanguageName>PuLP</LanguageName>
      <ModelPaneVisible>false</ModelPaneVisible>
      <ModelSettings/>
      <FileText>"""
The Beer Distribution Problem for the PuLP Modeller
Authors: Antony Phillips, Dr Stuart Mitchell  2007
SolverStudio version: Andrew Mason
"""
# Import PuLP modeller functions
from pulp import *
# Creates the 'prob' variable to contain the problem data
prob = LpProblem("Beer Distribution Problem",LpMinimize)
# The problem data is written to an .lp file
# This is optional - you may choose to use this if you feel it will be useful
# prob.writeLP("BeerDistributionProblem.lp")
print solvers.COINMP_DLL().available()
solvers.COIN_CMD().solve(prob)
# prob.solve(COINMP_DLL()) # The problem is solved using PuLP's choice of Solver (ususually CBC)
# prob.solve(COIN_CMD(msg=1)) # Solve using CBC with logging
# prob.solve(GUROBI_CMD()) # Solve using Gurobi (if installed) with no logging
# prob.solve(CPLEX_CMD()) # Solve using Gurobi (if installed) with no logging
# Other solvers, such a GUROBI (not GUROBI_CMD) will only work with the "Python (external)" language
print "Success"</FileText>
      <ParentWorksheetName>TestAll</ParentWorksheetName>
    </StoredFile>
    <StoredFile>
      <FileName>Untitled</FileName>
      <LanguageName>PuLP</LanguageName>
      <ModelPaneVisible>false</ModelPaneVisible>
      <ModelSettings/>
      <FileText/>
      <ParentWorksheetName>Test berlin.lp</ParentWorksheetName>
    </StoredFile>
    <StoredFile>
      <FileName>Untitled</FileName>
      <LanguageName>PuLP</LanguageName>
      <ModelPaneVisible>false</ModelPaneVisible>
      <ModelSettings/>
      <FileText/>
      <ParentWorksheetName>Test cplex1.lp</ParentWorksheetName>
    </StoredFile>
    <StoredFile>
      <FileName>Untitled</FileName>
      <LanguageName>PuLP</LanguageName>
      <ModelPaneVisible>false</ModelPaneVisible>
      <ModelSettings/>
      <FileText/>
      <ParentWorksheetName>Test denmark.lp</ParentWorksheetName>
    </StoredFile>
    <StoredFile>
      <FileName>Untitled</FileName>
      <LanguageName>PuLP</LanguageName>
      <ModelPaneVisible>false</ModelPaneVisible>
      <ModelSettings/>
      <FileText/>
      <ParentWorksheetName>Test minimal.lp</ParentWorksheetName>
    </StoredFile>
    <StoredFile>
      <FileName>Untitled</FileName>
      <LanguageName>PuLP</LanguageName>
      <ModelPaneVisible>false</ModelPaneVisible>
      <ModelSettings/>
      <FileText/>
      <ParentWorksheetName>Test mosek1.lp</ParentWorksheetName>
    </StoredFile>
    <StoredFile>
      <FileName>Untitled</FileName>
      <LanguageName>PuLP</LanguageName>
      <ModelPaneVisible>false</ModelPaneVisible>
      <ModelSettings/>
      <FileText/>
      <ParentWorksheetName>Test mosek2.lp</ParentWorksheetName>
    </StoredFile>
    <StoredFile>
      <FileName>Untitled</FileName>
      <LanguageName>PuLP</LanguageName>
      <ModelPaneVisible>false</ModelPaneVisible>
      <ModelSettings/>
      <FileText/>
      <ParentWorksheetName>Test non-linear.lp</ParentWorksheetName>
    </StoredFile>
    <StoredFile>
      <FileName>Untitled</FileName>
      <LanguageName>PuLP</LanguageName>
      <ModelPaneVisible>false</ModelPaneVisible>
      <ModelSettings/>
      <FileText/>
      <ParentWorksheetName>Test OpenSolver.lp</ParentWorksheetName>
    </StoredFile>
    <StoredFile>
      <FileName>Untitled</FileName>
      <LanguageName>PuLP</LanguageName>
      <ModelPaneVisible>false</ModelPaneVisible>
      <ModelSettings/>
      <FileText/>
      <ParentWorksheetName>Test Semis.lp</ParentWorksheetName>
    </StoredFile>
    <StoredFile>
      <FileName>Untitled</FileName>
      <LanguageName>PuLP</LanguageName>
      <ModelPaneVisible>false</ModelPaneVisible>
      <ModelSettings/>
      <FileText/>
      <ParentWorksheetName>Test SOS.lp</ParentWorksheetName>
    </StoredFile>
    <StoredFile>
      <FileName>Untitled</FileName>
      <LanguageName>PuLP</LanguageName>
      <ModelPaneVisible>false</ModelPaneVisible>
      <ModelSettings/>
      <FileText/>
      <ParentWorksheetName>Test test.lp</ParentWorksheetName>
    </StoredFile>
    <StoredFile>
      <FileName>Untitled</FileName>
      <LanguageName>PuLP</LanguageName>
      <ModelPaneVisible>false</ModelPaneVisible>
      <ModelSettings/>
      <FileText/>
      <ParentWorksheetName>Test texas.lp</ParentWorksheetName>
    </StoredFile>
    <StoredFile>
      <FileName>Untitled</FileName>
      <LanguageName>PuLP</LanguageName>
      <ModelPaneVisible>false</ModelPaneVisible>
      <ModelSettings/>
      <FileText/>
      <ParentWorksheetName>Test ジョンスミス.lp</ParentWorksheetName>
    </StoredFile>
  </StoredFiles>
</StoredFilesList>
</file>

<file path=customXml/itemProps1.xml><?xml version="1.0" encoding="utf-8"?>
<ds:datastoreItem xmlns:ds="http://schemas.openxmlformats.org/officeDocument/2006/customXml" ds:itemID="{CB439D82-C815-4689-A92E-B5EF65016985}">
  <ds:schemaRefs>
    <ds:schemaRef ds:uri="http://www.w3.org/2001/XMLSchema"/>
    <ds:schemaRef ds:uri="http://opensolver.or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Test ジョンスミス.lp</vt:lpstr>
      <vt:lpstr>Test texas.lp</vt:lpstr>
      <vt:lpstr>Test test.lp</vt:lpstr>
      <vt:lpstr>Test SOS.lp</vt:lpstr>
      <vt:lpstr>Test Semis.lp</vt:lpstr>
      <vt:lpstr>Test OpenSolver.lp</vt:lpstr>
      <vt:lpstr>Test non-linear.lp</vt:lpstr>
      <vt:lpstr>Test mosek2.lp</vt:lpstr>
      <vt:lpstr>Test mosek1.lp</vt:lpstr>
      <vt:lpstr>Test minimal.lp</vt:lpstr>
      <vt:lpstr>Test denmark.lp</vt:lpstr>
      <vt:lpstr>Test cplex1.lp</vt:lpstr>
      <vt:lpstr>Test berlin.lp</vt:lpstr>
      <vt:lpstr>TestAll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Yi</dc:creator>
  <cp:lastModifiedBy>Benjamin Yi</cp:lastModifiedBy>
  <dcterms:created xsi:type="dcterms:W3CDTF">2018-01-31T01:42:18Z</dcterms:created>
  <dcterms:modified xsi:type="dcterms:W3CDTF">2018-02-18T23:45:44Z</dcterms:modified>
</cp:coreProperties>
</file>